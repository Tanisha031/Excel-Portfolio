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1" l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L12" i="1"/>
  <c r="M12" i="1" s="1"/>
  <c r="N12" i="1" s="1"/>
  <c r="O12" i="1" s="1"/>
  <c r="P12" i="1" s="1"/>
  <c r="J12" i="1"/>
  <c r="K12" i="1" s="1"/>
  <c r="I12" i="1" l="1"/>
  <c r="H11" i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Q12" i="1"/>
  <c r="B5" i="1"/>
  <c r="B6" i="1" s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14" i="1"/>
</calcChain>
</file>

<file path=xl/comments1.xml><?xml version="1.0" encoding="utf-8"?>
<comments xmlns="http://schemas.openxmlformats.org/spreadsheetml/2006/main">
  <authors>
    <author>Windows User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Insert Start Date</t>
        </r>
      </text>
    </comment>
  </commentList>
</comments>
</file>

<file path=xl/sharedStrings.xml><?xml version="1.0" encoding="utf-8"?>
<sst xmlns="http://schemas.openxmlformats.org/spreadsheetml/2006/main" count="38" uniqueCount="31">
  <si>
    <t>Task</t>
  </si>
  <si>
    <t>Project Lead</t>
  </si>
  <si>
    <t>Start Date</t>
  </si>
  <si>
    <t>End Date</t>
  </si>
  <si>
    <t>Days</t>
  </si>
  <si>
    <t>Progress</t>
  </si>
  <si>
    <t>Planning Stage</t>
  </si>
  <si>
    <t>Task 1</t>
  </si>
  <si>
    <t>Task 2</t>
  </si>
  <si>
    <t>Task 3</t>
  </si>
  <si>
    <t>Task 4</t>
  </si>
  <si>
    <t>Excecution Stage</t>
  </si>
  <si>
    <t>Task 5</t>
  </si>
  <si>
    <t>Review Stage</t>
  </si>
  <si>
    <t>Omar Ali</t>
  </si>
  <si>
    <t>Fatima Ahmed</t>
  </si>
  <si>
    <t>Hassan Sheikh</t>
  </si>
  <si>
    <t>Sara Malik</t>
  </si>
  <si>
    <t>Zain Riaz</t>
  </si>
  <si>
    <t>Maryam Siddiqui</t>
  </si>
  <si>
    <t>Imran Qureshi</t>
  </si>
  <si>
    <t>Ahmed Farooq</t>
  </si>
  <si>
    <t>Bilal Rehman</t>
  </si>
  <si>
    <t>Khalid Javed</t>
  </si>
  <si>
    <t>Hina Tariq</t>
  </si>
  <si>
    <t>Layla Saeed</t>
  </si>
  <si>
    <t>Project Name:</t>
  </si>
  <si>
    <t>Project Start:</t>
  </si>
  <si>
    <t>Current Date:</t>
  </si>
  <si>
    <t>Weeks in Progress:</t>
  </si>
  <si>
    <t>ABS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</si>
</sst>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W\k\ #"/>
    <numFmt numFmtId="165" formatCode="[$-409]d/mmm;@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0" fillId="2" borderId="0" xfId="0" applyFill="1"/>
    <xf numFmtId="14" fontId="0" fillId="2" borderId="0" xfId="0" applyNumberFormat="1" applyFill="1"/>
    <xf numFmtId="0" fontId="0" fillId="2" borderId="1" xfId="0" applyFill="1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14" fontId="0" fillId="0" borderId="0" xfId="0" applyNumberFormat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2" fillId="3" borderId="0" xfId="0" applyNumberFormat="1" applyFont="1" applyFill="1"/>
    <xf numFmtId="165" fontId="2" fillId="3" borderId="0" xfId="0" applyNumberFormat="1" applyFont="1" applyFill="1"/>
  </cellXfs>
  <cellStyles count="2">
    <cellStyle name="Normal" xfId="0" builtinId="0"/>
    <cellStyle name="Percent" xfId="1" builtinId="5"/>
  </cellStyles>
  <dxfs count="10">
    <dxf>
      <fill>
        <patternFill>
          <bgColor rgb="FFBAF2A4"/>
        </patternFill>
      </fill>
    </dxf>
    <dxf>
      <fill>
        <patternFill>
          <bgColor rgb="FFC3F8A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C3F8A6"/>
        </patternFill>
      </fill>
    </dxf>
    <dxf>
      <fill>
        <patternFill>
          <bgColor rgb="FFBAF2A4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C3F8A6"/>
      <color rgb="FFB2DE82"/>
      <color rgb="FFBAF2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BE27"/>
  <sheetViews>
    <sheetView showGridLines="0" tabSelected="1" topLeftCell="A5" zoomScale="90" zoomScaleNormal="90" workbookViewId="0">
      <selection activeCell="B25" sqref="B25:B27"/>
    </sheetView>
  </sheetViews>
  <sheetFormatPr defaultRowHeight="14.25" x14ac:dyDescent="0.2"/>
  <cols>
    <col min="1" max="1" width="17.25" bestFit="1" customWidth="1"/>
    <col min="2" max="2" width="14.375" bestFit="1" customWidth="1"/>
    <col min="4" max="4" width="9" customWidth="1"/>
    <col min="7" max="7" width="3.25" customWidth="1"/>
    <col min="8" max="8" width="8.375" bestFit="1" customWidth="1"/>
  </cols>
  <sheetData>
    <row r="3" spans="1:57" x14ac:dyDescent="0.2">
      <c r="A3" t="s">
        <v>26</v>
      </c>
      <c r="B3" t="s">
        <v>30</v>
      </c>
    </row>
    <row r="4" spans="1:57" x14ac:dyDescent="0.2">
      <c r="A4" t="s">
        <v>27</v>
      </c>
      <c r="B4" s="9">
        <v>45938</v>
      </c>
    </row>
    <row r="5" spans="1:57" x14ac:dyDescent="0.2">
      <c r="A5" t="s">
        <v>28</v>
      </c>
      <c r="B5" s="9">
        <f ca="1">TODAY()</f>
        <v>45987</v>
      </c>
    </row>
    <row r="6" spans="1:57" x14ac:dyDescent="0.2">
      <c r="A6" t="s">
        <v>29</v>
      </c>
      <c r="B6" s="13">
        <f ca="1">ROUNDUP((B5-B4)/7, 0)</f>
        <v>7</v>
      </c>
    </row>
    <row r="7" spans="1:57" x14ac:dyDescent="0.2">
      <c r="I7" s="1"/>
    </row>
    <row r="9" spans="1:57" x14ac:dyDescent="0.2">
      <c r="H9" s="1"/>
      <c r="I9" s="1"/>
    </row>
    <row r="11" spans="1:57" s="2" customFormat="1" x14ac:dyDescent="0.2">
      <c r="H11" s="15">
        <f>B4</f>
        <v>45938</v>
      </c>
      <c r="I11" s="15">
        <f>H11+7</f>
        <v>45945</v>
      </c>
      <c r="J11" s="15">
        <f t="shared" ref="J11:BD11" si="0">I11+7</f>
        <v>45952</v>
      </c>
      <c r="K11" s="15">
        <f t="shared" si="0"/>
        <v>45959</v>
      </c>
      <c r="L11" s="15">
        <f t="shared" si="0"/>
        <v>45966</v>
      </c>
      <c r="M11" s="15">
        <f t="shared" si="0"/>
        <v>45973</v>
      </c>
      <c r="N11" s="15">
        <f t="shared" si="0"/>
        <v>45980</v>
      </c>
      <c r="O11" s="15">
        <f t="shared" si="0"/>
        <v>45987</v>
      </c>
      <c r="P11" s="15">
        <f t="shared" si="0"/>
        <v>45994</v>
      </c>
      <c r="Q11" s="15">
        <f t="shared" si="0"/>
        <v>46001</v>
      </c>
      <c r="R11" s="15">
        <f t="shared" si="0"/>
        <v>46008</v>
      </c>
      <c r="S11" s="15">
        <f t="shared" si="0"/>
        <v>46015</v>
      </c>
      <c r="T11" s="15">
        <f t="shared" si="0"/>
        <v>46022</v>
      </c>
      <c r="U11" s="15">
        <f t="shared" si="0"/>
        <v>46029</v>
      </c>
      <c r="V11" s="15">
        <f t="shared" si="0"/>
        <v>46036</v>
      </c>
      <c r="W11" s="15">
        <f t="shared" si="0"/>
        <v>46043</v>
      </c>
      <c r="X11" s="15">
        <f t="shared" si="0"/>
        <v>46050</v>
      </c>
      <c r="Y11" s="15">
        <f t="shared" si="0"/>
        <v>46057</v>
      </c>
      <c r="Z11" s="15">
        <f t="shared" si="0"/>
        <v>46064</v>
      </c>
      <c r="AA11" s="15">
        <f t="shared" si="0"/>
        <v>46071</v>
      </c>
      <c r="AB11" s="15">
        <f t="shared" si="0"/>
        <v>46078</v>
      </c>
      <c r="AC11" s="15">
        <f t="shared" si="0"/>
        <v>46085</v>
      </c>
      <c r="AD11" s="15">
        <f t="shared" si="0"/>
        <v>46092</v>
      </c>
      <c r="AE11" s="15">
        <f t="shared" si="0"/>
        <v>46099</v>
      </c>
      <c r="AF11" s="15">
        <f t="shared" si="0"/>
        <v>46106</v>
      </c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</row>
    <row r="12" spans="1:57" s="2" customFormat="1" x14ac:dyDescent="0.2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H12" s="14">
        <v>1</v>
      </c>
      <c r="I12" s="14">
        <f>H12+1</f>
        <v>2</v>
      </c>
      <c r="J12" s="14">
        <f t="shared" ref="J12:P12" si="1">I12+1</f>
        <v>3</v>
      </c>
      <c r="K12" s="14">
        <f t="shared" si="1"/>
        <v>4</v>
      </c>
      <c r="L12" s="14">
        <f t="shared" si="1"/>
        <v>5</v>
      </c>
      <c r="M12" s="14">
        <f t="shared" si="1"/>
        <v>6</v>
      </c>
      <c r="N12" s="14">
        <f t="shared" si="1"/>
        <v>7</v>
      </c>
      <c r="O12" s="14">
        <f t="shared" si="1"/>
        <v>8</v>
      </c>
      <c r="P12" s="14">
        <f t="shared" si="1"/>
        <v>9</v>
      </c>
      <c r="Q12" s="14">
        <f t="shared" ref="Q12:BD12" si="2">P12+1</f>
        <v>10</v>
      </c>
      <c r="R12" s="14">
        <f t="shared" si="2"/>
        <v>11</v>
      </c>
      <c r="S12" s="14">
        <f t="shared" si="2"/>
        <v>12</v>
      </c>
      <c r="T12" s="14">
        <f t="shared" si="2"/>
        <v>13</v>
      </c>
      <c r="U12" s="14">
        <f t="shared" si="2"/>
        <v>14</v>
      </c>
      <c r="V12" s="14">
        <f t="shared" si="2"/>
        <v>15</v>
      </c>
      <c r="W12" s="14">
        <f t="shared" si="2"/>
        <v>16</v>
      </c>
      <c r="X12" s="14">
        <f t="shared" si="2"/>
        <v>17</v>
      </c>
      <c r="Y12" s="14">
        <f t="shared" si="2"/>
        <v>18</v>
      </c>
      <c r="Z12" s="14">
        <f t="shared" ref="Z12:AA12" si="3">Y12+1</f>
        <v>19</v>
      </c>
      <c r="AA12" s="14">
        <f t="shared" si="3"/>
        <v>20</v>
      </c>
      <c r="AB12" s="14">
        <f t="shared" si="2"/>
        <v>21</v>
      </c>
      <c r="AC12" s="14">
        <f t="shared" si="2"/>
        <v>22</v>
      </c>
      <c r="AD12" s="14">
        <f t="shared" si="2"/>
        <v>23</v>
      </c>
      <c r="AE12" s="14">
        <f t="shared" si="2"/>
        <v>24</v>
      </c>
      <c r="AF12" s="14">
        <f t="shared" si="2"/>
        <v>25</v>
      </c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</row>
    <row r="13" spans="1:57" s="4" customFormat="1" x14ac:dyDescent="0.2">
      <c r="A13" s="6" t="s">
        <v>6</v>
      </c>
      <c r="B13" s="6"/>
      <c r="C13" s="6"/>
      <c r="D13" s="6"/>
      <c r="E13" s="6"/>
      <c r="F13" s="6"/>
      <c r="H13" s="5"/>
      <c r="I13" s="5"/>
    </row>
    <row r="14" spans="1:57" x14ac:dyDescent="0.2">
      <c r="A14" s="7" t="s">
        <v>7</v>
      </c>
      <c r="B14" s="8" t="s">
        <v>21</v>
      </c>
      <c r="C14" s="12">
        <v>45301</v>
      </c>
      <c r="D14" s="12">
        <v>45351</v>
      </c>
      <c r="E14" s="11">
        <f>IF(C14="","",NETWORKDAYS(C14,D14))</f>
        <v>37</v>
      </c>
      <c r="F14" s="10">
        <v>0.5</v>
      </c>
    </row>
    <row r="15" spans="1:57" x14ac:dyDescent="0.2">
      <c r="A15" s="7" t="s">
        <v>8</v>
      </c>
      <c r="B15" s="8" t="s">
        <v>14</v>
      </c>
      <c r="C15" s="12">
        <v>45327</v>
      </c>
      <c r="D15" s="12">
        <v>45370</v>
      </c>
      <c r="E15" s="11">
        <f t="shared" ref="E15:E27" si="4">IF(C15="","",NETWORKDAYS(C15,D15))</f>
        <v>32</v>
      </c>
      <c r="F15" s="10">
        <v>0.41</v>
      </c>
      <c r="H15" s="1"/>
      <c r="I15" s="1"/>
    </row>
    <row r="16" spans="1:57" x14ac:dyDescent="0.2">
      <c r="A16" s="7" t="s">
        <v>9</v>
      </c>
      <c r="B16" s="8" t="s">
        <v>22</v>
      </c>
      <c r="C16" s="12">
        <v>45363</v>
      </c>
      <c r="D16" s="12">
        <v>45410</v>
      </c>
      <c r="E16" s="11">
        <f t="shared" si="4"/>
        <v>34</v>
      </c>
      <c r="F16" s="10">
        <v>0.45</v>
      </c>
    </row>
    <row r="17" spans="1:56" x14ac:dyDescent="0.2">
      <c r="A17" s="7" t="s">
        <v>10</v>
      </c>
      <c r="B17" s="8" t="s">
        <v>15</v>
      </c>
      <c r="C17" s="12">
        <v>45385</v>
      </c>
      <c r="D17" s="12">
        <v>45417</v>
      </c>
      <c r="E17" s="11">
        <f t="shared" si="4"/>
        <v>23</v>
      </c>
      <c r="F17" s="10">
        <v>0.3</v>
      </c>
      <c r="H17" s="1"/>
      <c r="I17" s="1"/>
    </row>
    <row r="18" spans="1:56" s="4" customFormat="1" x14ac:dyDescent="0.2">
      <c r="A18" s="6" t="s">
        <v>11</v>
      </c>
      <c r="B18" s="6"/>
      <c r="C18" s="6"/>
      <c r="D18" s="6"/>
      <c r="E18" s="6" t="str">
        <f t="shared" si="4"/>
        <v/>
      </c>
      <c r="F18" s="6"/>
      <c r="H18" s="5"/>
      <c r="I18" s="5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6" x14ac:dyDescent="0.2">
      <c r="A19" s="7" t="s">
        <v>7</v>
      </c>
      <c r="B19" s="8" t="s">
        <v>16</v>
      </c>
      <c r="C19" s="12">
        <v>45383</v>
      </c>
      <c r="D19" s="12">
        <v>45427</v>
      </c>
      <c r="E19" s="11">
        <f t="shared" si="4"/>
        <v>33</v>
      </c>
      <c r="F19" s="10">
        <v>0.34</v>
      </c>
      <c r="H19" s="1"/>
      <c r="I19" s="1"/>
    </row>
    <row r="20" spans="1:56" x14ac:dyDescent="0.2">
      <c r="A20" s="7" t="s">
        <v>8</v>
      </c>
      <c r="B20" s="8" t="s">
        <v>23</v>
      </c>
      <c r="C20" s="12">
        <v>45432</v>
      </c>
      <c r="D20" s="12">
        <v>45509</v>
      </c>
      <c r="E20" s="11">
        <f t="shared" si="4"/>
        <v>56</v>
      </c>
      <c r="F20" s="10">
        <v>0.7</v>
      </c>
    </row>
    <row r="21" spans="1:56" x14ac:dyDescent="0.2">
      <c r="A21" s="7" t="s">
        <v>9</v>
      </c>
      <c r="B21" s="8" t="s">
        <v>17</v>
      </c>
      <c r="C21" s="12">
        <v>45458</v>
      </c>
      <c r="D21" s="12">
        <v>45565</v>
      </c>
      <c r="E21" s="11">
        <f t="shared" si="4"/>
        <v>76</v>
      </c>
      <c r="F21" s="10">
        <v>0.8</v>
      </c>
      <c r="H21" s="1"/>
      <c r="I21" s="1"/>
    </row>
    <row r="22" spans="1:56" x14ac:dyDescent="0.2">
      <c r="A22" s="7" t="s">
        <v>10</v>
      </c>
      <c r="B22" s="8" t="s">
        <v>24</v>
      </c>
      <c r="C22" s="12">
        <v>45474</v>
      </c>
      <c r="D22" s="12">
        <v>45580</v>
      </c>
      <c r="E22" s="11">
        <f t="shared" si="4"/>
        <v>77</v>
      </c>
      <c r="F22" s="10">
        <v>0.85</v>
      </c>
    </row>
    <row r="23" spans="1:56" x14ac:dyDescent="0.2">
      <c r="A23" s="7" t="s">
        <v>12</v>
      </c>
      <c r="B23" s="8" t="s">
        <v>18</v>
      </c>
      <c r="C23" s="12">
        <v>45514</v>
      </c>
      <c r="D23" s="12">
        <v>45621</v>
      </c>
      <c r="E23" s="11">
        <f t="shared" si="4"/>
        <v>76</v>
      </c>
      <c r="F23" s="10">
        <v>0.8</v>
      </c>
      <c r="H23" s="1"/>
      <c r="I23" s="1"/>
    </row>
    <row r="24" spans="1:56" s="4" customFormat="1" x14ac:dyDescent="0.2">
      <c r="A24" s="6" t="s">
        <v>13</v>
      </c>
      <c r="B24" s="6"/>
      <c r="C24" s="6"/>
      <c r="D24" s="6"/>
      <c r="E24" s="6" t="str">
        <f t="shared" si="4"/>
        <v/>
      </c>
      <c r="F24" s="6"/>
      <c r="H24" s="5"/>
      <c r="I24" s="5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6" x14ac:dyDescent="0.2">
      <c r="A25" s="7" t="s">
        <v>7</v>
      </c>
      <c r="B25" s="8" t="s">
        <v>19</v>
      </c>
      <c r="C25" s="12">
        <v>45550</v>
      </c>
      <c r="D25" s="12">
        <v>45585</v>
      </c>
      <c r="E25" s="11">
        <f t="shared" si="4"/>
        <v>25</v>
      </c>
      <c r="F25" s="10">
        <v>0.32</v>
      </c>
      <c r="H25" s="1"/>
      <c r="I25" s="1"/>
    </row>
    <row r="26" spans="1:56" x14ac:dyDescent="0.2">
      <c r="A26" s="7" t="s">
        <v>8</v>
      </c>
      <c r="B26" s="8" t="s">
        <v>25</v>
      </c>
      <c r="C26" s="12">
        <v>45505</v>
      </c>
      <c r="D26" s="12">
        <v>45563</v>
      </c>
      <c r="E26" s="11">
        <f t="shared" si="4"/>
        <v>42</v>
      </c>
      <c r="F26" s="10">
        <v>0.65</v>
      </c>
    </row>
    <row r="27" spans="1:56" x14ac:dyDescent="0.2">
      <c r="A27" s="7" t="s">
        <v>9</v>
      </c>
      <c r="B27" s="8" t="s">
        <v>20</v>
      </c>
      <c r="C27" s="12">
        <v>45566</v>
      </c>
      <c r="D27" s="12">
        <v>45621</v>
      </c>
      <c r="E27" s="11">
        <f t="shared" si="4"/>
        <v>40</v>
      </c>
      <c r="F27" s="10">
        <v>0.6</v>
      </c>
      <c r="H27" s="1"/>
      <c r="I27" s="1"/>
    </row>
  </sheetData>
  <conditionalFormatting sqref="H25:BD27 H18:AF24 H14:BD17">
    <cfRule type="expression" dxfId="8" priority="9">
      <formula>AND(H$11&gt;=$C14,H$11&lt;=$D14)</formula>
    </cfRule>
    <cfRule type="expression" dxfId="7" priority="8">
      <formula>AND(H$11&gt;=$C14, H$11&lt;=$D14)</formula>
    </cfRule>
    <cfRule type="expression" dxfId="6" priority="7">
      <formula>AND($H$11&gt;=$C$14, $H$11&lt;=$D$14)</formula>
    </cfRule>
    <cfRule type="expression" dxfId="5" priority="5">
      <formula>AND(H$11&gt;=$C14,H$11&lt;=$D14)</formula>
    </cfRule>
  </conditionalFormatting>
  <conditionalFormatting sqref="H14:BD14">
    <cfRule type="expression" dxfId="4" priority="6">
      <formula>AND(H$11&gt;=$C14,H$11&lt;=$D14)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2025-11-25T13:19:32Z</dcterms:created>
  <dcterms:modified xsi:type="dcterms:W3CDTF">2025-11-26T09:56:59Z</dcterms:modified>
</cp:coreProperties>
</file>