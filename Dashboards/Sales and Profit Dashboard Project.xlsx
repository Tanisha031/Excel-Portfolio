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-105" yWindow="-105" windowWidth="22155" windowHeight="11835" activeTab="2"/>
  </bookViews>
  <sheets>
    <sheet name="DATA" sheetId="2" r:id="rId1"/>
    <sheet name="PIVOT " sheetId="3" r:id="rId2"/>
    <sheet name="DASHBOARD" sheetId="4" r:id="rId3"/>
  </sheets>
  <calcPr calcId="162913"/>
  <pivotCaches>
    <pivotCache cacheId="11" r:id="rId4"/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3" l="1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7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6" i="3"/>
  <c r="A11" i="3"/>
  <c r="A14" i="3"/>
  <c r="Y53" i="3"/>
  <c r="Y11" i="3"/>
  <c r="Y15" i="3"/>
  <c r="Y19" i="3"/>
  <c r="Y23" i="3"/>
  <c r="Y25" i="3"/>
  <c r="Y29" i="3"/>
  <c r="Y33" i="3"/>
  <c r="Y37" i="3"/>
  <c r="Y41" i="3"/>
  <c r="Y45" i="3"/>
  <c r="Y49" i="3"/>
  <c r="Y55" i="3"/>
  <c r="Y13" i="3"/>
  <c r="Y17" i="3"/>
  <c r="Y21" i="3"/>
  <c r="Y27" i="3"/>
  <c r="Y31" i="3"/>
  <c r="Y35" i="3"/>
  <c r="Y39" i="3"/>
  <c r="Y43" i="3"/>
  <c r="Y47" i="3"/>
  <c r="Y51" i="3"/>
  <c r="Y8" i="3"/>
  <c r="Y12" i="3"/>
  <c r="Y16" i="3"/>
  <c r="Y20" i="3"/>
  <c r="Y24" i="3"/>
  <c r="Y28" i="3"/>
  <c r="Y32" i="3"/>
  <c r="Y36" i="3"/>
  <c r="Y40" i="3"/>
  <c r="Y44" i="3"/>
  <c r="Y48" i="3"/>
  <c r="Y52" i="3"/>
  <c r="Y9" i="3"/>
  <c r="Y10" i="3"/>
  <c r="Y14" i="3"/>
  <c r="Y18" i="3"/>
  <c r="Y22" i="3"/>
  <c r="Y26" i="3"/>
  <c r="Y30" i="3"/>
  <c r="Y38" i="3"/>
  <c r="Y42" i="3"/>
  <c r="Y46" i="3"/>
  <c r="Y54" i="3"/>
  <c r="Y34" i="3"/>
  <c r="Y50" i="3"/>
  <c r="Y7" i="3"/>
  <c r="M19" i="3"/>
  <c r="M16" i="3"/>
  <c r="M20" i="3"/>
  <c r="M7" i="3"/>
  <c r="M8" i="3"/>
  <c r="M11" i="3"/>
  <c r="M9" i="3"/>
  <c r="M12" i="3"/>
  <c r="M18" i="3"/>
  <c r="M15" i="3"/>
  <c r="M13" i="3"/>
  <c r="M17" i="3"/>
  <c r="M21" i="3"/>
  <c r="M10" i="3"/>
  <c r="M22" i="3"/>
  <c r="M14" i="3"/>
  <c r="M6" i="3"/>
</calcChain>
</file>

<file path=xl/sharedStrings.xml><?xml version="1.0" encoding="utf-8"?>
<sst xmlns="http://schemas.openxmlformats.org/spreadsheetml/2006/main" count="52336" uniqueCount="2724">
  <si>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</si>
  <si>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</si>
  <si>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</si>
  <si>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</si>
  <si>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</si>
  <si>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</si>
  <si>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</si>
  <si>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</si>
  <si>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</si>
  <si>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</si>
  <si>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</si>
  <si>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</si>
  <si>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</si>
  <si>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</si>
  <si>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</si>
  <si>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</si>
  <si>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</si>
  <si>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</si>
  <si>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</si>
  <si>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</si>
  <si>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</si>
  <si>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</si>
  <si>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</si>
  <si>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</si>
  <si>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</si>
  <si>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</si>
  <si>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</si>
  <si>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</si>
  <si>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</si>
  <si>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</si>
  <si>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</si>
  <si>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</si>
  <si>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</si>
  <si>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</si>
  <si>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</si>
  <si>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</si>
  <si>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</si>
  <si>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</si>
  <si>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</si>
  <si>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</si>
  <si>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</si>
  <si>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</si>
  <si>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</si>
  <si>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</si>
  <si>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</si>
  <si>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</si>
  <si>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</si>
  <si>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</si>
  <si>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</si>
  <si>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</si>
  <si>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</si>
  <si>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</si>
  <si>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</si>
  <si>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</si>
  <si>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</si>
  <si>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</si>
  <si>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</si>
  <si>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</si>
  <si>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</si>
  <si>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</si>
  <si>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</si>
  <si>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</si>
  <si>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</si>
  <si>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</si>
  <si>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</si>
  <si>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</si>
  <si>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</si>
  <si>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</si>
  <si>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</si>
  <si>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</si>
  <si>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</si>
  <si>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</si>
  <si>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</si>
  <si>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</si>
  <si>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</si>
  <si>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</si>
  <si>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</si>
  <si>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</si>
  <si>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</si>
  <si>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</si>
  <si>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</si>
  <si>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</si>
  <si>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</si>
  <si>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</si>
  <si>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</si>
  <si>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</si>
  <si>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</si>
  <si>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</si>
  <si>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</si>
  <si>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</si>
  <si>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</si>
  <si>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</si>
  <si>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</si>
  <si>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</si>
  <si>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</si>
  <si>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</si>
  <si>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</si>
  <si>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</si>
  <si>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</si>
  <si>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</si>
  <si>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</si>
  <si>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</si>
  <si>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</si>
  <si>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</si>
  <si>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</si>
  <si>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</si>
  <si>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</si>
  <si>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</si>
  <si>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</si>
  <si>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</si>
  <si>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</si>
  <si>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</si>
  <si>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</si>
  <si>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</si>
  <si>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</si>
  <si>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</si>
  <si>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</si>
  <si>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</si>
  <si>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</si>
  <si>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</si>
  <si>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</si>
  <si>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</si>
  <si>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</si>
  <si>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</si>
  <si>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</si>
  <si>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</si>
  <si>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</si>
  <si>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</si>
  <si>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</si>
  <si>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</si>
  <si>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</si>
  <si>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</si>
  <si>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</si>
  <si>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</si>
  <si>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</si>
  <si>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</si>
  <si>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</si>
  <si>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</si>
  <si>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</si>
  <si>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</si>
  <si>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</si>
  <si>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</si>
  <si>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</si>
  <si>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</si>
  <si>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</si>
  <si>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</si>
  <si>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</si>
  <si>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</si>
  <si>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</si>
  <si>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</si>
  <si>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</si>
  <si>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</si>
  <si>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</si>
  <si>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</si>
  <si>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</si>
  <si>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</si>
  <si>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</si>
  <si>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</si>
  <si>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</si>
  <si>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</si>
  <si>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</si>
  <si>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</si>
  <si>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</si>
  <si>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</si>
  <si>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</si>
  <si>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</si>
  <si>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</si>
  <si>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</si>
  <si>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</si>
  <si>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</si>
  <si>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</si>
  <si>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</si>
  <si>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</si>
  <si>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</si>
  <si>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</si>
  <si>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</si>
  <si>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</si>
  <si>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</si>
  <si>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</si>
  <si>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</si>
  <si>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</si>
  <si>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</si>
  <si>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</si>
  <si>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</si>
  <si>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</si>
  <si>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</si>
  <si>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</si>
  <si>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</si>
  <si>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</si>
  <si>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</si>
  <si>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</si>
  <si>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</si>
  <si>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</si>
  <si>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</si>
  <si>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</si>
  <si>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</si>
  <si>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</si>
  <si>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</si>
  <si>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</si>
  <si>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</si>
  <si>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</si>
  <si>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</si>
  <si>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</si>
  <si>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</si>
  <si>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</si>
  <si>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</si>
  <si>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</si>
  <si>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</si>
  <si>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</si>
  <si>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</si>
  <si>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</si>
  <si>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</si>
  <si>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</si>
  <si>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</si>
  <si>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</si>
  <si>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</si>
  <si>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</si>
  <si>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</si>
  <si>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</si>
  <si>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</si>
  <si>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</si>
  <si>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</si>
  <si>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</si>
  <si>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</si>
  <si>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</si>
  <si>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</si>
  <si>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</si>
  <si>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</si>
  <si>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</si>
  <si>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</si>
  <si>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</si>
  <si>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</si>
  <si>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</si>
  <si>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</si>
  <si>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</si>
  <si>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</si>
  <si>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</si>
  <si>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</si>
  <si>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</si>
  <si>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</si>
  <si>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</si>
  <si>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</si>
  <si>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</si>
  <si>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</si>
  <si>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</si>
  <si>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</si>
  <si>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</si>
  <si>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</si>
  <si>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</si>
  <si>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</si>
  <si>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</si>
  <si>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</si>
  <si>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</si>
  <si>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</si>
  <si>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</si>
  <si>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</si>
  <si>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</si>
  <si>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</si>
  <si>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</si>
  <si>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</si>
  <si>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</si>
  <si>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</si>
  <si>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</si>
  <si>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</si>
  <si>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</si>
  <si>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</si>
  <si>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</si>
  <si>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</si>
  <si>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</si>
  <si>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</si>
  <si>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</si>
  <si>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</si>
  <si>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</si>
  <si>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</si>
  <si>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</si>
  <si>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</si>
  <si>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</si>
  <si>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</si>
  <si>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</si>
  <si>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</si>
  <si>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</si>
  <si>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</si>
  <si>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</si>
  <si>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</si>
  <si>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</si>
  <si>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</si>
  <si>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</si>
  <si>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</si>
  <si>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</si>
  <si>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</si>
  <si>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</si>
  <si>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</si>
  <si>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</si>
  <si>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</si>
  <si>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</si>
  <si>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</si>
  <si>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</si>
  <si>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</si>
  <si>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</si>
  <si>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</si>
  <si>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</si>
  <si>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</si>
  <si>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</si>
  <si>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</si>
  <si>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</si>
  <si>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</si>
  <si>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</si>
  <si>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</si>
  <si>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</si>
  <si>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</si>
  <si>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</si>
  <si>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</si>
  <si>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</si>
  <si>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</si>
  <si>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</si>
  <si>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</si>
  <si>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</si>
  <si>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</si>
  <si>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</si>
  <si>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</si>
  <si>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</si>
  <si>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</si>
  <si>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</si>
  <si>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</si>
  <si>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</si>
  <si>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</si>
  <si>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</si>
  <si>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</si>
  <si>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</si>
  <si>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</si>
  <si>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</si>
  <si>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</si>
  <si>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</si>
  <si>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</si>
  <si>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</si>
  <si>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</si>
  <si>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</si>
  <si>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</si>
  <si>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</si>
  <si>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</si>
  <si>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</si>
  <si>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</si>
  <si>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</si>
  <si>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</si>
  <si>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</si>
  <si>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</si>
  <si>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</si>
  <si>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</si>
  <si>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</si>
  <si>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</si>
  <si>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</si>
  <si>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</si>
  <si>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</si>
  <si>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</si>
  <si>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</si>
  <si>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</si>
  <si>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</si>
  <si>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</si>
  <si>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</si>
  <si>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</si>
  <si>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</si>
  <si>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</si>
  <si>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</si>
  <si>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</si>
  <si>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</si>
  <si>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</si>
  <si>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</si>
  <si>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</si>
  <si>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</si>
  <si>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</si>
  <si>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</si>
  <si>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</si>
  <si>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</si>
  <si>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</si>
  <si>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</si>
  <si>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</si>
  <si>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</si>
  <si>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</si>
  <si>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</si>
  <si>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</si>
  <si>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</si>
  <si>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</si>
  <si>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</si>
  <si>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</si>
  <si>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</si>
  <si>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</si>
  <si>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</si>
  <si>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</si>
  <si>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</si>
  <si>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</si>
  <si>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</si>
  <si>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</si>
  <si>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</si>
  <si>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</si>
  <si>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</si>
  <si>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</si>
  <si>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</si>
  <si>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</si>
  <si>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</si>
  <si>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</si>
  <si>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</si>
  <si>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</si>
  <si>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</si>
  <si>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</si>
  <si>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</si>
  <si>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</si>
  <si>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</si>
  <si>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</si>
  <si>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</si>
  <si>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</si>
  <si>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</si>
  <si>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</si>
  <si>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</si>
  <si>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</si>
  <si>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</si>
  <si>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</si>
  <si>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</si>
  <si>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</si>
  <si>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</si>
  <si>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</si>
  <si>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</si>
  <si>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</si>
  <si>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</si>
  <si>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</si>
  <si>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</si>
  <si>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</si>
  <si>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</si>
  <si>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</si>
  <si>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</si>
  <si>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</si>
  <si>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</si>
  <si>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</si>
  <si>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</si>
  <si>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</si>
  <si>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</si>
  <si>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</si>
  <si>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</si>
  <si>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</si>
  <si>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</si>
  <si>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</si>
  <si>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</si>
  <si>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</si>
  <si>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</si>
  <si>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</si>
  <si>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</si>
  <si>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</si>
  <si>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</si>
  <si>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</si>
  <si>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</si>
  <si>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</si>
  <si>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</si>
  <si>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</si>
  <si>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</si>
  <si>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</si>
  <si>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</si>
  <si>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</si>
  <si>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</si>
  <si>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</si>
  <si>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</si>
  <si>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</si>
  <si>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</si>
  <si>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</si>
  <si>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</si>
  <si>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</si>
  <si>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</si>
  <si>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</si>
  <si>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</si>
  <si>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</si>
  <si>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</si>
  <si>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</si>
  <si>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</si>
  <si>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</si>
  <si>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</si>
  <si>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</si>
  <si>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</si>
  <si>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</si>
  <si>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</si>
  <si>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</si>
  <si>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</si>
  <si>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</si>
  <si>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</si>
  <si>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</si>
  <si>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</si>
  <si>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</si>
  <si>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</si>
  <si>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</si>
  <si>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</si>
  <si>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</si>
  <si>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</si>
  <si>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</si>
  <si>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</si>
  <si>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</si>
  <si>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</si>
  <si>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</si>
  <si>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</si>
  <si>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</si>
  <si>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</si>
  <si>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</si>
  <si>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</si>
  <si>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</si>
  <si>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</si>
  <si>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</si>
  <si>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</si>
  <si>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</si>
  <si>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</si>
  <si>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</si>
  <si>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</si>
  <si>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</si>
  <si>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</si>
  <si>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</si>
  <si>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</si>
  <si>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</si>
  <si>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</si>
  <si>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</si>
  <si>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</si>
  <si>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</si>
  <si>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</si>
  <si>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</si>
  <si>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</si>
  <si>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</si>
  <si>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</si>
  <si>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</si>
  <si>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</si>
  <si>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</si>
  <si>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</si>
  <si>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</si>
  <si>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</si>
  <si>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</si>
  <si>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</si>
  <si>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</si>
  <si>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</si>
  <si>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</si>
  <si>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</si>
  <si>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</si>
  <si>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</si>
  <si>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</si>
  <si>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</si>
  <si>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</si>
  <si>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</si>
  <si>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</si>
  <si>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</si>
  <si>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</si>
  <si>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</si>
  <si>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</si>
  <si>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</si>
  <si>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</si>
  <si>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</si>
  <si>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</si>
  <si>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</si>
  <si>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</si>
  <si>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</si>
  <si>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</si>
  <si>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</si>
  <si>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</si>
  <si>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</si>
  <si>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</si>
  <si>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</si>
  <si>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</si>
  <si>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</si>
  <si>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</si>
  <si>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</si>
  <si>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</si>
  <si>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</si>
  <si>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</si>
  <si>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</si>
  <si>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</si>
  <si>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</si>
  <si>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</si>
  <si>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</si>
  <si>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</si>
  <si>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</si>
  <si>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</si>
  <si>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</si>
  <si>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</si>
  <si>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</si>
  <si>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</si>
  <si>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</si>
  <si>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</si>
  <si>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</si>
  <si>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</si>
  <si>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</si>
  <si>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</si>
  <si>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</si>
  <si>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</si>
  <si>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</si>
  <si>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</si>
  <si>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</si>
  <si>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</si>
  <si>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</si>
  <si>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</si>
  <si>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</si>
  <si>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</si>
  <si>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</si>
  <si>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</si>
  <si>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</si>
  <si>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</si>
  <si>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</si>
  <si>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</si>
  <si>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</si>
  <si>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</si>
  <si>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</si>
  <si>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</si>
  <si>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</si>
  <si>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</si>
  <si>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</si>
  <si>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</si>
  <si>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</si>
  <si>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</si>
  <si>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</si>
  <si>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</si>
  <si>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</si>
  <si>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</si>
  <si>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</si>
  <si>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</si>
  <si>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</si>
  <si>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</si>
  <si>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</si>
  <si>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</si>
  <si>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</si>
  <si>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</si>
  <si>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</si>
  <si>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</si>
  <si>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</si>
  <si>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</si>
  <si>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</si>
  <si>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</si>
  <si>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</si>
  <si>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</si>
  <si>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</si>
  <si>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</si>
  <si>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</si>
  <si>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</si>
  <si>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</si>
  <si>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</si>
  <si>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</si>
  <si>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</si>
  <si>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</si>
  <si>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</si>
  <si>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</si>
  <si>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</si>
  <si>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</si>
  <si>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</si>
  <si>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</si>
  <si>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</si>
  <si>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</si>
  <si>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</si>
  <si>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</si>
  <si>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</si>
  <si>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</si>
  <si>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</si>
  <si>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</si>
  <si>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</si>
  <si>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</si>
  <si>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</si>
  <si>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</si>
  <si>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</si>
  <si>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</si>
  <si>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</si>
  <si>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</si>
  <si>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</si>
  <si>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</si>
  <si>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</si>
  <si>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</si>
  <si>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</si>
  <si>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</si>
  <si>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</si>
  <si>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</si>
  <si>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</si>
  <si>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</si>
  <si>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</si>
  <si>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</si>
  <si>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</si>
  <si>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</si>
  <si>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</si>
  <si>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</si>
  <si>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</si>
  <si>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</si>
  <si>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</si>
  <si>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</si>
  <si>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</si>
  <si>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</si>
  <si>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</si>
  <si>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</si>
  <si>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</si>
  <si>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</si>
  <si>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</si>
  <si>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</si>
  <si>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</si>
  <si>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</si>
  <si>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</si>
  <si>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</si>
  <si>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</si>
  <si>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</si>
  <si>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</si>
  <si>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</si>
  <si>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</si>
  <si>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</si>
  <si>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</si>
  <si>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</si>
  <si>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</si>
  <si>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</si>
  <si>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</si>
  <si>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</si>
  <si>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</si>
  <si>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</si>
  <si>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</si>
  <si>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</si>
  <si>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</si>
  <si>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</si>
  <si>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</si>
  <si>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</si>
  <si>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</si>
  <si>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</si>
  <si>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</si>
  <si>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</si>
  <si>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</si>
  <si>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</si>
  <si>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</si>
  <si>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</si>
  <si>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</si>
  <si>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</si>
  <si>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</si>
  <si>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</si>
  <si>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</si>
  <si>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</si>
  <si>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</si>
  <si>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</si>
  <si>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</si>
  <si>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</si>
  <si>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</si>
  <si>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</si>
  <si>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</si>
  <si>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</si>
  <si>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</si>
  <si>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</si>
  <si>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</si>
  <si>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</si>
  <si>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</si>
  <si>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</si>
  <si>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</si>
  <si>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</si>
  <si>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</si>
  <si>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</si>
  <si>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</si>
  <si>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</si>
  <si>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</si>
  <si>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</si>
  <si>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</si>
  <si>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</si>
  <si>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</si>
  <si>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</si>
  <si>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</si>
  <si>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</si>
  <si>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</si>
  <si>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</si>
  <si>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</si>
  <si>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</si>
  <si>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</si>
  <si>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</si>
  <si>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</si>
  <si>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</si>
  <si>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</si>
  <si>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</si>
  <si>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</si>
  <si>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</si>
  <si>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</si>
  <si>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</si>
  <si>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</si>
  <si>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</si>
  <si>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</si>
  <si>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</si>
  <si>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</si>
  <si>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</si>
  <si>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</si>
  <si>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</si>
  <si>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</si>
  <si>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</si>
  <si>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</si>
  <si>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</si>
  <si>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</si>
  <si>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</si>
  <si>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</si>
  <si>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</si>
  <si>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</si>
  <si>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</si>
  <si>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</si>
  <si>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</si>
  <si>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</si>
  <si>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</si>
  <si>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</si>
  <si>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</si>
  <si>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</si>
  <si>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</si>
  <si>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</si>
  <si>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</si>
  <si>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</si>
  <si>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</si>
  <si>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</si>
  <si>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</si>
  <si>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</si>
  <si>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</si>
  <si>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</si>
  <si>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</si>
  <si>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</si>
  <si>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</si>
  <si>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</si>
  <si>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</si>
  <si>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</si>
  <si>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</si>
  <si>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</si>
  <si>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</si>
  <si>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</si>
  <si>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</si>
  <si>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</si>
  <si>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</si>
  <si>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</si>
  <si>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</si>
  <si>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</si>
  <si>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</si>
  <si>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</si>
  <si>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</si>
  <si>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</si>
  <si>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</si>
  <si>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</si>
  <si>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</si>
  <si>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</si>
  <si>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</si>
  <si>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</si>
  <si>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</si>
  <si>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</si>
  <si>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</si>
  <si>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</si>
  <si>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</si>
  <si>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</si>
  <si>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</si>
  <si>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</si>
  <si>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</si>
  <si>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</si>
  <si>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</si>
  <si>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</si>
  <si>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</si>
  <si>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</si>
  <si>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</si>
  <si>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</si>
  <si>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</si>
  <si>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</si>
  <si>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</si>
  <si>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</si>
  <si>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</si>
  <si>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</si>
  <si>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</si>
  <si>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</si>
  <si>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</si>
  <si>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</si>
  <si>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</si>
  <si>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</si>
  <si>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</si>
  <si>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</si>
  <si>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</si>
  <si>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</si>
  <si>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</si>
  <si>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</si>
  <si>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</si>
  <si>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</si>
  <si>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</si>
  <si>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</si>
  <si>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</si>
  <si>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</si>
  <si>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</si>
  <si>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</si>
  <si>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</si>
  <si>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</si>
  <si>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</si>
  <si>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</si>
  <si>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</si>
  <si>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</si>
  <si>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</si>
  <si>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</si>
  <si>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</si>
  <si>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</si>
  <si>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</si>
  <si>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</si>
  <si>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</si>
  <si>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</si>
  <si>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</si>
  <si>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</si>
  <si>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</si>
  <si>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</si>
  <si>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</si>
  <si>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</si>
  <si>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</si>
  <si>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</si>
  <si>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</si>
  <si>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</si>
  <si>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</si>
  <si>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</si>
  <si>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</si>
  <si>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</si>
  <si>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</si>
  <si>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</si>
  <si>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</si>
  <si>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</si>
  <si>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</si>
  <si>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</si>
  <si>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</si>
  <si>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</si>
  <si>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</si>
  <si>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</si>
  <si>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</si>
  <si>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</si>
  <si>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</si>
  <si>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</si>
  <si>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</si>
  <si>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</si>
  <si>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</si>
  <si>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</si>
  <si>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</si>
  <si>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</si>
  <si>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</si>
  <si>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</si>
  <si>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</si>
  <si>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</si>
  <si>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</si>
  <si>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</si>
  <si>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</si>
  <si>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</si>
  <si>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</si>
  <si>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</si>
  <si>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</si>
  <si>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</si>
  <si>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</si>
  <si>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</si>
  <si>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</si>
  <si>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</si>
  <si>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</si>
  <si>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</si>
  <si>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</si>
  <si>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</si>
  <si>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</si>
  <si>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</si>
  <si>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</si>
  <si>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</si>
  <si>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</si>
  <si>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</si>
  <si>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</si>
  <si>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</si>
  <si>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</si>
  <si>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</si>
  <si>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</si>
  <si>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</si>
  <si>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</si>
  <si>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</si>
  <si>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</si>
  <si>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</si>
  <si>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</si>
  <si>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</si>
  <si>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</si>
  <si>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</si>
  <si>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</si>
  <si>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</si>
  <si>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</si>
  <si>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</si>
  <si>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</si>
  <si>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</si>
  <si>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</si>
  <si>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</si>
  <si>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</si>
  <si>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</si>
  <si>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</si>
  <si>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</si>
  <si>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</si>
  <si>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</si>
  <si>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</si>
  <si>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</si>
  <si>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</si>
  <si>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</si>
  <si>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</si>
  <si>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</si>
  <si>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</si>
  <si>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</si>
  <si>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</si>
  <si>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</si>
  <si>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</si>
  <si>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</si>
  <si>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</si>
  <si>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</si>
  <si>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</si>
  <si>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</si>
  <si>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</si>
  <si>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</si>
  <si>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</si>
  <si>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</si>
  <si>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</si>
  <si>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</si>
  <si>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</si>
  <si>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</si>
  <si>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</si>
  <si>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</si>
  <si>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</si>
  <si>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</si>
  <si>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</si>
  <si>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</si>
  <si>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</si>
  <si>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</si>
  <si>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</si>
  <si>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</si>
  <si>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</si>
  <si>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</si>
  <si>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</si>
  <si>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</si>
  <si>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</si>
  <si>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</si>
  <si>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</si>
  <si>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</si>
  <si>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</si>
  <si>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</si>
  <si>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</si>
  <si>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</si>
  <si>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</si>
  <si>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</si>
  <si>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</si>
  <si>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</si>
  <si>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</si>
  <si>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</si>
  <si>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</si>
  <si>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</si>
  <si>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</si>
  <si>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</si>
  <si>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</si>
  <si>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</si>
  <si>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</si>
  <si>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</si>
  <si>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</si>
  <si>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</si>
  <si>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</si>
  <si>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</si>
  <si>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</si>
  <si>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</si>
  <si>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</si>
  <si>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</si>
  <si>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</si>
  <si>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</si>
  <si>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</si>
  <si>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</si>
  <si>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</si>
  <si>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</si>
  <si>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</si>
  <si>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</si>
  <si>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</si>
  <si>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</si>
  <si>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</si>
  <si>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</si>
  <si>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</si>
  <si>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</si>
  <si>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</si>
  <si>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</si>
  <si>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</si>
  <si>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</si>
  <si>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</si>
  <si>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</si>
  <si>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</si>
  <si>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</si>
  <si>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</si>
  <si>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</si>
  <si>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</si>
  <si>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</si>
  <si>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</si>
  <si>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</si>
  <si>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</si>
  <si>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</si>
  <si>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</si>
  <si>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</si>
  <si>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</si>
  <si>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</si>
  <si>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</si>
  <si>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</si>
  <si>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</si>
  <si>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</si>
  <si>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</si>
  <si>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</si>
  <si>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</si>
  <si>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</si>
  <si>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</si>
  <si>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</si>
  <si>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</si>
  <si>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</si>
  <si>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</si>
  <si>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</si>
  <si>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</si>
  <si>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</si>
  <si>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</si>
  <si>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</si>
  <si>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</si>
  <si>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</si>
  <si>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</si>
  <si>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</si>
  <si>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</si>
  <si>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</si>
  <si>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</si>
  <si>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</si>
  <si>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</si>
  <si>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</si>
  <si>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</si>
  <si>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</si>
  <si>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</si>
  <si>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</si>
  <si>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</si>
  <si>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</si>
  <si>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</si>
  <si>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</si>
  <si>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</si>
  <si>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</si>
  <si>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</si>
  <si>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</si>
  <si>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</si>
  <si>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</si>
  <si>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</si>
  <si>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</si>
  <si>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</si>
  <si>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</si>
  <si>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</si>
  <si>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</si>
  <si>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</si>
  <si>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</si>
  <si>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</si>
  <si>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</si>
  <si>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</si>
  <si>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</si>
  <si>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</si>
  <si>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</si>
  <si>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</si>
  <si>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</si>
  <si>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</si>
  <si>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</si>
  <si>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</si>
  <si>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</si>
  <si>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</si>
  <si>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</si>
  <si>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</si>
  <si>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</si>
  <si>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</si>
  <si>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</si>
  <si>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</si>
  <si>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</si>
  <si>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</si>
  <si>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</si>
  <si>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</si>
  <si>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</si>
  <si>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</si>
  <si>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</si>
  <si>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</si>
  <si>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</si>
  <si>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</si>
  <si>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</si>
  <si>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</si>
  <si>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</si>
  <si>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</si>
  <si>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</si>
  <si>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</si>
  <si>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</si>
  <si>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</si>
  <si>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</si>
  <si>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</si>
  <si>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</si>
  <si>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</si>
  <si>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</si>
  <si>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</si>
  <si>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</si>
  <si>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</si>
  <si>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</si>
  <si>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</si>
  <si>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</si>
  <si>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</si>
  <si>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</si>
  <si>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</si>
  <si>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</si>
  <si>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</si>
  <si>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</si>
  <si>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</si>
  <si>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</si>
  <si>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</si>
  <si>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</si>
  <si>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</si>
  <si>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</si>
  <si>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</si>
  <si>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</si>
  <si>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</si>
  <si>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</si>
  <si>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</si>
  <si>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</si>
  <si>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</si>
  <si>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</si>
  <si>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</si>
  <si>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</si>
  <si>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</si>
  <si>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</si>
  <si>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</si>
  <si>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</si>
  <si>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</si>
  <si>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</si>
  <si>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</si>
  <si>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</si>
  <si>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</si>
  <si>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</si>
  <si>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</si>
  <si>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</si>
  <si>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</si>
  <si>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</si>
  <si>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</si>
  <si>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</si>
  <si>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</si>
  <si>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</si>
  <si>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</si>
  <si>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</si>
  <si>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</si>
  <si>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</si>
  <si>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</si>
  <si>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</si>
  <si>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</si>
  <si>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</si>
  <si>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</si>
  <si>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</si>
  <si>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</si>
  <si>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</si>
  <si>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</si>
  <si>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</si>
  <si>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</si>
  <si>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</si>
  <si>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</si>
  <si>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</si>
  <si>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</si>
  <si>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</si>
  <si>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</si>
  <si>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</si>
  <si>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</si>
  <si>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</si>
  <si>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</si>
  <si>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</si>
  <si>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</si>
  <si>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</si>
  <si>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</si>
  <si>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</si>
  <si>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</si>
  <si>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</si>
  <si>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</si>
  <si>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</si>
  <si>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</si>
  <si>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</si>
  <si>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</si>
  <si>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</si>
  <si>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</si>
  <si>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</si>
  <si>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</si>
  <si>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</si>
  <si>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</si>
  <si>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</si>
  <si>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</si>
  <si>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</si>
  <si>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</si>
  <si>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</si>
  <si>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</si>
  <si>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</si>
  <si>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</si>
  <si>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</si>
  <si>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</si>
  <si>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</si>
  <si>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</si>
  <si>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</si>
  <si>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</si>
  <si>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</si>
  <si>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</si>
  <si>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</si>
  <si>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</si>
  <si>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</si>
  <si>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</si>
  <si>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</si>
  <si>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</si>
  <si>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</si>
  <si>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</si>
  <si>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</si>
  <si>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</si>
  <si>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</si>
  <si>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</si>
  <si>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</si>
  <si>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</si>
  <si>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</si>
  <si>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</si>
  <si>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</si>
  <si>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</si>
  <si>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</si>
  <si>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</si>
  <si>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</si>
  <si>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</si>
  <si>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</si>
  <si>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</si>
  <si>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</si>
  <si>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</si>
  <si>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</si>
  <si>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</si>
  <si>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</si>
  <si>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</si>
  <si>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</si>
  <si>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</si>
  <si>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</si>
  <si>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</si>
  <si>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</si>
  <si>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</si>
  <si>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</si>
  <si>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</si>
  <si>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</si>
  <si>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</si>
  <si>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</si>
  <si>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</si>
  <si>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</si>
  <si>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</si>
  <si>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</si>
  <si>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</si>
  <si>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</si>
  <si>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</si>
  <si>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</si>
  <si>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</si>
  <si>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</si>
  <si>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</si>
  <si>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</si>
  <si>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</si>
  <si>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</si>
  <si>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</si>
  <si>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</si>
  <si>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</si>
  <si>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</si>
  <si>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</si>
  <si>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</si>
  <si>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</si>
  <si>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</si>
  <si>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</si>
  <si>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</si>
  <si>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</si>
  <si>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</si>
  <si>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</si>
  <si>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</si>
  <si>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</si>
  <si>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</si>
  <si>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</si>
  <si>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</si>
  <si>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</si>
  <si>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</si>
  <si>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</si>
  <si>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</si>
  <si>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</si>
  <si>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</si>
  <si>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</si>
  <si>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</si>
  <si>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</si>
  <si>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</si>
  <si>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</si>
  <si>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</si>
  <si>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</si>
  <si>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</si>
  <si>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</si>
  <si>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</si>
  <si>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</si>
  <si>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</si>
  <si>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</si>
  <si>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</si>
  <si>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</si>
  <si>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</si>
  <si>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</si>
  <si>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</si>
  <si>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</si>
  <si>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</si>
  <si>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</si>
  <si>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</si>
  <si>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</si>
  <si>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</si>
  <si>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</si>
  <si>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</si>
  <si>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</si>
  <si>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</si>
  <si>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</si>
  <si>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</si>
  <si>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</si>
  <si>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</si>
  <si>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</si>
  <si>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</si>
  <si>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</si>
  <si>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</si>
  <si>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</si>
  <si>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</si>
  <si>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</si>
  <si>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</si>
  <si>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</si>
  <si>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</si>
  <si>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</si>
  <si>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</si>
  <si>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</si>
  <si>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</si>
  <si>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</si>
  <si>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</si>
  <si>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</si>
  <si>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</si>
  <si>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</si>
  <si>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</si>
  <si>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</si>
  <si>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</si>
  <si>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</si>
  <si>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</si>
  <si>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</si>
  <si>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</si>
  <si>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</si>
  <si>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</si>
  <si>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</si>
  <si>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</si>
  <si>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</si>
  <si>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</si>
  <si>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</si>
  <si>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</si>
  <si>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</si>
  <si>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</si>
  <si>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</si>
  <si>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</si>
  <si>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</si>
  <si>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</si>
  <si>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</si>
  <si>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</si>
  <si>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</si>
  <si>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</si>
  <si>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</si>
  <si>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</si>
  <si>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</si>
  <si>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</si>
  <si>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</si>
  <si>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</si>
  <si>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</si>
  <si>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</si>
  <si>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</si>
  <si>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</si>
  <si>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</si>
  <si>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</si>
  <si>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</si>
  <si>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</si>
  <si>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</si>
  <si>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</si>
  <si>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</si>
  <si>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</si>
  <si>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</si>
  <si>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</si>
  <si>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</si>
  <si>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</si>
  <si>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</si>
  <si>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</si>
  <si>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</si>
  <si>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</si>
  <si>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</si>
  <si>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</si>
  <si>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</si>
  <si>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</si>
  <si>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</si>
  <si>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</si>
  <si>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</si>
  <si>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</si>
  <si>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</si>
  <si>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</si>
  <si>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</si>
  <si>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</si>
  <si>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</si>
  <si>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</si>
  <si>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</si>
  <si>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</si>
  <si>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</si>
  <si>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</si>
  <si>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</si>
  <si>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</si>
  <si>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</si>
  <si>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</si>
  <si>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</si>
  <si>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</si>
  <si>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</si>
  <si>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</si>
  <si>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</si>
  <si>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</si>
  <si>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</si>
  <si>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</si>
  <si>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</si>
  <si>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</si>
  <si>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</si>
  <si>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</si>
  <si>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</si>
  <si>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</si>
  <si>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</si>
  <si>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</si>
  <si>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</si>
  <si>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</si>
  <si>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</si>
  <si>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</si>
  <si>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</si>
  <si>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</si>
  <si>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</si>
  <si>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</si>
  <si>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</si>
  <si>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</si>
  <si>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</si>
  <si>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</si>
  <si>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</si>
  <si>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</si>
  <si>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</si>
  <si>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</si>
  <si>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</si>
  <si>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</si>
  <si>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</si>
  <si>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</si>
  <si>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</si>
  <si>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</si>
  <si>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</si>
  <si>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</si>
  <si>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</si>
  <si>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</si>
  <si>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</si>
  <si>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</si>
  <si>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</si>
  <si>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</si>
  <si>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</si>
  <si>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</si>
  <si>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</si>
  <si>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</si>
  <si>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</si>
  <si>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</si>
  <si>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</si>
  <si>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</si>
  <si>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</si>
  <si>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</si>
  <si>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</si>
  <si>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</si>
  <si>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</si>
  <si>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</si>
  <si>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</si>
  <si>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</si>
  <si>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</si>
  <si>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</si>
  <si>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</si>
  <si>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</si>
  <si>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</si>
  <si>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</si>
  <si>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</si>
  <si>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</si>
  <si>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</si>
  <si>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</si>
  <si>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</si>
  <si>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</si>
  <si>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</si>
  <si>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</si>
  <si>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</si>
  <si>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</si>
  <si>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</si>
  <si>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</si>
  <si>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</si>
  <si>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</si>
  <si>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</si>
  <si>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</si>
  <si>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</si>
  <si>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</si>
  <si>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</si>
  <si>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</si>
  <si>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</si>
  <si>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</si>
  <si>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</si>
  <si>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</si>
  <si>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</si>
  <si>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</si>
  <si>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</si>
  <si>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</si>
  <si>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</si>
  <si>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</si>
  <si>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</si>
  <si>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</si>
  <si>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</si>
  <si>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</si>
  <si>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</si>
  <si>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</si>
  <si>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</si>
  <si>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</si>
  <si>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</si>
  <si>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</si>
  <si>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</si>
  <si>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</si>
  <si>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</si>
  <si>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</si>
  <si>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</si>
  <si>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</si>
  <si>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</si>
  <si>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</si>
  <si>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</si>
  <si>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</si>
  <si>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</si>
  <si>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</si>
  <si>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</si>
  <si>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</si>
  <si>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</si>
  <si>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</si>
  <si>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</si>
  <si>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</si>
  <si>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</si>
  <si>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</si>
  <si>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</si>
  <si>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</si>
  <si>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</si>
  <si>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</si>
  <si>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</si>
  <si>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</si>
  <si>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</si>
  <si>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</si>
  <si>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</si>
  <si>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</si>
  <si>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</si>
  <si>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</si>
  <si>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</si>
  <si>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</si>
  <si>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</si>
  <si>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</si>
  <si>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</si>
  <si>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</si>
  <si>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</si>
  <si>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</si>
  <si>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</si>
  <si>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</si>
  <si>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</si>
  <si>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</si>
  <si>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</si>
  <si>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</si>
  <si>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</si>
  <si>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</si>
  <si>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</si>
  <si>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</si>
  <si>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</si>
  <si>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</si>
  <si>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</si>
  <si>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</si>
  <si>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</si>
  <si>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</si>
  <si>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</si>
  <si>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</si>
  <si>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</si>
  <si>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</si>
  <si>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</si>
  <si>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</si>
  <si>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</si>
  <si>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</si>
  <si>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</si>
  <si>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</si>
  <si>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</si>
  <si>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</si>
  <si>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</si>
  <si>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</si>
  <si>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</si>
  <si>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</si>
  <si>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</si>
  <si>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</si>
  <si>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</si>
  <si>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</si>
  <si>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</si>
  <si>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</si>
  <si>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</si>
  <si>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</si>
  <si>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</si>
  <si>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</si>
  <si>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</si>
  <si>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</si>
  <si>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</si>
  <si>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</si>
  <si>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</si>
  <si>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</si>
  <si>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</si>
  <si>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</si>
  <si>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</si>
  <si>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</si>
  <si>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</si>
  <si>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</si>
  <si>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</si>
  <si>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</si>
  <si>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</si>
  <si>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</si>
  <si>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</si>
  <si>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</si>
  <si>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</si>
  <si>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</si>
  <si>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</si>
  <si>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</si>
  <si>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</si>
  <si>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</si>
  <si>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</si>
  <si>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</si>
  <si>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</si>
  <si>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</si>
  <si>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</si>
  <si>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</si>
  <si>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</si>
  <si>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</si>
  <si>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</si>
  <si>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</si>
  <si>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</si>
  <si>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</si>
  <si>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</si>
  <si>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</si>
  <si>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</si>
  <si>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</si>
  <si>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</si>
  <si>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</si>
  <si>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</si>
  <si>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</si>
  <si>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</si>
  <si>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</si>
  <si>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</si>
  <si>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</si>
  <si>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</si>
  <si>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</si>
  <si>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</si>
  <si>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</si>
  <si>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</si>
  <si>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</si>
  <si>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</si>
  <si>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</si>
  <si>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</si>
  <si>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</si>
  <si>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</si>
  <si>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</si>
  <si>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</si>
  <si>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</si>
  <si>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</si>
  <si>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</si>
  <si>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</si>
  <si>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</si>
  <si>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</si>
  <si>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</si>
  <si>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</si>
  <si>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</si>
  <si>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</si>
  <si>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</si>
  <si>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</si>
  <si>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</si>
  <si>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</si>
  <si>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</si>
  <si>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</si>
  <si>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</si>
  <si>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</si>
  <si>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</si>
  <si>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</si>
  <si>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</si>
  <si>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</si>
  <si>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</si>
  <si>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</si>
  <si>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</si>
  <si>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</si>
  <si>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</si>
  <si>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</si>
  <si>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</si>
  <si>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</si>
  <si>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</si>
  <si>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</si>
  <si>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</si>
  <si>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</si>
  <si>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</si>
  <si>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</si>
  <si>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</si>
  <si>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</si>
  <si>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</si>
  <si>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</si>
  <si>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</si>
  <si>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</si>
  <si>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</si>
  <si>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</si>
  <si>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</si>
  <si>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</si>
  <si>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</si>
  <si>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</si>
  <si>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</si>
  <si>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</si>
  <si>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</si>
  <si>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</si>
  <si>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</si>
  <si>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</si>
  <si>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</si>
  <si>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</si>
  <si>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</si>
  <si>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</si>
  <si>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</si>
  <si>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</si>
  <si>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</si>
  <si>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</si>
  <si>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</si>
  <si>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</si>
  <si>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</si>
  <si>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</si>
  <si>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</si>
  <si>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</si>
  <si>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</si>
  <si>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</si>
  <si>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</si>
  <si>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</si>
  <si>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</si>
  <si>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</si>
  <si>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</si>
  <si>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</si>
  <si>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</si>
  <si>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</si>
  <si>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</si>
  <si>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</si>
  <si>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</si>
  <si>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</si>
  <si>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</si>
  <si>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</si>
  <si>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</si>
  <si>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</si>
  <si>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</si>
  <si>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</si>
  <si>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</si>
  <si>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</si>
  <si>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</si>
  <si>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</si>
  <si>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</si>
  <si>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</si>
  <si>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</si>
  <si>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</si>
  <si>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</si>
  <si>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</si>
  <si>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</si>
  <si>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</si>
  <si>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</si>
  <si>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</si>
  <si>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</si>
  <si>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</si>
  <si>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</si>
  <si>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</si>
  <si>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</si>
  <si>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</si>
  <si>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</si>
  <si>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</si>
  <si>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</si>
  <si>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</si>
  <si>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</si>
  <si>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</si>
  <si>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</si>
  <si>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</si>
  <si>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</si>
  <si>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</si>
  <si>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</si>
  <si>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</si>
  <si>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</si>
  <si>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</si>
  <si>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</si>
  <si>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</si>
  <si>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</si>
  <si>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</si>
  <si>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</si>
  <si>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</si>
  <si>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</si>
  <si>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</si>
  <si>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</si>
  <si>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</si>
  <si>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</si>
  <si>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</si>
  <si>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</si>
  <si>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</si>
  <si>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</si>
  <si>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</si>
  <si>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</si>
  <si>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</si>
  <si>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</si>
  <si>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</si>
  <si>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</si>
  <si>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</si>
  <si>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</si>
  <si>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</si>
  <si>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</si>
  <si>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</si>
  <si>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</si>
  <si>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</si>
  <si>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</si>
  <si>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</si>
  <si>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</si>
  <si>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</si>
  <si>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</si>
  <si>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</si>
  <si>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</si>
  <si>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</si>
  <si>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</si>
  <si>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</si>
  <si>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</si>
  <si>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</si>
  <si>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</si>
  <si>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</si>
  <si>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</si>
  <si>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</si>
  <si>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</si>
  <si>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</si>
  <si>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</si>
  <si>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</si>
  <si>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</si>
  <si>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</si>
  <si>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</si>
  <si>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</si>
  <si>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</si>
  <si>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</si>
  <si>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</si>
  <si>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</si>
  <si>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</si>
  <si>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</si>
  <si>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</si>
  <si>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</si>
  <si>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</si>
  <si>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</si>
  <si>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</si>
  <si>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</si>
  <si>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</si>
  <si>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</si>
  <si>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</si>
  <si>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</si>
  <si>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</si>
  <si>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</si>
  <si>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</si>
  <si>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</si>
  <si>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</si>
  <si>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</si>
  <si>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</si>
  <si>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</si>
  <si>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</si>
  <si>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</si>
  <si>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</si>
  <si>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</si>
  <si>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</si>
  <si>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</si>
  <si>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</si>
  <si>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</si>
  <si>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</si>
  <si>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</si>
  <si>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</si>
  <si>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</si>
  <si>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</si>
  <si>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</si>
  <si>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</si>
  <si>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</si>
  <si>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</si>
  <si>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</si>
  <si>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</si>
  <si>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</si>
  <si>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</si>
  <si>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</si>
  <si>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</si>
  <si>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</si>
  <si>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</si>
  <si>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</si>
  <si>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</si>
  <si>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</si>
  <si>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</si>
  <si>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</si>
  <si>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</si>
  <si>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</si>
  <si>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</si>
  <si>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</si>
  <si>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</si>
  <si>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</si>
  <si>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</si>
  <si>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</si>
  <si>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</si>
  <si>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</si>
  <si>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</si>
  <si>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</si>
  <si>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</si>
  <si>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</si>
  <si>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</si>
  <si>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</si>
  <si>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</si>
  <si>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</si>
  <si>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</si>
  <si>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</si>
  <si>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</si>
  <si>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</si>
  <si>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</si>
  <si>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</si>
  <si>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</si>
  <si>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</si>
  <si>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</si>
  <si>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</si>
  <si>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</si>
  <si>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</si>
  <si>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</si>
  <si>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</si>
  <si>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</si>
  <si>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</si>
  <si>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</si>
  <si>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</si>
  <si>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</si>
  <si>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</si>
  <si>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</si>
  <si>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</si>
  <si>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</si>
  <si>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</si>
  <si>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</si>
  <si>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</si>
  <si>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</si>
  <si>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</si>
  <si>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</si>
  <si>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</si>
  <si>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</si>
  <si>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</si>
  <si>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</si>
  <si>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</si>
  <si>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</si>
  <si>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</si>
  <si>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</si>
  <si>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</si>
  <si>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</si>
  <si>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</si>
  <si>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</si>
  <si>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</si>
  <si>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</si>
  <si>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</si>
  <si>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</si>
  <si>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</si>
  <si>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</si>
  <si>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</si>
  <si>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</si>
  <si>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</si>
  <si>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</si>
  <si>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</si>
  <si>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</si>
  <si>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</si>
  <si>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</si>
  <si>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</si>
  <si>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</si>
  <si>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</si>
  <si>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</si>
  <si>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</si>
  <si>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</si>
  <si>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</si>
  <si>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</si>
  <si>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</si>
  <si>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</si>
  <si>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</si>
  <si>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</si>
  <si>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</si>
  <si>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</si>
  <si>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</si>
  <si>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</si>
  <si>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</si>
  <si>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</si>
  <si>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</si>
  <si>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</si>
  <si>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</si>
  <si>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</si>
  <si>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</si>
  <si>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</si>
  <si>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</si>
  <si>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</si>
  <si>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</si>
  <si>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</si>
  <si>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</si>
  <si>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</si>
  <si>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</si>
  <si>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</si>
  <si>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</si>
  <si>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</si>
  <si>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</si>
  <si>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</si>
  <si>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</si>
  <si>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</si>
  <si>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</si>
  <si>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</si>
  <si>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</si>
  <si>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</si>
  <si>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</si>
  <si>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</si>
  <si>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</si>
  <si>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</si>
  <si>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</si>
  <si>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</si>
  <si>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</si>
  <si>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</si>
  <si>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</si>
  <si>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</si>
  <si>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</si>
  <si>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</si>
  <si>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</si>
  <si>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</si>
  <si>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</si>
  <si>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</si>
  <si>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</si>
  <si>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</si>
  <si>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</si>
  <si>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</si>
  <si>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</si>
  <si>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</si>
  <si>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</si>
  <si>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</si>
  <si>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</si>
  <si>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</si>
  <si>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</si>
  <si>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</si>
  <si>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</si>
  <si>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</si>
  <si>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</si>
  <si>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</si>
  <si>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</si>
  <si>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</si>
  <si>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</si>
  <si>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</si>
  <si>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</si>
  <si>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</si>
  <si>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</si>
  <si>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</si>
  <si>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</si>
  <si>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</si>
  <si>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</si>
  <si>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</si>
  <si>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</si>
  <si>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</si>
  <si>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</si>
  <si>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</si>
  <si>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</si>
  <si>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</si>
  <si>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</si>
  <si>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</si>
  <si>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</si>
  <si>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</si>
  <si>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</si>
  <si>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</si>
  <si>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</si>
  <si>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</si>
  <si>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</si>
  <si>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</si>
  <si>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</si>
  <si>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</si>
  <si>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</si>
  <si>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</si>
  <si>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</si>
  <si>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</si>
  <si>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</si>
  <si>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</si>
  <si>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</si>
  <si>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</si>
  <si>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</si>
  <si>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</si>
  <si>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</si>
  <si>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</si>
  <si>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</si>
  <si>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</si>
  <si>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</si>
  <si>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</si>
  <si>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</si>
  <si>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</si>
  <si>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</si>
  <si>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</si>
  <si>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</si>
  <si>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</si>
  <si>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</si>
  <si>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</si>
  <si>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</si>
  <si>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</si>
  <si>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</si>
  <si>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</si>
  <si>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</si>
  <si>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</si>
  <si>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</si>
  <si>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</si>
  <si>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</si>
  <si>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</si>
  <si>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</si>
  <si>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</si>
  <si>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</si>
  <si>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</si>
  <si>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</si>
  <si>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</si>
  <si>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</si>
  <si>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</si>
  <si>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</si>
  <si>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</si>
  <si>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</si>
  <si>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</si>
  <si>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</si>
  <si>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</si>
  <si>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</si>
  <si>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</si>
  <si>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</si>
  <si>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</si>
  <si>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</si>
  <si>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</si>
  <si>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</si>
  <si>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</si>
  <si>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</si>
  <si>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</si>
  <si>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</si>
  <si>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</si>
  <si>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</si>
  <si>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</si>
  <si>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</si>
  <si>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</si>
  <si>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</si>
  <si>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</si>
  <si>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</si>
  <si>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</si>
  <si>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</si>
  <si>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</si>
  <si>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</si>
  <si>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</si>
  <si>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</si>
  <si>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</si>
  <si>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</si>
  <si>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</si>
  <si>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</si>
  <si>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</si>
  <si>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</si>
  <si>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</si>
  <si>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</si>
  <si>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</si>
  <si>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</si>
  <si>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</si>
  <si>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</si>
  <si>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</si>
  <si>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</si>
  <si>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</si>
  <si>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</si>
  <si>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</si>
  <si>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</si>
  <si>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</si>
  <si>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</si>
  <si>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</si>
  <si>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</si>
  <si>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</si>
  <si>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</si>
  <si>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</si>
  <si>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</si>
  <si>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</si>
  <si>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</si>
  <si>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</si>
  <si>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</si>
  <si>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</si>
  <si>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</si>
  <si>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</si>
  <si>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</si>
  <si>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</si>
  <si>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</si>
  <si>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</si>
  <si>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</si>
  <si>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</si>
  <si>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</si>
  <si>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</si>
  <si>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</si>
  <si>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</si>
  <si>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</si>
  <si>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</si>
  <si>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</si>
  <si>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</si>
  <si>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</si>
  <si>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</si>
  <si>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</si>
  <si>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</si>
  <si>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</si>
  <si>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</si>
  <si>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</si>
  <si>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</si>
  <si>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</si>
  <si>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</si>
  <si>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</si>
  <si>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</si>
  <si>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</si>
  <si>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</si>
  <si>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</si>
  <si>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</si>
  <si>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</si>
  <si>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</si>
  <si>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</si>
  <si>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</si>
  <si>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</si>
  <si>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</si>
  <si>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</si>
  <si>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</si>
  <si>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</si>
  <si>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</si>
  <si>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</si>
  <si>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</si>
  <si>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</si>
  <si>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</si>
  <si>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</si>
  <si>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</si>
  <si>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</si>
  <si>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</si>
  <si>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</si>
  <si>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</si>
  <si>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</si>
  <si>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</si>
  <si>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</si>
  <si>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</si>
  <si>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</si>
  <si>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</si>
  <si>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</si>
  <si>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</si>
  <si>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</si>
  <si>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</si>
  <si>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</si>
  <si>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</si>
  <si>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</si>
  <si>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</si>
  <si>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</si>
  <si>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</si>
  <si>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</si>
  <si>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</si>
  <si>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</si>
  <si>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</si>
  <si>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</si>
  <si>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</si>
  <si>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</si>
  <si>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</si>
  <si>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</si>
  <si>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</si>
  <si>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</si>
  <si>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</si>
  <si>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</si>
  <si>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</si>
  <si>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</si>
  <si>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</si>
  <si>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</si>
  <si>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</si>
  <si>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</si>
  <si>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</si>
  <si>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</si>
  <si>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</si>
  <si>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</si>
  <si>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</si>
  <si>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</si>
  <si>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</si>
  <si>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</si>
  <si>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</si>
  <si>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</si>
  <si>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</si>
  <si>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</si>
  <si>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</si>
  <si>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</si>
  <si>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</si>
  <si>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</si>
  <si>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</si>
  <si>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</si>
  <si>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</si>
  <si>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</si>
  <si>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</si>
  <si>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</si>
  <si>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</si>
  <si>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</si>
  <si>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</si>
  <si>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</si>
  <si>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</si>
  <si>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</si>
  <si>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</si>
  <si>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</si>
  <si>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</si>
  <si>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</si>
  <si>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</si>
  <si>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</si>
  <si>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</si>
  <si>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</si>
  <si>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</si>
  <si>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</si>
  <si>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</si>
  <si>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</si>
  <si>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</si>
  <si>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</si>
  <si>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</si>
  <si>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</si>
  <si>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</si>
  <si>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</si>
  <si>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</si>
  <si>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</si>
  <si>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</si>
  <si>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</si>
  <si>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</si>
  <si>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</si>
  <si>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</si>
  <si>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</si>
  <si>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</si>
  <si>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</si>
  <si>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</si>
  <si>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</si>
  <si>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</si>
  <si>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</si>
  <si>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</si>
  <si>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</si>
  <si>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</si>
  <si>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</si>
  <si>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</si>
  <si>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</si>
  <si>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</si>
  <si>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</si>
  <si>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</si>
  <si>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</si>
  <si>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</si>
  <si>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</si>
  <si>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</si>
  <si>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</si>
  <si>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</si>
  <si>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</si>
  <si>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</si>
  <si>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</si>
  <si>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</si>
  <si>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</si>
  <si>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</si>
  <si>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</si>
  <si>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</si>
  <si>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</si>
  <si>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</si>
  <si>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</si>
  <si>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</si>
  <si>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</si>
  <si>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</si>
  <si>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</si>
  <si>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</si>
  <si>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</si>
  <si>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</si>
  <si>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</si>
  <si>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</si>
  <si>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</si>
  <si>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</si>
  <si>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</si>
  <si>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</si>
  <si>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</si>
  <si>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</si>
  <si>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</si>
  <si>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</si>
  <si>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</si>
  <si>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</si>
  <si>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</si>
  <si>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</si>
  <si>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</si>
  <si>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</si>
  <si>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</si>
  <si>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</si>
  <si>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</si>
  <si>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</si>
  <si>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</si>
  <si>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</si>
  <si>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</si>
  <si>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</si>
  <si>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</si>
  <si>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</si>
  <si>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</si>
  <si>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</si>
  <si>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</si>
  <si>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</si>
  <si>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</si>
  <si>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</si>
  <si>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</si>
  <si>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</si>
  <si>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</si>
  <si>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</si>
  <si>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</si>
  <si>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</si>
  <si>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</si>
  <si>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</si>
  <si>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</si>
  <si>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</si>
  <si>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</si>
  <si>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</si>
  <si>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</si>
  <si>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</si>
  <si>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</si>
  <si>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</si>
  <si>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</si>
  <si>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</si>
  <si>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</si>
  <si>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</si>
  <si>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</si>
  <si>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</si>
  <si>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</si>
  <si>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</si>
  <si>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</si>
  <si>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</si>
  <si>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</si>
  <si>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</si>
  <si>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</si>
  <si>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</si>
  <si>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</si>
  <si>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</si>
  <si>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</si>
  <si>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</si>
  <si>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</si>
  <si>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</si>
  <si>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</si>
  <si>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</si>
  <si>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</si>
  <si>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</si>
  <si>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</si>
  <si>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</si>
  <si>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</si>
  <si>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</si>
  <si>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</si>
  <si>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</si>
  <si>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</si>
  <si>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</si>
  <si>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</si>
  <si>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</si>
  <si>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</si>
  <si>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</si>
  <si>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</si>
  <si>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</si>
  <si>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</si>
  <si>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</si>
  <si>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</si>
  <si>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</si>
  <si>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</si>
  <si>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</si>
  <si>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</si>
  <si>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</si>
  <si>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</si>
  <si>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</si>
  <si>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</si>
  <si>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</si>
  <si>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</si>
  <si>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</si>
  <si>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</si>
  <si>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</si>
  <si>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</si>
  <si>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</si>
  <si>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</si>
  <si>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</si>
  <si>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</si>
  <si>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</si>
  <si>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</si>
  <si>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</si>
  <si>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</si>
  <si>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</si>
  <si>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</si>
  <si>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</si>
  <si>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</si>
  <si>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</si>
  <si>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</si>
  <si>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</si>
  <si>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</si>
  <si>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</si>
  <si>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</si>
  <si>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</si>
  <si>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</si>
  <si>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</si>
  <si>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</si>
  <si>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</si>
  <si>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</si>
  <si>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</si>
  <si>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</si>
  <si>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</si>
  <si>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</si>
  <si>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</si>
  <si>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</si>
  <si>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</si>
  <si>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</si>
  <si>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</si>
  <si>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</si>
  <si>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</si>
  <si>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</si>
  <si>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</si>
  <si>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</si>
  <si>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</si>
  <si>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</si>
  <si>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</si>
  <si>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</si>
  <si>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</si>
  <si>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</si>
  <si>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</si>
  <si>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</si>
  <si>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</si>
  <si>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</si>
  <si>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</si>
  <si>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</si>
  <si>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</si>
  <si>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</si>
  <si>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</si>
  <si>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</si>
  <si>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</si>
  <si>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</si>
  <si>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</si>
  <si>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</si>
  <si>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</si>
  <si>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</si>
  <si>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</si>
  <si>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</si>
  <si>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</si>
  <si>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</si>
  <si>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</si>
  <si>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</si>
  <si>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</si>
  <si>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</si>
  <si>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</si>
  <si>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</si>
  <si>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</si>
  <si>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</si>
  <si>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</si>
  <si>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</si>
  <si>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</si>
  <si>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</si>
  <si>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</si>
  <si>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</si>
  <si>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</si>
  <si>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</si>
  <si>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</si>
  <si>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</si>
  <si>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</si>
  <si>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</si>
  <si>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</si>
  <si>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</si>
  <si>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</si>
  <si>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</si>
  <si>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</si>
  <si>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</si>
  <si>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</si>
  <si>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</si>
  <si>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</si>
  <si>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</si>
  <si>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</si>
  <si>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</si>
  <si>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</si>
  <si>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</si>
  <si>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</si>
  <si>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</si>
  <si>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</si>
  <si>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</si>
  <si>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</si>
  <si>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</si>
  <si>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</si>
  <si>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</si>
  <si>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</si>
  <si>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</si>
  <si>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</si>
  <si>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</si>
  <si>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</si>
  <si>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</si>
  <si>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</si>
  <si>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</si>
  <si>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</si>
  <si>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</si>
  <si>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</si>
  <si>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</si>
  <si>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</si>
  <si>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</si>
  <si>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</si>
  <si>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</si>
  <si>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</si>
  <si>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</si>
  <si>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</si>
  <si>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</si>
  <si>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</si>
  <si>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</si>
  <si>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</si>
  <si>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</si>
  <si>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</si>
  <si>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</si>
  <si>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</si>
  <si>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</si>
  <si>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</si>
  <si>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</si>
  <si>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</si>
  <si>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</si>
  <si>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</si>
  <si>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</si>
  <si>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</si>
  <si>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</si>
  <si>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</si>
  <si>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</si>
  <si>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</si>
  <si>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</si>
  <si>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</si>
  <si>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</si>
  <si>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</si>
  <si>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</si>
  <si>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</si>
  <si>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</si>
  <si>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</si>
  <si>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</si>
  <si>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</si>
  <si>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</si>
  <si>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</si>
  <si>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</si>
  <si>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</si>
  <si>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</si>
  <si>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</si>
  <si>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</si>
  <si>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</si>
  <si>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</si>
  <si>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</si>
  <si>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</si>
  <si>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</si>
  <si>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</si>
  <si>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</si>
  <si>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</si>
  <si>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</si>
  <si>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</si>
  <si>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</si>
  <si>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</si>
  <si>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</si>
  <si>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</si>
  <si>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</si>
  <si>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</si>
  <si>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</si>
  <si>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</si>
  <si>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</si>
  <si>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</si>
  <si>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</si>
  <si>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</si>
  <si>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</si>
  <si>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</si>
  <si>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</si>
  <si>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</si>
  <si>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</si>
  <si>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</si>
  <si>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</si>
  <si>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</si>
  <si>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</si>
  <si>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</si>
  <si>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</si>
  <si>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Profit by year</t>
  </si>
  <si>
    <t>Row Labels</t>
  </si>
  <si>
    <t>Grand Total</t>
  </si>
  <si>
    <t>Total Sales</t>
  </si>
  <si>
    <t>Total Profit</t>
  </si>
  <si>
    <t>Sales by sub Category</t>
  </si>
  <si>
    <t>Customer Count by Year</t>
  </si>
  <si>
    <t>Count of Customer Name</t>
  </si>
  <si>
    <t>Sales by State</t>
  </si>
  <si>
    <t>Top 5 Customers Profit</t>
  </si>
  <si>
    <t>Sales by Month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</si>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</sst>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2" fillId="2" borderId="0" xfId="0" applyFont="1" applyFill="1"/>
  </cellXfs>
  <cellStyles count="2">
    <cellStyle name="Currency" xfId="1" builtinId="4"/>
    <cellStyle name="Normal" xfId="0" builtinId="0"/>
  </cellStyles>
  <dxfs count="25"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1" formatCode="0"/>
    </dxf>
    <dxf>
      <numFmt numFmtId="164" formatCode="0.0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166" formatCode="_(&quot;$&quot;* #,##0_);_(&quot;$&quot;* \(#,##0\);_(&quot;$&quot;* &quot;-&quot;??_);_(@_)"/>
    </dxf>
    <dxf>
      <numFmt numFmtId="165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3D73DF"/>
      <color rgb="FF136191"/>
      <color rgb="FF134C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Project.xlsx]PIVOT 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j-cs"/>
              </a:defRPr>
            </a:pPr>
            <a:r>
              <a:rPr lang="en-US" sz="3200" b="1">
                <a:solidFill>
                  <a:schemeClr val="tx1"/>
                </a:solidFill>
                <a:cs typeface="+mj-cs"/>
              </a:rPr>
              <a:t>Profit</a:t>
            </a:r>
            <a:r>
              <a:rPr lang="en-US" sz="3200" b="1" baseline="0">
                <a:solidFill>
                  <a:schemeClr val="tx1"/>
                </a:solidFill>
                <a:cs typeface="+mj-cs"/>
              </a:rPr>
              <a:t> by Year</a:t>
            </a:r>
            <a:endParaRPr lang="en-US" sz="3200" b="1">
              <a:solidFill>
                <a:schemeClr val="tx1"/>
              </a:solidFill>
              <a:cs typeface="+mj-cs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j-cs"/>
            </a:defRPr>
          </a:pPr>
          <a:endParaRPr lang="ur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j-cs"/>
                </a:defRPr>
              </a:pPr>
              <a:endParaRPr lang="ur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3D73D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j-cs"/>
                </a:defRPr>
              </a:pPr>
              <a:endParaRPr lang="ur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j-cs"/>
                </a:defRPr>
              </a:pPr>
              <a:endParaRPr lang="ur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0365744547418297E-2"/>
          <c:y val="4.4198900155032569E-2"/>
          <c:w val="0.86575106961187387"/>
          <c:h val="0.811884376605255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'!$D$5:$D$6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j-cs"/>
                  </a:defRPr>
                </a:pPr>
                <a:endParaRPr lang="ur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'!$D$7:$D$11</c:f>
              <c:numCache>
                <c:formatCode>_("$"* #,##0_);_("$"* \(#,##0\);_("$"* "-"??_);_(@_)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2-44DF-BC21-ADC31A025CCE}"/>
            </c:ext>
          </c:extLst>
        </c:ser>
        <c:ser>
          <c:idx val="1"/>
          <c:order val="1"/>
          <c:tx>
            <c:strRef>
              <c:f>'PIVOT '!$E$5:$E$6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3D73D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j-cs"/>
                  </a:defRPr>
                </a:pPr>
                <a:endParaRPr lang="ur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'!$E$7:$E$11</c:f>
              <c:numCache>
                <c:formatCode>_("$"* #,##0_);_("$"* \(#,##0\);_("$"* "-"??_);_(@_)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2-44DF-BC21-ADC31A025CCE}"/>
            </c:ext>
          </c:extLst>
        </c:ser>
        <c:ser>
          <c:idx val="2"/>
          <c:order val="2"/>
          <c:tx>
            <c:strRef>
              <c:f>'PIVOT '!$F$5:$F$6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j-cs"/>
                  </a:defRPr>
                </a:pPr>
                <a:endParaRPr lang="ur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'!$C$7:$C$11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'!$F$7:$F$11</c:f>
              <c:numCache>
                <c:formatCode>_("$"* #,##0_);_("$"* \(#,##0\);_("$"* "-"??_);_(@_)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2-44DF-BC21-ADC31A025C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28776864"/>
        <c:axId val="1128777280"/>
      </c:barChart>
      <c:catAx>
        <c:axId val="1128776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128777280"/>
        <c:crosses val="autoZero"/>
        <c:auto val="1"/>
        <c:lblAlgn val="ctr"/>
        <c:lblOffset val="100"/>
        <c:noMultiLvlLbl val="0"/>
      </c:catAx>
      <c:valAx>
        <c:axId val="1128777280"/>
        <c:scaling>
          <c:orientation val="minMax"/>
        </c:scaling>
        <c:delete val="1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12877686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Calibri Light" panose="020F0302020204030204" pitchFamily="34" charset="0"/>
              <a:ea typeface="+mn-ea"/>
              <a:cs typeface="Calibri Light" panose="020F0302020204030204" pitchFamily="34" charset="0"/>
            </a:defRPr>
          </a:pPr>
          <a:endParaRPr lang="ur-PK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79374</xdr:colOff>
      <xdr:row>0</xdr:row>
      <xdr:rowOff>47625</xdr:rowOff>
    </xdr:from>
    <xdr:to>
      <xdr:col>42</xdr:col>
      <xdr:colOff>142875</xdr:colOff>
      <xdr:row>94</xdr:row>
      <xdr:rowOff>166688</xdr:rowOff>
    </xdr:to>
    <xdr:sp macro="" textlink="">
      <xdr:nvSpPr>
        <xdr:cNvPr id="3" name="Rounded Rectangle 2"/>
        <xdr:cNvSpPr/>
      </xdr:nvSpPr>
      <xdr:spPr>
        <a:xfrm>
          <a:off x="79374" y="47625"/>
          <a:ext cx="29067126" cy="17978438"/>
        </a:xfrm>
        <a:prstGeom prst="roundRect">
          <a:avLst>
            <a:gd name="adj" fmla="val 3376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0</xdr:col>
      <xdr:colOff>174624</xdr:colOff>
      <xdr:row>1</xdr:row>
      <xdr:rowOff>23811</xdr:rowOff>
    </xdr:from>
    <xdr:to>
      <xdr:col>4</xdr:col>
      <xdr:colOff>571500</xdr:colOff>
      <xdr:row>13</xdr:row>
      <xdr:rowOff>142874</xdr:rowOff>
    </xdr:to>
    <xdr:sp macro="" textlink="">
      <xdr:nvSpPr>
        <xdr:cNvPr id="4" name="Rounded Rectangle 3"/>
        <xdr:cNvSpPr/>
      </xdr:nvSpPr>
      <xdr:spPr>
        <a:xfrm>
          <a:off x="174624" y="214311"/>
          <a:ext cx="3159126" cy="2405063"/>
        </a:xfrm>
        <a:prstGeom prst="roundRect">
          <a:avLst/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0</xdr:col>
      <xdr:colOff>198437</xdr:colOff>
      <xdr:row>14</xdr:row>
      <xdr:rowOff>119061</xdr:rowOff>
    </xdr:from>
    <xdr:to>
      <xdr:col>4</xdr:col>
      <xdr:colOff>523875</xdr:colOff>
      <xdr:row>92</xdr:row>
      <xdr:rowOff>166687</xdr:rowOff>
    </xdr:to>
    <xdr:sp macro="" textlink="">
      <xdr:nvSpPr>
        <xdr:cNvPr id="6" name="Rounded Rectangle 5"/>
        <xdr:cNvSpPr/>
      </xdr:nvSpPr>
      <xdr:spPr>
        <a:xfrm>
          <a:off x="198437" y="2786061"/>
          <a:ext cx="3087688" cy="14859001"/>
        </a:xfrm>
        <a:prstGeom prst="roundRect">
          <a:avLst/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5</xdr:col>
      <xdr:colOff>119062</xdr:colOff>
      <xdr:row>1</xdr:row>
      <xdr:rowOff>57148</xdr:rowOff>
    </xdr:from>
    <xdr:to>
      <xdr:col>42</xdr:col>
      <xdr:colOff>0</xdr:colOff>
      <xdr:row>13</xdr:row>
      <xdr:rowOff>176211</xdr:rowOff>
    </xdr:to>
    <xdr:sp macro="" textlink="">
      <xdr:nvSpPr>
        <xdr:cNvPr id="7" name="Rounded Rectangle 6"/>
        <xdr:cNvSpPr/>
      </xdr:nvSpPr>
      <xdr:spPr>
        <a:xfrm>
          <a:off x="3571875" y="247648"/>
          <a:ext cx="25431750" cy="2405063"/>
        </a:xfrm>
        <a:prstGeom prst="roundRect">
          <a:avLst/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5</xdr:col>
      <xdr:colOff>17459</xdr:colOff>
      <xdr:row>14</xdr:row>
      <xdr:rowOff>128586</xdr:rowOff>
    </xdr:from>
    <xdr:to>
      <xdr:col>12</xdr:col>
      <xdr:colOff>23812</xdr:colOff>
      <xdr:row>28</xdr:row>
      <xdr:rowOff>166687</xdr:rowOff>
    </xdr:to>
    <xdr:sp macro="" textlink="">
      <xdr:nvSpPr>
        <xdr:cNvPr id="10" name="Rounded Rectangle 9"/>
        <xdr:cNvSpPr/>
      </xdr:nvSpPr>
      <xdr:spPr>
        <a:xfrm>
          <a:off x="3470272" y="2795586"/>
          <a:ext cx="4840290" cy="2657476"/>
        </a:xfrm>
        <a:prstGeom prst="roundRect">
          <a:avLst/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12</xdr:col>
      <xdr:colOff>214312</xdr:colOff>
      <xdr:row>14</xdr:row>
      <xdr:rowOff>161922</xdr:rowOff>
    </xdr:from>
    <xdr:to>
      <xdr:col>18</xdr:col>
      <xdr:colOff>619124</xdr:colOff>
      <xdr:row>29</xdr:row>
      <xdr:rowOff>0</xdr:rowOff>
    </xdr:to>
    <xdr:sp macro="" textlink="">
      <xdr:nvSpPr>
        <xdr:cNvPr id="11" name="Rounded Rectangle 10"/>
        <xdr:cNvSpPr/>
      </xdr:nvSpPr>
      <xdr:spPr>
        <a:xfrm>
          <a:off x="8501062" y="2828922"/>
          <a:ext cx="4548187" cy="2647953"/>
        </a:xfrm>
        <a:prstGeom prst="roundRect">
          <a:avLst/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5</xdr:col>
      <xdr:colOff>98421</xdr:colOff>
      <xdr:row>29</xdr:row>
      <xdr:rowOff>114298</xdr:rowOff>
    </xdr:from>
    <xdr:to>
      <xdr:col>18</xdr:col>
      <xdr:colOff>619125</xdr:colOff>
      <xdr:row>60</xdr:row>
      <xdr:rowOff>23811</xdr:rowOff>
    </xdr:to>
    <xdr:sp macro="" textlink="">
      <xdr:nvSpPr>
        <xdr:cNvPr id="12" name="Rounded Rectangle 11"/>
        <xdr:cNvSpPr/>
      </xdr:nvSpPr>
      <xdr:spPr>
        <a:xfrm>
          <a:off x="3551234" y="5591173"/>
          <a:ext cx="9498016" cy="5815013"/>
        </a:xfrm>
        <a:prstGeom prst="roundRect">
          <a:avLst>
            <a:gd name="adj" fmla="val 8915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19</xdr:col>
      <xdr:colOff>95249</xdr:colOff>
      <xdr:row>14</xdr:row>
      <xdr:rowOff>142875</xdr:rowOff>
    </xdr:from>
    <xdr:to>
      <xdr:col>28</xdr:col>
      <xdr:colOff>214312</xdr:colOff>
      <xdr:row>63</xdr:row>
      <xdr:rowOff>0</xdr:rowOff>
    </xdr:to>
    <xdr:sp macro="" textlink="">
      <xdr:nvSpPr>
        <xdr:cNvPr id="14" name="Rounded Rectangle 13"/>
        <xdr:cNvSpPr/>
      </xdr:nvSpPr>
      <xdr:spPr>
        <a:xfrm>
          <a:off x="13215937" y="2809875"/>
          <a:ext cx="6334125" cy="9144000"/>
        </a:xfrm>
        <a:prstGeom prst="roundRect">
          <a:avLst>
            <a:gd name="adj" fmla="val 10911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28</xdr:col>
      <xdr:colOff>404811</xdr:colOff>
      <xdr:row>14</xdr:row>
      <xdr:rowOff>147634</xdr:rowOff>
    </xdr:from>
    <xdr:to>
      <xdr:col>41</xdr:col>
      <xdr:colOff>619123</xdr:colOff>
      <xdr:row>37</xdr:row>
      <xdr:rowOff>119062</xdr:rowOff>
    </xdr:to>
    <xdr:sp macro="" textlink="">
      <xdr:nvSpPr>
        <xdr:cNvPr id="15" name="Rounded Rectangle 14"/>
        <xdr:cNvSpPr/>
      </xdr:nvSpPr>
      <xdr:spPr>
        <a:xfrm>
          <a:off x="19740561" y="2814634"/>
          <a:ext cx="9191625" cy="4305303"/>
        </a:xfrm>
        <a:prstGeom prst="roundRect">
          <a:avLst>
            <a:gd name="adj" fmla="val 12242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28</xdr:col>
      <xdr:colOff>404812</xdr:colOff>
      <xdr:row>38</xdr:row>
      <xdr:rowOff>85722</xdr:rowOff>
    </xdr:from>
    <xdr:to>
      <xdr:col>41</xdr:col>
      <xdr:colOff>642937</xdr:colOff>
      <xdr:row>62</xdr:row>
      <xdr:rowOff>142875</xdr:rowOff>
    </xdr:to>
    <xdr:sp macro="" textlink="">
      <xdr:nvSpPr>
        <xdr:cNvPr id="17" name="Rounded Rectangle 16"/>
        <xdr:cNvSpPr/>
      </xdr:nvSpPr>
      <xdr:spPr>
        <a:xfrm>
          <a:off x="19740562" y="7277097"/>
          <a:ext cx="9215438" cy="4629153"/>
        </a:xfrm>
        <a:prstGeom prst="roundRect">
          <a:avLst>
            <a:gd name="adj" fmla="val 11622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5</xdr:col>
      <xdr:colOff>131759</xdr:colOff>
      <xdr:row>61</xdr:row>
      <xdr:rowOff>0</xdr:rowOff>
    </xdr:from>
    <xdr:to>
      <xdr:col>17</xdr:col>
      <xdr:colOff>628648</xdr:colOff>
      <xdr:row>92</xdr:row>
      <xdr:rowOff>71438</xdr:rowOff>
    </xdr:to>
    <xdr:sp macro="" textlink="">
      <xdr:nvSpPr>
        <xdr:cNvPr id="18" name="Rounded Rectangle 17"/>
        <xdr:cNvSpPr/>
      </xdr:nvSpPr>
      <xdr:spPr>
        <a:xfrm>
          <a:off x="3584572" y="11572875"/>
          <a:ext cx="8783639" cy="5976938"/>
        </a:xfrm>
        <a:prstGeom prst="roundRect">
          <a:avLst>
            <a:gd name="adj" fmla="val 8915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18</xdr:col>
      <xdr:colOff>165097</xdr:colOff>
      <xdr:row>63</xdr:row>
      <xdr:rowOff>95250</xdr:rowOff>
    </xdr:from>
    <xdr:to>
      <xdr:col>41</xdr:col>
      <xdr:colOff>571499</xdr:colOff>
      <xdr:row>92</xdr:row>
      <xdr:rowOff>119062</xdr:rowOff>
    </xdr:to>
    <xdr:sp macro="" textlink="">
      <xdr:nvSpPr>
        <xdr:cNvPr id="19" name="Rounded Rectangle 18"/>
        <xdr:cNvSpPr/>
      </xdr:nvSpPr>
      <xdr:spPr>
        <a:xfrm>
          <a:off x="12595222" y="12049125"/>
          <a:ext cx="16289340" cy="5548312"/>
        </a:xfrm>
        <a:prstGeom prst="roundRect">
          <a:avLst>
            <a:gd name="adj" fmla="val 8915"/>
          </a:avLst>
        </a:prstGeom>
        <a:gradFill>
          <a:gsLst>
            <a:gs pos="0">
              <a:srgbClr val="136191"/>
            </a:gs>
            <a:gs pos="74000">
              <a:schemeClr val="accent1">
                <a:lumMod val="45000"/>
                <a:lumOff val="55000"/>
              </a:schemeClr>
            </a:gs>
            <a:gs pos="72843">
              <a:srgbClr val="74C4E9"/>
            </a:gs>
            <a:gs pos="71687">
              <a:srgbClr val="74C4E9"/>
            </a:gs>
            <a:gs pos="69375">
              <a:srgbClr val="74C4E9"/>
            </a:gs>
            <a:gs pos="64750">
              <a:srgbClr val="74C4E9"/>
            </a:gs>
            <a:gs pos="55500">
              <a:srgbClr val="74C4E9"/>
            </a:gs>
            <a:gs pos="37000">
              <a:srgbClr val="74C4E9"/>
            </a:gs>
            <a:gs pos="0">
              <a:schemeClr val="accent1">
                <a:lumMod val="45000"/>
                <a:lumOff val="55000"/>
              </a:schemeClr>
            </a:gs>
            <a:gs pos="8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ur-PK" sz="1100"/>
        </a:p>
      </xdr:txBody>
    </xdr:sp>
    <xdr:clientData/>
  </xdr:twoCellAnchor>
  <xdr:twoCellAnchor>
    <xdr:from>
      <xdr:col>7</xdr:col>
      <xdr:colOff>595312</xdr:colOff>
      <xdr:row>3</xdr:row>
      <xdr:rowOff>71437</xdr:rowOff>
    </xdr:from>
    <xdr:to>
      <xdr:col>36</xdr:col>
      <xdr:colOff>71436</xdr:colOff>
      <xdr:row>11</xdr:row>
      <xdr:rowOff>95250</xdr:rowOff>
    </xdr:to>
    <xdr:sp macro="" textlink="">
      <xdr:nvSpPr>
        <xdr:cNvPr id="20" name="TextBox 19"/>
        <xdr:cNvSpPr txBox="1"/>
      </xdr:nvSpPr>
      <xdr:spPr>
        <a:xfrm>
          <a:off x="5429250" y="642937"/>
          <a:ext cx="19502436" cy="1547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8800" b="1">
              <a:solidFill>
                <a:schemeClr val="bg1"/>
              </a:solidFill>
              <a:cs typeface="+mj-cs"/>
            </a:rPr>
            <a:t>SALES &amp; PROFIT DASHBOARD</a:t>
          </a:r>
          <a:endParaRPr lang="ur-PK" sz="8800" b="1">
            <a:solidFill>
              <a:schemeClr val="bg1"/>
            </a:solidFill>
            <a:cs typeface="+mj-cs"/>
          </a:endParaRPr>
        </a:p>
      </xdr:txBody>
    </xdr:sp>
    <xdr:clientData/>
  </xdr:twoCellAnchor>
  <xdr:twoCellAnchor>
    <xdr:from>
      <xdr:col>7</xdr:col>
      <xdr:colOff>47625</xdr:colOff>
      <xdr:row>16</xdr:row>
      <xdr:rowOff>1</xdr:rowOff>
    </xdr:from>
    <xdr:to>
      <xdr:col>11</xdr:col>
      <xdr:colOff>571499</xdr:colOff>
      <xdr:row>19</xdr:row>
      <xdr:rowOff>71438</xdr:rowOff>
    </xdr:to>
    <xdr:sp macro="" textlink="">
      <xdr:nvSpPr>
        <xdr:cNvPr id="30" name="TextBox 29"/>
        <xdr:cNvSpPr txBox="1"/>
      </xdr:nvSpPr>
      <xdr:spPr>
        <a:xfrm>
          <a:off x="4881563" y="3048001"/>
          <a:ext cx="3286124" cy="595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3600" b="1">
              <a:cs typeface="+mj-cs"/>
            </a:rPr>
            <a:t>TOTAL SALES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12</xdr:col>
      <xdr:colOff>547687</xdr:colOff>
      <xdr:row>15</xdr:row>
      <xdr:rowOff>128587</xdr:rowOff>
    </xdr:from>
    <xdr:to>
      <xdr:col>18</xdr:col>
      <xdr:colOff>390525</xdr:colOff>
      <xdr:row>19</xdr:row>
      <xdr:rowOff>119061</xdr:rowOff>
    </xdr:to>
    <xdr:sp macro="" textlink="">
      <xdr:nvSpPr>
        <xdr:cNvPr id="31" name="TextBox 30"/>
        <xdr:cNvSpPr txBox="1"/>
      </xdr:nvSpPr>
      <xdr:spPr>
        <a:xfrm>
          <a:off x="8834437" y="2986087"/>
          <a:ext cx="3986213" cy="704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3600" b="1">
              <a:cs typeface="+mj-cs"/>
            </a:rPr>
            <a:t>TOTAL</a:t>
          </a:r>
          <a:r>
            <a:rPr lang="en-US" sz="3600" b="1" baseline="0">
              <a:cs typeface="+mj-cs"/>
            </a:rPr>
            <a:t> </a:t>
          </a:r>
          <a:r>
            <a:rPr lang="en-US" sz="4000" b="1">
              <a:cs typeface="+mj-cs"/>
            </a:rPr>
            <a:t>PROFIT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8</xdr:col>
      <xdr:colOff>119063</xdr:colOff>
      <xdr:row>31</xdr:row>
      <xdr:rowOff>9524</xdr:rowOff>
    </xdr:from>
    <xdr:to>
      <xdr:col>16</xdr:col>
      <xdr:colOff>285749</xdr:colOff>
      <xdr:row>34</xdr:row>
      <xdr:rowOff>61910</xdr:rowOff>
    </xdr:to>
    <xdr:sp macro="" textlink="">
      <xdr:nvSpPr>
        <xdr:cNvPr id="32" name="TextBox 31"/>
        <xdr:cNvSpPr txBox="1"/>
      </xdr:nvSpPr>
      <xdr:spPr>
        <a:xfrm>
          <a:off x="5643563" y="5867399"/>
          <a:ext cx="5691186" cy="6238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endParaRPr lang="ur-PK" sz="3200" b="1">
            <a:cs typeface="+mj-cs"/>
          </a:endParaRPr>
        </a:p>
      </xdr:txBody>
    </xdr:sp>
    <xdr:clientData/>
  </xdr:twoCellAnchor>
  <xdr:twoCellAnchor>
    <xdr:from>
      <xdr:col>20</xdr:col>
      <xdr:colOff>95250</xdr:colOff>
      <xdr:row>15</xdr:row>
      <xdr:rowOff>104774</xdr:rowOff>
    </xdr:from>
    <xdr:to>
      <xdr:col>27</xdr:col>
      <xdr:colOff>571499</xdr:colOff>
      <xdr:row>19</xdr:row>
      <xdr:rowOff>23812</xdr:rowOff>
    </xdr:to>
    <xdr:sp macro="" textlink="">
      <xdr:nvSpPr>
        <xdr:cNvPr id="33" name="TextBox 32"/>
        <xdr:cNvSpPr txBox="1"/>
      </xdr:nvSpPr>
      <xdr:spPr>
        <a:xfrm>
          <a:off x="13906500" y="2962274"/>
          <a:ext cx="5310187" cy="633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3600" b="1">
              <a:cs typeface="+mj-cs"/>
            </a:rPr>
            <a:t>Sales</a:t>
          </a:r>
          <a:r>
            <a:rPr lang="en-US" sz="3600" b="1" baseline="0">
              <a:cs typeface="+mj-cs"/>
            </a:rPr>
            <a:t> by Category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32</xdr:col>
      <xdr:colOff>47624</xdr:colOff>
      <xdr:row>15</xdr:row>
      <xdr:rowOff>33335</xdr:rowOff>
    </xdr:from>
    <xdr:to>
      <xdr:col>38</xdr:col>
      <xdr:colOff>238124</xdr:colOff>
      <xdr:row>18</xdr:row>
      <xdr:rowOff>142873</xdr:rowOff>
    </xdr:to>
    <xdr:sp macro="" textlink="">
      <xdr:nvSpPr>
        <xdr:cNvPr id="34" name="TextBox 33"/>
        <xdr:cNvSpPr txBox="1"/>
      </xdr:nvSpPr>
      <xdr:spPr>
        <a:xfrm>
          <a:off x="22145624" y="2890835"/>
          <a:ext cx="4333875" cy="633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3600" b="1">
              <a:cs typeface="+mj-cs"/>
            </a:rPr>
            <a:t>Customer</a:t>
          </a:r>
          <a:r>
            <a:rPr lang="en-US" sz="3600" b="1" baseline="0">
              <a:cs typeface="+mj-cs"/>
            </a:rPr>
            <a:t> Count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31</xdr:col>
      <xdr:colOff>619124</xdr:colOff>
      <xdr:row>39</xdr:row>
      <xdr:rowOff>9522</xdr:rowOff>
    </xdr:from>
    <xdr:to>
      <xdr:col>38</xdr:col>
      <xdr:colOff>309562</xdr:colOff>
      <xdr:row>42</xdr:row>
      <xdr:rowOff>33334</xdr:rowOff>
    </xdr:to>
    <xdr:sp macro="" textlink="">
      <xdr:nvSpPr>
        <xdr:cNvPr id="35" name="TextBox 34"/>
        <xdr:cNvSpPr txBox="1"/>
      </xdr:nvSpPr>
      <xdr:spPr>
        <a:xfrm>
          <a:off x="22026562" y="7391397"/>
          <a:ext cx="4524375" cy="595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3600" b="1">
              <a:cs typeface="+mj-cs"/>
            </a:rPr>
            <a:t>Sales</a:t>
          </a:r>
          <a:r>
            <a:rPr lang="en-US" sz="3600" b="1" baseline="0">
              <a:cs typeface="+mj-cs"/>
            </a:rPr>
            <a:t> by State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27</xdr:col>
      <xdr:colOff>166687</xdr:colOff>
      <xdr:row>65</xdr:row>
      <xdr:rowOff>33334</xdr:rowOff>
    </xdr:from>
    <xdr:to>
      <xdr:col>33</xdr:col>
      <xdr:colOff>404812</xdr:colOff>
      <xdr:row>68</xdr:row>
      <xdr:rowOff>57146</xdr:rowOff>
    </xdr:to>
    <xdr:sp macro="" textlink="">
      <xdr:nvSpPr>
        <xdr:cNvPr id="36" name="TextBox 35"/>
        <xdr:cNvSpPr txBox="1"/>
      </xdr:nvSpPr>
      <xdr:spPr>
        <a:xfrm>
          <a:off x="18811875" y="12368209"/>
          <a:ext cx="4381500" cy="595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3600" b="1">
              <a:cs typeface="+mj-cs"/>
            </a:rPr>
            <a:t>Sales</a:t>
          </a:r>
          <a:r>
            <a:rPr lang="en-US" sz="3600" b="1" baseline="0">
              <a:cs typeface="+mj-cs"/>
            </a:rPr>
            <a:t> by Month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7</xdr:col>
      <xdr:colOff>71438</xdr:colOff>
      <xdr:row>62</xdr:row>
      <xdr:rowOff>95250</xdr:rowOff>
    </xdr:from>
    <xdr:to>
      <xdr:col>16</xdr:col>
      <xdr:colOff>500062</xdr:colOff>
      <xdr:row>65</xdr:row>
      <xdr:rowOff>119062</xdr:rowOff>
    </xdr:to>
    <xdr:sp macro="" textlink="">
      <xdr:nvSpPr>
        <xdr:cNvPr id="37" name="TextBox 36"/>
        <xdr:cNvSpPr txBox="1"/>
      </xdr:nvSpPr>
      <xdr:spPr>
        <a:xfrm>
          <a:off x="4905376" y="11858625"/>
          <a:ext cx="6643686" cy="595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3600" b="1">
              <a:cs typeface="+mj-cs"/>
            </a:rPr>
            <a:t>Top</a:t>
          </a:r>
          <a:r>
            <a:rPr lang="en-US" sz="3600" b="1" baseline="0">
              <a:cs typeface="+mj-cs"/>
            </a:rPr>
            <a:t> 5 Customers Profit</a:t>
          </a:r>
          <a:endParaRPr lang="ur-PK" sz="3600" b="1">
            <a:cs typeface="+mj-cs"/>
          </a:endParaRPr>
        </a:p>
      </xdr:txBody>
    </xdr:sp>
    <xdr:clientData/>
  </xdr:twoCellAnchor>
  <xdr:twoCellAnchor>
    <xdr:from>
      <xdr:col>7</xdr:col>
      <xdr:colOff>200025</xdr:colOff>
      <xdr:row>20</xdr:row>
      <xdr:rowOff>128587</xdr:rowOff>
    </xdr:from>
    <xdr:to>
      <xdr:col>11</xdr:col>
      <xdr:colOff>95249</xdr:colOff>
      <xdr:row>24</xdr:row>
      <xdr:rowOff>-1</xdr:rowOff>
    </xdr:to>
    <xdr:sp macro="" textlink="'PIVOT '!A11">
      <xdr:nvSpPr>
        <xdr:cNvPr id="38" name="TextBox 37"/>
        <xdr:cNvSpPr txBox="1"/>
      </xdr:nvSpPr>
      <xdr:spPr>
        <a:xfrm>
          <a:off x="5033963" y="3890962"/>
          <a:ext cx="2657474" cy="63341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FE340069-AF7F-42DF-821C-D4F0D046E70E}" type="TxLink">
            <a:rPr lang="en-US" sz="3600" b="1" i="0" u="none" strike="noStrike">
              <a:solidFill>
                <a:schemeClr val="tx1"/>
              </a:solidFill>
              <a:latin typeface="Arial"/>
              <a:cs typeface="Arial"/>
            </a:rPr>
            <a:pPr algn="ctr"/>
            <a:t> $1,928,888 </a:t>
          </a:fld>
          <a:endParaRPr lang="en-US" sz="36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566738</xdr:colOff>
      <xdr:row>20</xdr:row>
      <xdr:rowOff>19051</xdr:rowOff>
    </xdr:from>
    <xdr:to>
      <xdr:col>18</xdr:col>
      <xdr:colOff>400050</xdr:colOff>
      <xdr:row>23</xdr:row>
      <xdr:rowOff>42863</xdr:rowOff>
    </xdr:to>
    <xdr:sp macro="" textlink="'PIVOT '!A14">
      <xdr:nvSpPr>
        <xdr:cNvPr id="39" name="TextBox 38"/>
        <xdr:cNvSpPr txBox="1"/>
      </xdr:nvSpPr>
      <xdr:spPr>
        <a:xfrm>
          <a:off x="9544051" y="3781426"/>
          <a:ext cx="3286124" cy="59531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30F7F232-A0B4-457F-83CC-D43355778974}" type="TxLink">
            <a:rPr lang="en-US" sz="36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$247,961 </a:t>
          </a:fld>
          <a:endParaRPr lang="en-US" sz="88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428623</xdr:colOff>
      <xdr:row>30</xdr:row>
      <xdr:rowOff>71438</xdr:rowOff>
    </xdr:from>
    <xdr:to>
      <xdr:col>18</xdr:col>
      <xdr:colOff>333374</xdr:colOff>
      <xdr:row>58</xdr:row>
      <xdr:rowOff>142876</xdr:rowOff>
    </xdr:to>
    <xdr:graphicFrame macro="">
      <xdr:nvGraphicFramePr>
        <xdr:cNvPr id="41" name="Chart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82.588067939818" createdVersion="6" refreshedVersion="6" minRefreshableVersion="3" recordCount="8314">
  <cacheSource type="worksheet">
    <worksheetSource name="Table13"/>
  </cacheSource>
  <cacheFields count="11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 count="4855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5982.602435416666" createdVersion="6" refreshedVersion="6" minRefreshableVersion="3" recordCount="2319">
  <cacheSource type="worksheet">
    <worksheetSource ref="O1:P2320" sheet="PIVOT "/>
  </cacheSource>
  <cacheFields count="2">
    <cacheField name="Customer Name" numFmtId="0">
      <sharedItems/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n v="44199"/>
    <x v="0"/>
    <x v="0"/>
    <x v="0"/>
    <x v="0"/>
    <s v="Message Book, Wirebound, Four 5 1/2&quot; X 4&quot; Forms/Pg., 200 Dupl. Sets/Book"/>
    <x v="0"/>
    <n v="2"/>
    <n v="5.55"/>
    <x v="0"/>
    <x v="0"/>
  </r>
  <r>
    <n v="44200"/>
    <x v="1"/>
    <x v="1"/>
    <x v="0"/>
    <x v="1"/>
    <s v="Avery 508"/>
    <x v="1"/>
    <n v="3"/>
    <n v="4.2699999999999996"/>
    <x v="0"/>
    <x v="0"/>
  </r>
  <r>
    <n v="44200"/>
    <x v="1"/>
    <x v="1"/>
    <x v="0"/>
    <x v="2"/>
    <s v="SAFCO Boltless Steel Shelving"/>
    <x v="2"/>
    <n v="3"/>
    <n v="-64.77"/>
    <x v="0"/>
    <x v="0"/>
  </r>
  <r>
    <n v="44200"/>
    <x v="1"/>
    <x v="1"/>
    <x v="0"/>
    <x v="3"/>
    <s v="GBC Standard Plastic Binding Systems Combs"/>
    <x v="3"/>
    <n v="2"/>
    <n v="-5.49"/>
    <x v="0"/>
    <x v="0"/>
  </r>
  <r>
    <n v="44201"/>
    <x v="2"/>
    <x v="2"/>
    <x v="0"/>
    <x v="4"/>
    <s v="Avery Hi-Liter EverBold Pen Style Fluorescent Highlighters, 4/Pack"/>
    <x v="4"/>
    <n v="3"/>
    <n v="4.88"/>
    <x v="0"/>
    <x v="0"/>
  </r>
  <r>
    <n v="44202"/>
    <x v="3"/>
    <x v="3"/>
    <x v="0"/>
    <x v="0"/>
    <s v="Xerox 225"/>
    <x v="5"/>
    <n v="3"/>
    <n v="9.33"/>
    <x v="0"/>
    <x v="0"/>
  </r>
  <r>
    <n v="44202"/>
    <x v="4"/>
    <x v="4"/>
    <x v="0"/>
    <x v="4"/>
    <s v="Dixon Prang Watercolor Pencils, 10-Color Set with Brush"/>
    <x v="6"/>
    <n v="3"/>
    <n v="5.24"/>
    <x v="0"/>
    <x v="0"/>
  </r>
  <r>
    <n v="44202"/>
    <x v="5"/>
    <x v="5"/>
    <x v="1"/>
    <x v="5"/>
    <s v="Global Deluxe High-Back Manager's Chair"/>
    <x v="7"/>
    <n v="9"/>
    <n v="746.41"/>
    <x v="0"/>
    <x v="0"/>
  </r>
  <r>
    <n v="44202"/>
    <x v="5"/>
    <x v="5"/>
    <x v="0"/>
    <x v="3"/>
    <s v="Ibico Hi-Tech Manual Binding System"/>
    <x v="8"/>
    <n v="2"/>
    <n v="274.49"/>
    <x v="0"/>
    <x v="0"/>
  </r>
  <r>
    <n v="44202"/>
    <x v="5"/>
    <x v="5"/>
    <x v="0"/>
    <x v="4"/>
    <s v="Rogers Handheld Barrel Pencil Sharpener"/>
    <x v="9"/>
    <n v="2"/>
    <n v="1.48"/>
    <x v="0"/>
    <x v="0"/>
  </r>
  <r>
    <n v="44202"/>
    <x v="5"/>
    <x v="5"/>
    <x v="2"/>
    <x v="6"/>
    <s v="GE 30524EE4"/>
    <x v="10"/>
    <n v="2"/>
    <n v="113.67"/>
    <x v="0"/>
    <x v="0"/>
  </r>
  <r>
    <n v="44202"/>
    <x v="5"/>
    <x v="5"/>
    <x v="2"/>
    <x v="6"/>
    <s v="Wireless Extenders zBoost YX545 SOHO Signal Booster"/>
    <x v="11"/>
    <n v="4"/>
    <n v="204.11"/>
    <x v="0"/>
    <x v="0"/>
  </r>
  <r>
    <n v="44202"/>
    <x v="5"/>
    <x v="5"/>
    <x v="0"/>
    <x v="7"/>
    <s v="Alliance Super-Size Bands, Assorted Sizes"/>
    <x v="12"/>
    <n v="4"/>
    <n v="0.31"/>
    <x v="0"/>
    <x v="0"/>
  </r>
  <r>
    <n v="44202"/>
    <x v="5"/>
    <x v="5"/>
    <x v="0"/>
    <x v="0"/>
    <s v="Southworth 25% Cotton Granite Paper &amp; Envelopes"/>
    <x v="13"/>
    <n v="1"/>
    <n v="3.01"/>
    <x v="0"/>
    <x v="0"/>
  </r>
  <r>
    <n v="44203"/>
    <x v="6"/>
    <x v="0"/>
    <x v="1"/>
    <x v="8"/>
    <s v="Howard Miller 14-1/2&quot; Diameter Chrome Round Wall Clock"/>
    <x v="14"/>
    <n v="3"/>
    <n v="-53.71"/>
    <x v="0"/>
    <x v="0"/>
  </r>
  <r>
    <n v="44203"/>
    <x v="6"/>
    <x v="0"/>
    <x v="0"/>
    <x v="3"/>
    <s v="Acco Four Pocket Poly Ring Binder with Label Holder, Smoke, 1&quot;"/>
    <x v="15"/>
    <n v="7"/>
    <n v="-18.25"/>
    <x v="0"/>
    <x v="0"/>
  </r>
  <r>
    <n v="44205"/>
    <x v="7"/>
    <x v="0"/>
    <x v="0"/>
    <x v="4"/>
    <s v="Newell 312"/>
    <x v="16"/>
    <n v="2"/>
    <n v="1.17"/>
    <x v="0"/>
    <x v="0"/>
  </r>
  <r>
    <n v="44205"/>
    <x v="7"/>
    <x v="0"/>
    <x v="2"/>
    <x v="9"/>
    <s v="Memorex Micro Travel Drive 8 GB"/>
    <x v="17"/>
    <n v="3"/>
    <n v="9.75"/>
    <x v="0"/>
    <x v="0"/>
  </r>
  <r>
    <n v="44206"/>
    <x v="8"/>
    <x v="6"/>
    <x v="0"/>
    <x v="1"/>
    <s v="Avery 482"/>
    <x v="18"/>
    <n v="1"/>
    <n v="1.36"/>
    <x v="0"/>
    <x v="0"/>
  </r>
  <r>
    <n v="44206"/>
    <x v="8"/>
    <x v="6"/>
    <x v="1"/>
    <x v="8"/>
    <s v="Howard Miller 11-1/2&quot; Diameter Ridgewood Wall Clock"/>
    <x v="19"/>
    <n v="1"/>
    <n v="21.3"/>
    <x v="0"/>
    <x v="0"/>
  </r>
  <r>
    <n v="44207"/>
    <x v="9"/>
    <x v="7"/>
    <x v="1"/>
    <x v="8"/>
    <s v="DAX Value U-Channel Document Frames, Easel Back"/>
    <x v="20"/>
    <n v="2"/>
    <n v="3.08"/>
    <x v="0"/>
    <x v="0"/>
  </r>
  <r>
    <n v="44209"/>
    <x v="10"/>
    <x v="8"/>
    <x v="0"/>
    <x v="10"/>
    <s v="Staple envelope"/>
    <x v="21"/>
    <n v="2"/>
    <n v="5.34"/>
    <x v="0"/>
    <x v="0"/>
  </r>
  <r>
    <n v="44209"/>
    <x v="10"/>
    <x v="8"/>
    <x v="0"/>
    <x v="10"/>
    <s v="Brown Kraft Recycled Envelopes"/>
    <x v="22"/>
    <n v="3"/>
    <n v="25.47"/>
    <x v="0"/>
    <x v="0"/>
  </r>
  <r>
    <n v="44209"/>
    <x v="10"/>
    <x v="8"/>
    <x v="2"/>
    <x v="9"/>
    <s v="Plantronics S12 Corded Telephone Headset System"/>
    <x v="23"/>
    <n v="6"/>
    <n v="258.7"/>
    <x v="0"/>
    <x v="0"/>
  </r>
  <r>
    <n v="44209"/>
    <x v="10"/>
    <x v="8"/>
    <x v="0"/>
    <x v="3"/>
    <s v="3-ring staple pack"/>
    <x v="24"/>
    <n v="3"/>
    <n v="2.71"/>
    <x v="0"/>
    <x v="0"/>
  </r>
  <r>
    <n v="44209"/>
    <x v="10"/>
    <x v="8"/>
    <x v="0"/>
    <x v="2"/>
    <s v="Fellowes Stor/Drawer Steel Plus Storage Drawers"/>
    <x v="25"/>
    <n v="6"/>
    <n v="34.35"/>
    <x v="0"/>
    <x v="0"/>
  </r>
  <r>
    <n v="44209"/>
    <x v="11"/>
    <x v="9"/>
    <x v="1"/>
    <x v="5"/>
    <s v="Global Highback Leather Tilter in Burgundy"/>
    <x v="26"/>
    <n v="6"/>
    <n v="87.35"/>
    <x v="0"/>
    <x v="0"/>
  </r>
  <r>
    <n v="44209"/>
    <x v="12"/>
    <x v="3"/>
    <x v="0"/>
    <x v="2"/>
    <s v="Tennsco 6- and 18-Compartment Lockers"/>
    <x v="27"/>
    <n v="5"/>
    <n v="238.65"/>
    <x v="0"/>
    <x v="0"/>
  </r>
  <r>
    <n v="44209"/>
    <x v="12"/>
    <x v="3"/>
    <x v="1"/>
    <x v="11"/>
    <s v="O'Sullivan Elevations Bookcase, Cherry Finish"/>
    <x v="28"/>
    <n v="3"/>
    <n v="3.93"/>
    <x v="0"/>
    <x v="0"/>
  </r>
  <r>
    <n v="44209"/>
    <x v="12"/>
    <x v="3"/>
    <x v="0"/>
    <x v="4"/>
    <s v="4009 Highlighters by Sanford"/>
    <x v="29"/>
    <n v="5"/>
    <n v="6.57"/>
    <x v="0"/>
    <x v="0"/>
  </r>
  <r>
    <n v="44209"/>
    <x v="13"/>
    <x v="10"/>
    <x v="0"/>
    <x v="0"/>
    <s v="Xerox 1923"/>
    <x v="30"/>
    <n v="7"/>
    <n v="13.09"/>
    <x v="0"/>
    <x v="0"/>
  </r>
  <r>
    <n v="44209"/>
    <x v="13"/>
    <x v="10"/>
    <x v="0"/>
    <x v="3"/>
    <s v="Avery Metallic Poly Binders"/>
    <x v="31"/>
    <n v="2"/>
    <n v="-2.52"/>
    <x v="0"/>
    <x v="0"/>
  </r>
  <r>
    <n v="44210"/>
    <x v="14"/>
    <x v="2"/>
    <x v="1"/>
    <x v="11"/>
    <s v="Sauder Cornerstone Collection Library"/>
    <x v="32"/>
    <n v="4"/>
    <n v="-53.29"/>
    <x v="0"/>
    <x v="0"/>
  </r>
  <r>
    <n v="44211"/>
    <x v="15"/>
    <x v="4"/>
    <x v="2"/>
    <x v="9"/>
    <s v="Logitech 910-002974 M325 Wireless Mouse for Web Scrolling"/>
    <x v="33"/>
    <n v="5"/>
    <n v="65.98"/>
    <x v="0"/>
    <x v="0"/>
  </r>
  <r>
    <n v="44212"/>
    <x v="16"/>
    <x v="2"/>
    <x v="1"/>
    <x v="8"/>
    <s v="DAX Black Cherry Wood-Tone Poster Frame"/>
    <x v="34"/>
    <n v="6"/>
    <n v="28.6"/>
    <x v="0"/>
    <x v="0"/>
  </r>
  <r>
    <n v="44212"/>
    <x v="16"/>
    <x v="2"/>
    <x v="2"/>
    <x v="6"/>
    <s v="AT&amp;T 841000 Phone"/>
    <x v="35"/>
    <n v="3"/>
    <n v="-31.05"/>
    <x v="0"/>
    <x v="0"/>
  </r>
  <r>
    <n v="44212"/>
    <x v="16"/>
    <x v="2"/>
    <x v="0"/>
    <x v="3"/>
    <s v="GBC Linen Binding Covers"/>
    <x v="36"/>
    <n v="2"/>
    <n v="-13.63"/>
    <x v="0"/>
    <x v="0"/>
  </r>
  <r>
    <n v="44212"/>
    <x v="16"/>
    <x v="2"/>
    <x v="0"/>
    <x v="1"/>
    <s v="Round Specialty Laser Printer Labels"/>
    <x v="37"/>
    <n v="3"/>
    <n v="10.15"/>
    <x v="0"/>
    <x v="0"/>
  </r>
  <r>
    <n v="44214"/>
    <x v="17"/>
    <x v="11"/>
    <x v="0"/>
    <x v="12"/>
    <s v="Fellowes Mighty 8 Compact Surge Protector"/>
    <x v="38"/>
    <n v="4"/>
    <n v="6.49"/>
    <x v="0"/>
    <x v="0"/>
  </r>
  <r>
    <n v="44215"/>
    <x v="18"/>
    <x v="12"/>
    <x v="0"/>
    <x v="3"/>
    <s v="GBC Standard Recycled Report Covers, Clear Plastic Sheets"/>
    <x v="39"/>
    <n v="10"/>
    <n v="-23.72"/>
    <x v="0"/>
    <x v="0"/>
  </r>
  <r>
    <n v="44215"/>
    <x v="18"/>
    <x v="12"/>
    <x v="0"/>
    <x v="0"/>
    <s v="TOPS Carbonless Receipt Book, Four 2-3/4 x 7-1/4 Money Receipts per Page"/>
    <x v="40"/>
    <n v="4"/>
    <n v="19.62"/>
    <x v="0"/>
    <x v="0"/>
  </r>
  <r>
    <n v="44215"/>
    <x v="18"/>
    <x v="12"/>
    <x v="0"/>
    <x v="10"/>
    <s v="Tyvek  Top-Opening Peel &amp; Seel Envelopes, Plain White"/>
    <x v="41"/>
    <n v="5"/>
    <n v="36.69"/>
    <x v="0"/>
    <x v="0"/>
  </r>
  <r>
    <n v="44215"/>
    <x v="18"/>
    <x v="12"/>
    <x v="1"/>
    <x v="11"/>
    <s v="O'Sullivan 4-Shelf Bookcase in Odessa Pine"/>
    <x v="42"/>
    <n v="5"/>
    <n v="-320.60000000000002"/>
    <x v="0"/>
    <x v="0"/>
  </r>
  <r>
    <n v="44216"/>
    <x v="19"/>
    <x v="13"/>
    <x v="2"/>
    <x v="6"/>
    <s v="Apple iPhone 5C"/>
    <x v="43"/>
    <n v="7"/>
    <n v="181.98"/>
    <x v="0"/>
    <x v="0"/>
  </r>
  <r>
    <n v="44216"/>
    <x v="19"/>
    <x v="13"/>
    <x v="0"/>
    <x v="4"/>
    <s v="Newell 351"/>
    <x v="44"/>
    <n v="7"/>
    <n v="6.66"/>
    <x v="0"/>
    <x v="0"/>
  </r>
  <r>
    <n v="44216"/>
    <x v="19"/>
    <x v="13"/>
    <x v="1"/>
    <x v="8"/>
    <s v="Eldon Expressions Desk Accessory, Wood Pencil Holder, Oak"/>
    <x v="45"/>
    <n v="4"/>
    <n v="11.58"/>
    <x v="0"/>
    <x v="0"/>
  </r>
  <r>
    <n v="44216"/>
    <x v="19"/>
    <x v="13"/>
    <x v="0"/>
    <x v="4"/>
    <s v="Newell 327"/>
    <x v="46"/>
    <n v="3"/>
    <n v="1.79"/>
    <x v="0"/>
    <x v="0"/>
  </r>
  <r>
    <n v="44216"/>
    <x v="19"/>
    <x v="13"/>
    <x v="0"/>
    <x v="10"/>
    <s v="Staple envelope"/>
    <x v="47"/>
    <n v="3"/>
    <n v="10.97"/>
    <x v="0"/>
    <x v="0"/>
  </r>
  <r>
    <n v="44216"/>
    <x v="19"/>
    <x v="13"/>
    <x v="1"/>
    <x v="5"/>
    <s v="Hon 4700 Series Mobuis Mid-Back Task Chairs with Adjustable Arms"/>
    <x v="48"/>
    <n v="3"/>
    <n v="224.27"/>
    <x v="0"/>
    <x v="0"/>
  </r>
  <r>
    <n v="44216"/>
    <x v="20"/>
    <x v="3"/>
    <x v="0"/>
    <x v="0"/>
    <s v="Wirebound Service Call Books, 5 1/2&quot; x 4&quot;"/>
    <x v="49"/>
    <n v="2"/>
    <n v="9.2899999999999991"/>
    <x v="0"/>
    <x v="0"/>
  </r>
  <r>
    <n v="44216"/>
    <x v="20"/>
    <x v="3"/>
    <x v="1"/>
    <x v="8"/>
    <s v="Eldon Expressions Desk Accessory, Wood Pencil Holder, Oak"/>
    <x v="50"/>
    <n v="2"/>
    <n v="5.79"/>
    <x v="0"/>
    <x v="0"/>
  </r>
  <r>
    <n v="44216"/>
    <x v="21"/>
    <x v="14"/>
    <x v="0"/>
    <x v="2"/>
    <s v="Eldon Fold 'N Roll Cart System"/>
    <x v="51"/>
    <n v="1"/>
    <n v="4.05"/>
    <x v="0"/>
    <x v="0"/>
  </r>
  <r>
    <n v="44216"/>
    <x v="21"/>
    <x v="14"/>
    <x v="1"/>
    <x v="8"/>
    <s v="Eldon ClusterMat Chair Mat with Cordless Antistatic Protection"/>
    <x v="52"/>
    <n v="3"/>
    <n v="30.02"/>
    <x v="0"/>
    <x v="0"/>
  </r>
  <r>
    <n v="44216"/>
    <x v="21"/>
    <x v="14"/>
    <x v="0"/>
    <x v="3"/>
    <s v="Acco Pressboard Covers with Storage Hooks, 9 1/2&quot; x 11&quot;, Executive Red"/>
    <x v="53"/>
    <n v="5"/>
    <n v="8.9499999999999993"/>
    <x v="0"/>
    <x v="0"/>
  </r>
  <r>
    <n v="44216"/>
    <x v="21"/>
    <x v="14"/>
    <x v="0"/>
    <x v="12"/>
    <s v="Holmes Replacement Filter for HEPA Air Cleaner, Very Large Room, HEPA Filter"/>
    <x v="54"/>
    <n v="4"/>
    <n v="93.58"/>
    <x v="0"/>
    <x v="0"/>
  </r>
  <r>
    <n v="44216"/>
    <x v="21"/>
    <x v="14"/>
    <x v="0"/>
    <x v="2"/>
    <s v="Fellowes Bases and Tops For Staxonsteel/High-Stak Systems"/>
    <x v="55"/>
    <n v="2"/>
    <n v="15.98"/>
    <x v="0"/>
    <x v="0"/>
  </r>
  <r>
    <n v="44216"/>
    <x v="21"/>
    <x v="14"/>
    <x v="0"/>
    <x v="4"/>
    <s v="Panasonic KP-4ABK Battery-Operated Pencil Sharpener"/>
    <x v="56"/>
    <n v="3"/>
    <n v="12.74"/>
    <x v="0"/>
    <x v="0"/>
  </r>
  <r>
    <n v="44216"/>
    <x v="21"/>
    <x v="14"/>
    <x v="1"/>
    <x v="8"/>
    <s v="Ultra Door Push Plate"/>
    <x v="57"/>
    <n v="3"/>
    <n v="4.8600000000000003"/>
    <x v="0"/>
    <x v="0"/>
  </r>
  <r>
    <n v="44216"/>
    <x v="21"/>
    <x v="14"/>
    <x v="0"/>
    <x v="3"/>
    <s v="Storex Dura Pro Binders"/>
    <x v="58"/>
    <n v="5"/>
    <n v="13.37"/>
    <x v="0"/>
    <x v="0"/>
  </r>
  <r>
    <n v="44216"/>
    <x v="22"/>
    <x v="15"/>
    <x v="0"/>
    <x v="3"/>
    <s v="GBC DocuBind TL200 Manual Binding Machine"/>
    <x v="59"/>
    <n v="1"/>
    <n v="-51.52"/>
    <x v="0"/>
    <x v="0"/>
  </r>
  <r>
    <n v="44217"/>
    <x v="23"/>
    <x v="16"/>
    <x v="1"/>
    <x v="8"/>
    <s v="Ultra Door Pull Handle"/>
    <x v="60"/>
    <n v="3"/>
    <n v="4.0999999999999996"/>
    <x v="0"/>
    <x v="0"/>
  </r>
  <r>
    <n v="44219"/>
    <x v="24"/>
    <x v="17"/>
    <x v="0"/>
    <x v="0"/>
    <s v="Xerox 195"/>
    <x v="61"/>
    <n v="6"/>
    <n v="19.239999999999998"/>
    <x v="0"/>
    <x v="0"/>
  </r>
  <r>
    <n v="44219"/>
    <x v="25"/>
    <x v="18"/>
    <x v="0"/>
    <x v="7"/>
    <s v="Alliance Big Bands Rubber Bands, 12/Pack"/>
    <x v="62"/>
    <n v="3"/>
    <n v="0"/>
    <x v="0"/>
    <x v="0"/>
  </r>
  <r>
    <n v="44222"/>
    <x v="26"/>
    <x v="6"/>
    <x v="1"/>
    <x v="8"/>
    <s v="GE General Use Halogen Bulbs, 100 Watts, 1 Bulb per Pack"/>
    <x v="63"/>
    <n v="3"/>
    <n v="30.78"/>
    <x v="0"/>
    <x v="0"/>
  </r>
  <r>
    <n v="44222"/>
    <x v="26"/>
    <x v="6"/>
    <x v="0"/>
    <x v="2"/>
    <s v="SAFCO Commercial Wire Shelving, 72h"/>
    <x v="64"/>
    <n v="8"/>
    <n v="0"/>
    <x v="0"/>
    <x v="0"/>
  </r>
  <r>
    <n v="44222"/>
    <x v="26"/>
    <x v="6"/>
    <x v="0"/>
    <x v="0"/>
    <s v="Eureka Recycled Copy Paper 8 1/2&quot; x 11&quot;, Ream"/>
    <x v="5"/>
    <n v="3"/>
    <n v="9.33"/>
    <x v="0"/>
    <x v="0"/>
  </r>
  <r>
    <n v="44222"/>
    <x v="26"/>
    <x v="6"/>
    <x v="0"/>
    <x v="0"/>
    <s v="REDIFORM Incoming/Outgoing Call Register, 11&quot; X 8 1/2&quot;, 100 Messages"/>
    <x v="65"/>
    <n v="2"/>
    <n v="8.34"/>
    <x v="0"/>
    <x v="0"/>
  </r>
  <r>
    <n v="44222"/>
    <x v="26"/>
    <x v="6"/>
    <x v="2"/>
    <x v="6"/>
    <s v="Macally Suction Cup Mount"/>
    <x v="66"/>
    <n v="13"/>
    <n v="0"/>
    <x v="0"/>
    <x v="0"/>
  </r>
  <r>
    <n v="44222"/>
    <x v="26"/>
    <x v="6"/>
    <x v="1"/>
    <x v="8"/>
    <s v="Eldon Image Series Black Desk Accessories"/>
    <x v="67"/>
    <n v="3"/>
    <n v="4.47"/>
    <x v="0"/>
    <x v="0"/>
  </r>
  <r>
    <n v="44222"/>
    <x v="26"/>
    <x v="6"/>
    <x v="2"/>
    <x v="6"/>
    <s v="Jabra SPEAK 410"/>
    <x v="68"/>
    <n v="2"/>
    <n v="52.63"/>
    <x v="0"/>
    <x v="0"/>
  </r>
  <r>
    <n v="44222"/>
    <x v="27"/>
    <x v="19"/>
    <x v="0"/>
    <x v="3"/>
    <s v="Wilson Jones 14 Line Acrylic Coated Pressboard Data Binders"/>
    <x v="69"/>
    <n v="2"/>
    <n v="5.0199999999999996"/>
    <x v="0"/>
    <x v="0"/>
  </r>
  <r>
    <n v="44222"/>
    <x v="27"/>
    <x v="19"/>
    <x v="1"/>
    <x v="11"/>
    <s v="Safco Value Mate Series Steel Bookcases, Baked Enamel Finish on Steel, Gray"/>
    <x v="70"/>
    <n v="2"/>
    <n v="39.75"/>
    <x v="0"/>
    <x v="0"/>
  </r>
  <r>
    <n v="44223"/>
    <x v="28"/>
    <x v="3"/>
    <x v="0"/>
    <x v="2"/>
    <s v="Recycled Steel Personal File for Hanging File Folders"/>
    <x v="71"/>
    <n v="1"/>
    <n v="14.31"/>
    <x v="0"/>
    <x v="0"/>
  </r>
  <r>
    <n v="44223"/>
    <x v="28"/>
    <x v="3"/>
    <x v="1"/>
    <x v="13"/>
    <s v="Balt Split Level Computer Training Table"/>
    <x v="72"/>
    <n v="3"/>
    <n v="-16.649999999999999"/>
    <x v="0"/>
    <x v="0"/>
  </r>
  <r>
    <n v="44223"/>
    <x v="28"/>
    <x v="3"/>
    <x v="0"/>
    <x v="4"/>
    <s v="Dixon Ticonderoga Core-Lock Colored Pencils"/>
    <x v="73"/>
    <n v="4"/>
    <n v="12.03"/>
    <x v="0"/>
    <x v="0"/>
  </r>
  <r>
    <n v="44224"/>
    <x v="29"/>
    <x v="20"/>
    <x v="0"/>
    <x v="3"/>
    <s v="Pressboard Covers with Storage Hooks, 9 1/2&quot; x 11&quot;, Light Blue"/>
    <x v="74"/>
    <n v="1"/>
    <n v="1.33"/>
    <x v="0"/>
    <x v="0"/>
  </r>
  <r>
    <n v="44226"/>
    <x v="30"/>
    <x v="14"/>
    <x v="0"/>
    <x v="0"/>
    <s v="Xerox 1972"/>
    <x v="75"/>
    <n v="2"/>
    <n v="4.75"/>
    <x v="0"/>
    <x v="0"/>
  </r>
  <r>
    <n v="44226"/>
    <x v="30"/>
    <x v="14"/>
    <x v="0"/>
    <x v="2"/>
    <s v="Space Solutions HD Industrial Steel Shelving."/>
    <x v="76"/>
    <n v="2"/>
    <n v="6.9"/>
    <x v="0"/>
    <x v="0"/>
  </r>
  <r>
    <n v="44227"/>
    <x v="31"/>
    <x v="3"/>
    <x v="1"/>
    <x v="11"/>
    <s v="Sauder Facets Collection Library, Sky Alder Finish"/>
    <x v="77"/>
    <n v="2"/>
    <n v="3.42"/>
    <x v="0"/>
    <x v="0"/>
  </r>
  <r>
    <n v="44228"/>
    <x v="32"/>
    <x v="21"/>
    <x v="2"/>
    <x v="9"/>
    <s v="Enermax Aurora Lite Keyboard"/>
    <x v="78"/>
    <n v="6"/>
    <n v="206.32"/>
    <x v="1"/>
    <x v="0"/>
  </r>
  <r>
    <n v="44229"/>
    <x v="33"/>
    <x v="3"/>
    <x v="0"/>
    <x v="7"/>
    <s v="Staples"/>
    <x v="79"/>
    <n v="5"/>
    <n v="5.8"/>
    <x v="1"/>
    <x v="0"/>
  </r>
  <r>
    <n v="44229"/>
    <x v="34"/>
    <x v="16"/>
    <x v="0"/>
    <x v="3"/>
    <s v="Surelock Post Binders"/>
    <x v="80"/>
    <n v="2"/>
    <n v="-12.22"/>
    <x v="1"/>
    <x v="0"/>
  </r>
  <r>
    <n v="44229"/>
    <x v="34"/>
    <x v="16"/>
    <x v="2"/>
    <x v="6"/>
    <s v="AT&amp;T 17929 Lendline Telephone"/>
    <x v="81"/>
    <n v="5"/>
    <n v="13.57"/>
    <x v="1"/>
    <x v="0"/>
  </r>
  <r>
    <n v="44230"/>
    <x v="23"/>
    <x v="22"/>
    <x v="0"/>
    <x v="3"/>
    <s v="Ibico Laser Imprintable Binding System Covers"/>
    <x v="82"/>
    <n v="2"/>
    <n v="27.25"/>
    <x v="1"/>
    <x v="0"/>
  </r>
  <r>
    <n v="44230"/>
    <x v="23"/>
    <x v="22"/>
    <x v="0"/>
    <x v="3"/>
    <s v="Avery Durable Poly Binders"/>
    <x v="83"/>
    <n v="3"/>
    <n v="4.3099999999999996"/>
    <x v="1"/>
    <x v="0"/>
  </r>
  <r>
    <n v="44231"/>
    <x v="35"/>
    <x v="3"/>
    <x v="0"/>
    <x v="3"/>
    <s v="GBC Recycled Grain Textured Covers"/>
    <x v="84"/>
    <n v="3"/>
    <n v="29.01"/>
    <x v="1"/>
    <x v="0"/>
  </r>
  <r>
    <n v="44231"/>
    <x v="35"/>
    <x v="3"/>
    <x v="0"/>
    <x v="0"/>
    <s v="Message Book, Standard Line &quot;While You Were Out&quot;, 5 1/2&quot; X 4&quot;, 200 Sets/Book"/>
    <x v="85"/>
    <n v="4"/>
    <n v="16.09"/>
    <x v="1"/>
    <x v="0"/>
  </r>
  <r>
    <n v="44231"/>
    <x v="36"/>
    <x v="3"/>
    <x v="0"/>
    <x v="3"/>
    <s v="GBC Standard Recycled Report Covers, Clear Plastic Sheets"/>
    <x v="86"/>
    <n v="2"/>
    <n v="6.04"/>
    <x v="1"/>
    <x v="0"/>
  </r>
  <r>
    <n v="44233"/>
    <x v="37"/>
    <x v="6"/>
    <x v="0"/>
    <x v="1"/>
    <s v="Avery 480"/>
    <x v="87"/>
    <n v="4"/>
    <n v="7.2"/>
    <x v="1"/>
    <x v="0"/>
  </r>
  <r>
    <n v="44233"/>
    <x v="37"/>
    <x v="6"/>
    <x v="2"/>
    <x v="6"/>
    <s v="Aastra 57i VoIP phone"/>
    <x v="88"/>
    <n v="1"/>
    <n v="42.02"/>
    <x v="1"/>
    <x v="0"/>
  </r>
  <r>
    <n v="44233"/>
    <x v="37"/>
    <x v="6"/>
    <x v="2"/>
    <x v="6"/>
    <s v="AT&amp;T CL82213"/>
    <x v="89"/>
    <n v="5"/>
    <n v="42.04"/>
    <x v="1"/>
    <x v="0"/>
  </r>
  <r>
    <n v="44233"/>
    <x v="16"/>
    <x v="1"/>
    <x v="0"/>
    <x v="3"/>
    <s v="Avery Flip-Chart Easel Binder, Black"/>
    <x v="90"/>
    <n v="2"/>
    <n v="-14.77"/>
    <x v="1"/>
    <x v="0"/>
  </r>
  <r>
    <n v="44234"/>
    <x v="38"/>
    <x v="23"/>
    <x v="2"/>
    <x v="9"/>
    <s v="Maxell DVD-RAM Discs"/>
    <x v="91"/>
    <n v="7"/>
    <n v="49.6"/>
    <x v="1"/>
    <x v="0"/>
  </r>
  <r>
    <n v="44234"/>
    <x v="10"/>
    <x v="20"/>
    <x v="0"/>
    <x v="2"/>
    <s v="Acco Perma 4000 Stacking Storage Drawers"/>
    <x v="92"/>
    <n v="4"/>
    <n v="9.74"/>
    <x v="1"/>
    <x v="0"/>
  </r>
  <r>
    <n v="44235"/>
    <x v="39"/>
    <x v="17"/>
    <x v="1"/>
    <x v="8"/>
    <s v="Master Caster Door Stop, Large Brown"/>
    <x v="93"/>
    <n v="2"/>
    <n v="5.53"/>
    <x v="1"/>
    <x v="0"/>
  </r>
  <r>
    <n v="44238"/>
    <x v="40"/>
    <x v="6"/>
    <x v="2"/>
    <x v="9"/>
    <s v="Enermax Aurora Lite Keyboard"/>
    <x v="94"/>
    <n v="3"/>
    <n v="103.16"/>
    <x v="1"/>
    <x v="0"/>
  </r>
  <r>
    <n v="44238"/>
    <x v="40"/>
    <x v="6"/>
    <x v="1"/>
    <x v="13"/>
    <s v="Hon 2111 Invitation Series Corner Table"/>
    <x v="95"/>
    <n v="6"/>
    <n v="75.37"/>
    <x v="1"/>
    <x v="0"/>
  </r>
  <r>
    <n v="44238"/>
    <x v="40"/>
    <x v="6"/>
    <x v="0"/>
    <x v="3"/>
    <s v="Wilson Jones Leather-Like Binders with DublLock Round Rings"/>
    <x v="96"/>
    <n v="2"/>
    <n v="8.2100000000000009"/>
    <x v="1"/>
    <x v="0"/>
  </r>
  <r>
    <n v="44238"/>
    <x v="41"/>
    <x v="24"/>
    <x v="1"/>
    <x v="5"/>
    <s v="Global Value Mid-Back Manager's Chair, Gray"/>
    <x v="97"/>
    <n v="1"/>
    <n v="15.22"/>
    <x v="1"/>
    <x v="0"/>
  </r>
  <r>
    <n v="44238"/>
    <x v="41"/>
    <x v="24"/>
    <x v="0"/>
    <x v="1"/>
    <s v="Avery 483"/>
    <x v="98"/>
    <n v="3"/>
    <n v="6.87"/>
    <x v="1"/>
    <x v="0"/>
  </r>
  <r>
    <n v="44238"/>
    <x v="41"/>
    <x v="24"/>
    <x v="0"/>
    <x v="3"/>
    <s v="Wilson Jones Turn Tabs Binder Tool for Ring Binders"/>
    <x v="99"/>
    <n v="2"/>
    <n v="4.43"/>
    <x v="1"/>
    <x v="0"/>
  </r>
  <r>
    <n v="44238"/>
    <x v="41"/>
    <x v="24"/>
    <x v="1"/>
    <x v="8"/>
    <s v="Rubbermaid ClusterMat Chairmats, Mat Size- 66&quot; x 60&quot;, Lip 20&quot; x 11&quot; -90 Degree Angle"/>
    <x v="100"/>
    <n v="3"/>
    <n v="53.27"/>
    <x v="1"/>
    <x v="0"/>
  </r>
  <r>
    <n v="44238"/>
    <x v="41"/>
    <x v="24"/>
    <x v="0"/>
    <x v="3"/>
    <s v="VariCap6 Expandable Binder"/>
    <x v="101"/>
    <n v="3"/>
    <n v="24.39"/>
    <x v="1"/>
    <x v="0"/>
  </r>
  <r>
    <n v="44238"/>
    <x v="41"/>
    <x v="24"/>
    <x v="0"/>
    <x v="2"/>
    <s v="Fellowes Neat Ideas Storage Cubes"/>
    <x v="92"/>
    <n v="2"/>
    <n v="2.6"/>
    <x v="1"/>
    <x v="0"/>
  </r>
  <r>
    <n v="44239"/>
    <x v="42"/>
    <x v="3"/>
    <x v="1"/>
    <x v="5"/>
    <s v="Global Geo Office Task Chair, Gray"/>
    <x v="102"/>
    <n v="2"/>
    <n v="-24.29"/>
    <x v="1"/>
    <x v="0"/>
  </r>
  <r>
    <n v="44241"/>
    <x v="43"/>
    <x v="0"/>
    <x v="0"/>
    <x v="0"/>
    <s v="Memo Book, 100 Message Capacity, 5 3/8Â” x 11Â”"/>
    <x v="103"/>
    <n v="3"/>
    <n v="6.07"/>
    <x v="1"/>
    <x v="0"/>
  </r>
  <r>
    <n v="44241"/>
    <x v="44"/>
    <x v="22"/>
    <x v="2"/>
    <x v="9"/>
    <s v="Logitech G600 MMO Gaming Mouse"/>
    <x v="104"/>
    <n v="3"/>
    <n v="86.39"/>
    <x v="1"/>
    <x v="0"/>
  </r>
  <r>
    <n v="44241"/>
    <x v="44"/>
    <x v="22"/>
    <x v="0"/>
    <x v="12"/>
    <s v="Belkin 8 Outlet Surge Protector"/>
    <x v="105"/>
    <n v="2"/>
    <n v="22.95"/>
    <x v="1"/>
    <x v="0"/>
  </r>
  <r>
    <n v="44241"/>
    <x v="44"/>
    <x v="22"/>
    <x v="0"/>
    <x v="14"/>
    <s v="Compact Automatic Electric Letter Opener"/>
    <x v="106"/>
    <n v="2"/>
    <n v="4.7699999999999996"/>
    <x v="1"/>
    <x v="0"/>
  </r>
  <r>
    <n v="44242"/>
    <x v="45"/>
    <x v="22"/>
    <x v="0"/>
    <x v="3"/>
    <s v="Pressboard Data Binders by Wilson Jones"/>
    <x v="107"/>
    <n v="5"/>
    <n v="7.21"/>
    <x v="1"/>
    <x v="0"/>
  </r>
  <r>
    <n v="44243"/>
    <x v="46"/>
    <x v="0"/>
    <x v="0"/>
    <x v="3"/>
    <s v="Wilson Jones Easy Flow II Sheet Lifters"/>
    <x v="108"/>
    <n v="3"/>
    <n v="-1.73"/>
    <x v="1"/>
    <x v="0"/>
  </r>
  <r>
    <n v="44243"/>
    <x v="46"/>
    <x v="0"/>
    <x v="0"/>
    <x v="12"/>
    <s v="Holmes Cool Mist Humidifier for the Whole House with 8-Gallon Output per Day, Extended Life Filter"/>
    <x v="109"/>
    <n v="2"/>
    <n v="-13.93"/>
    <x v="1"/>
    <x v="0"/>
  </r>
  <r>
    <n v="44244"/>
    <x v="16"/>
    <x v="1"/>
    <x v="0"/>
    <x v="4"/>
    <s v="Staples in misc. colors"/>
    <x v="110"/>
    <n v="14"/>
    <n v="8.81"/>
    <x v="1"/>
    <x v="0"/>
  </r>
  <r>
    <n v="44245"/>
    <x v="47"/>
    <x v="0"/>
    <x v="1"/>
    <x v="8"/>
    <s v="DAX Copper Panel Document Frame, 5 x 7 Size"/>
    <x v="111"/>
    <n v="5"/>
    <n v="-11.32"/>
    <x v="1"/>
    <x v="0"/>
  </r>
  <r>
    <n v="44245"/>
    <x v="48"/>
    <x v="0"/>
    <x v="0"/>
    <x v="2"/>
    <s v="Akro Stacking Bins"/>
    <x v="112"/>
    <n v="2"/>
    <n v="-2.52"/>
    <x v="1"/>
    <x v="0"/>
  </r>
  <r>
    <n v="44247"/>
    <x v="49"/>
    <x v="18"/>
    <x v="2"/>
    <x v="9"/>
    <s v="Enermax Briskie RF Wireless Keyboard and Mouse Combo"/>
    <x v="113"/>
    <n v="3"/>
    <n v="22.43"/>
    <x v="1"/>
    <x v="0"/>
  </r>
  <r>
    <n v="44247"/>
    <x v="49"/>
    <x v="18"/>
    <x v="1"/>
    <x v="8"/>
    <s v="Master Caster Door Stop, Brown"/>
    <x v="114"/>
    <n v="4"/>
    <n v="6.91"/>
    <x v="1"/>
    <x v="0"/>
  </r>
  <r>
    <n v="44247"/>
    <x v="50"/>
    <x v="3"/>
    <x v="0"/>
    <x v="0"/>
    <s v="Xerox 204"/>
    <x v="115"/>
    <n v="2"/>
    <n v="6.22"/>
    <x v="1"/>
    <x v="0"/>
  </r>
  <r>
    <n v="44248"/>
    <x v="51"/>
    <x v="1"/>
    <x v="0"/>
    <x v="3"/>
    <s v="GBC Standard Plastic Binding Systems Combs"/>
    <x v="116"/>
    <n v="5"/>
    <n v="-13.72"/>
    <x v="1"/>
    <x v="0"/>
  </r>
  <r>
    <n v="44249"/>
    <x v="52"/>
    <x v="3"/>
    <x v="0"/>
    <x v="0"/>
    <s v="Xerox 220"/>
    <x v="5"/>
    <n v="3"/>
    <n v="9.33"/>
    <x v="1"/>
    <x v="0"/>
  </r>
  <r>
    <n v="44250"/>
    <x v="53"/>
    <x v="0"/>
    <x v="0"/>
    <x v="1"/>
    <s v="Staple-on labels"/>
    <x v="117"/>
    <n v="3"/>
    <n v="2.34"/>
    <x v="1"/>
    <x v="0"/>
  </r>
  <r>
    <n v="44250"/>
    <x v="53"/>
    <x v="0"/>
    <x v="0"/>
    <x v="3"/>
    <s v="GBC Plastic Binding Combs"/>
    <x v="118"/>
    <n v="3"/>
    <n v="-6.86"/>
    <x v="1"/>
    <x v="0"/>
  </r>
  <r>
    <n v="44251"/>
    <x v="54"/>
    <x v="11"/>
    <x v="0"/>
    <x v="0"/>
    <s v="Message Book, Wirebound, Four 5 1/2&quot; X 4&quot; Forms/Pg., 200 Dupl. Sets/Book"/>
    <x v="119"/>
    <n v="4"/>
    <n v="11.1"/>
    <x v="1"/>
    <x v="0"/>
  </r>
  <r>
    <n v="44251"/>
    <x v="54"/>
    <x v="11"/>
    <x v="0"/>
    <x v="0"/>
    <s v="TOPS 4 x 6 Fluorescent Color Memo Sheets, 500 Sheets per Pack"/>
    <x v="120"/>
    <n v="3"/>
    <n v="7.69"/>
    <x v="1"/>
    <x v="0"/>
  </r>
  <r>
    <n v="44254"/>
    <x v="55"/>
    <x v="10"/>
    <x v="0"/>
    <x v="4"/>
    <s v="Zebra Zazzle Fluorescent Highlighters"/>
    <x v="121"/>
    <n v="4"/>
    <n v="3.4"/>
    <x v="1"/>
    <x v="0"/>
  </r>
  <r>
    <n v="44256"/>
    <x v="56"/>
    <x v="22"/>
    <x v="1"/>
    <x v="5"/>
    <s v="Global Deluxe High-Back Manager's Chair"/>
    <x v="122"/>
    <n v="2"/>
    <n v="51.48"/>
    <x v="2"/>
    <x v="0"/>
  </r>
  <r>
    <n v="44256"/>
    <x v="57"/>
    <x v="20"/>
    <x v="2"/>
    <x v="6"/>
    <s v="Sannysis Cute Owl Design Soft Skin Case Cover for Samsung Galaxy S4"/>
    <x v="62"/>
    <n v="3"/>
    <n v="1.6"/>
    <x v="2"/>
    <x v="0"/>
  </r>
  <r>
    <n v="44256"/>
    <x v="58"/>
    <x v="1"/>
    <x v="1"/>
    <x v="5"/>
    <s v="Novimex Swivel Fabric Task Chair"/>
    <x v="123"/>
    <n v="6"/>
    <n v="-172.12"/>
    <x v="2"/>
    <x v="0"/>
  </r>
  <r>
    <n v="44256"/>
    <x v="58"/>
    <x v="1"/>
    <x v="0"/>
    <x v="0"/>
    <s v="Black Print Carbonless 8 1/2&quot; x 8 1/4&quot; Rapid Memo Book"/>
    <x v="124"/>
    <n v="3"/>
    <n v="5.68"/>
    <x v="2"/>
    <x v="0"/>
  </r>
  <r>
    <n v="44256"/>
    <x v="59"/>
    <x v="0"/>
    <x v="0"/>
    <x v="7"/>
    <s v="Plymouth Boxed Rubber Bands by Plymouth"/>
    <x v="125"/>
    <n v="5"/>
    <n v="-3.53"/>
    <x v="2"/>
    <x v="0"/>
  </r>
  <r>
    <n v="44256"/>
    <x v="59"/>
    <x v="0"/>
    <x v="1"/>
    <x v="5"/>
    <s v="Harbour Creations Steel Folding Chair"/>
    <x v="126"/>
    <n v="6"/>
    <n v="0"/>
    <x v="2"/>
    <x v="0"/>
  </r>
  <r>
    <n v="44256"/>
    <x v="59"/>
    <x v="0"/>
    <x v="1"/>
    <x v="8"/>
    <s v="DAX Black Cherry Wood-Tone Poster Frame"/>
    <x v="127"/>
    <n v="6"/>
    <n v="-34.950000000000003"/>
    <x v="2"/>
    <x v="0"/>
  </r>
  <r>
    <n v="44256"/>
    <x v="59"/>
    <x v="0"/>
    <x v="0"/>
    <x v="2"/>
    <s v="Fellowes Bankers Box Recycled Super Stor/Drawer"/>
    <x v="128"/>
    <n v="3"/>
    <n v="-22.67"/>
    <x v="2"/>
    <x v="0"/>
  </r>
  <r>
    <n v="44256"/>
    <x v="60"/>
    <x v="0"/>
    <x v="0"/>
    <x v="2"/>
    <s v="Recycled Steel Personal File for Hanging File Folders"/>
    <x v="129"/>
    <n v="3"/>
    <n v="8.58"/>
    <x v="2"/>
    <x v="0"/>
  </r>
  <r>
    <n v="44256"/>
    <x v="60"/>
    <x v="0"/>
    <x v="1"/>
    <x v="13"/>
    <s v="Bevis Round Conference Room Tables and Bases"/>
    <x v="130"/>
    <n v="3"/>
    <n v="-43.03"/>
    <x v="2"/>
    <x v="0"/>
  </r>
  <r>
    <n v="44257"/>
    <x v="61"/>
    <x v="20"/>
    <x v="0"/>
    <x v="10"/>
    <s v="Staple envelope"/>
    <x v="21"/>
    <n v="2"/>
    <n v="5.34"/>
    <x v="2"/>
    <x v="0"/>
  </r>
  <r>
    <n v="44257"/>
    <x v="61"/>
    <x v="20"/>
    <x v="0"/>
    <x v="0"/>
    <s v="Array Parchment Paper, Assorted Colors"/>
    <x v="131"/>
    <n v="5"/>
    <n v="17.47"/>
    <x v="2"/>
    <x v="0"/>
  </r>
  <r>
    <n v="44257"/>
    <x v="62"/>
    <x v="2"/>
    <x v="0"/>
    <x v="0"/>
    <s v="Xerox 1971"/>
    <x v="132"/>
    <n v="1"/>
    <n v="1.07"/>
    <x v="2"/>
    <x v="0"/>
  </r>
  <r>
    <n v="44257"/>
    <x v="62"/>
    <x v="2"/>
    <x v="2"/>
    <x v="9"/>
    <s v="Hypercom P1300 Pinpad"/>
    <x v="133"/>
    <n v="3"/>
    <n v="32.130000000000003"/>
    <x v="2"/>
    <x v="0"/>
  </r>
  <r>
    <n v="44258"/>
    <x v="63"/>
    <x v="25"/>
    <x v="0"/>
    <x v="4"/>
    <s v="Zebra Zazzle Fluorescent Highlighters"/>
    <x v="121"/>
    <n v="4"/>
    <n v="3.4"/>
    <x v="2"/>
    <x v="0"/>
  </r>
  <r>
    <n v="44258"/>
    <x v="64"/>
    <x v="20"/>
    <x v="2"/>
    <x v="6"/>
    <s v="PowerGen Dual USB Car Charger"/>
    <x v="134"/>
    <n v="1"/>
    <n v="4.5999999999999996"/>
    <x v="2"/>
    <x v="0"/>
  </r>
  <r>
    <n v="44258"/>
    <x v="64"/>
    <x v="20"/>
    <x v="0"/>
    <x v="3"/>
    <s v="Ibico Laser Imprintable Binding System Covers"/>
    <x v="135"/>
    <n v="3"/>
    <n v="40.869999999999997"/>
    <x v="2"/>
    <x v="0"/>
  </r>
  <r>
    <n v="44258"/>
    <x v="64"/>
    <x v="20"/>
    <x v="0"/>
    <x v="3"/>
    <s v="Cardinal HOLDit! Binder Insert Strips,Extra Strips"/>
    <x v="136"/>
    <n v="5"/>
    <n v="9.18"/>
    <x v="2"/>
    <x v="0"/>
  </r>
  <r>
    <n v="44258"/>
    <x v="65"/>
    <x v="10"/>
    <x v="0"/>
    <x v="1"/>
    <s v="Avery 495"/>
    <x v="137"/>
    <n v="3"/>
    <n v="4.91"/>
    <x v="2"/>
    <x v="0"/>
  </r>
  <r>
    <n v="44258"/>
    <x v="65"/>
    <x v="10"/>
    <x v="1"/>
    <x v="11"/>
    <s v="O'Sullivan 4-Shelf Bookcase in Odessa Pine"/>
    <x v="138"/>
    <n v="5"/>
    <n v="-199.62"/>
    <x v="2"/>
    <x v="0"/>
  </r>
  <r>
    <n v="44258"/>
    <x v="65"/>
    <x v="10"/>
    <x v="0"/>
    <x v="2"/>
    <s v="Eldon Shelf Savers Cubes and Bins"/>
    <x v="139"/>
    <n v="8"/>
    <n v="-10.050000000000001"/>
    <x v="2"/>
    <x v="0"/>
  </r>
  <r>
    <n v="44258"/>
    <x v="66"/>
    <x v="0"/>
    <x v="0"/>
    <x v="12"/>
    <s v="3.6 Cubic Foot Counter Height Office Refrigerator"/>
    <x v="140"/>
    <n v="3"/>
    <n v="-459.61"/>
    <x v="2"/>
    <x v="0"/>
  </r>
  <r>
    <n v="44258"/>
    <x v="67"/>
    <x v="3"/>
    <x v="1"/>
    <x v="13"/>
    <s v="Bevis Oval Conference Table, Walnut"/>
    <x v="141"/>
    <n v="3"/>
    <n v="-23.49"/>
    <x v="2"/>
    <x v="0"/>
  </r>
  <r>
    <n v="44259"/>
    <x v="68"/>
    <x v="9"/>
    <x v="0"/>
    <x v="2"/>
    <s v="Sensible Storage WireTech Storage Systems"/>
    <x v="142"/>
    <n v="5"/>
    <n v="17.75"/>
    <x v="2"/>
    <x v="0"/>
  </r>
  <r>
    <n v="44259"/>
    <x v="42"/>
    <x v="16"/>
    <x v="0"/>
    <x v="4"/>
    <s v="BIC Brite Liner Highlighters, Chisel Tip"/>
    <x v="143"/>
    <n v="3"/>
    <n v="2.33"/>
    <x v="2"/>
    <x v="0"/>
  </r>
  <r>
    <n v="44260"/>
    <x v="69"/>
    <x v="20"/>
    <x v="0"/>
    <x v="4"/>
    <s v="Newell 345"/>
    <x v="144"/>
    <n v="3"/>
    <n v="15.48"/>
    <x v="2"/>
    <x v="0"/>
  </r>
  <r>
    <n v="44260"/>
    <x v="69"/>
    <x v="20"/>
    <x v="2"/>
    <x v="9"/>
    <s v="Logitech Wireless Gaming Headset G930"/>
    <x v="145"/>
    <n v="3"/>
    <n v="177.59"/>
    <x v="2"/>
    <x v="0"/>
  </r>
  <r>
    <n v="44260"/>
    <x v="69"/>
    <x v="20"/>
    <x v="0"/>
    <x v="14"/>
    <s v="Acme Forged Steel Scissors with Black Enamel Handles"/>
    <x v="146"/>
    <n v="2"/>
    <n v="5.4"/>
    <x v="2"/>
    <x v="0"/>
  </r>
  <r>
    <n v="44260"/>
    <x v="69"/>
    <x v="20"/>
    <x v="0"/>
    <x v="3"/>
    <s v="GBC Wire Binding Combs"/>
    <x v="147"/>
    <n v="6"/>
    <n v="16.75"/>
    <x v="2"/>
    <x v="0"/>
  </r>
  <r>
    <n v="44260"/>
    <x v="69"/>
    <x v="20"/>
    <x v="0"/>
    <x v="0"/>
    <s v="Xerox 1891"/>
    <x v="148"/>
    <n v="2"/>
    <n v="45.98"/>
    <x v="2"/>
    <x v="0"/>
  </r>
  <r>
    <n v="44262"/>
    <x v="48"/>
    <x v="22"/>
    <x v="1"/>
    <x v="5"/>
    <s v="Global Push Button Manager's Chair, Indigo"/>
    <x v="149"/>
    <n v="1"/>
    <n v="5.48"/>
    <x v="2"/>
    <x v="0"/>
  </r>
  <r>
    <n v="44262"/>
    <x v="48"/>
    <x v="22"/>
    <x v="0"/>
    <x v="4"/>
    <s v="Newell 330"/>
    <x v="150"/>
    <n v="3"/>
    <n v="4.66"/>
    <x v="2"/>
    <x v="0"/>
  </r>
  <r>
    <n v="44262"/>
    <x v="48"/>
    <x v="22"/>
    <x v="0"/>
    <x v="2"/>
    <s v="Carina 42&quot;Hx23 3/4&quot;W Media Storage Unit"/>
    <x v="151"/>
    <n v="3"/>
    <n v="4.8600000000000003"/>
    <x v="2"/>
    <x v="0"/>
  </r>
  <r>
    <n v="44262"/>
    <x v="70"/>
    <x v="22"/>
    <x v="0"/>
    <x v="3"/>
    <s v="Catalog Binders with Expanding Posts"/>
    <x v="152"/>
    <n v="2"/>
    <n v="33.64"/>
    <x v="2"/>
    <x v="0"/>
  </r>
  <r>
    <n v="44262"/>
    <x v="71"/>
    <x v="22"/>
    <x v="0"/>
    <x v="4"/>
    <s v="Newell Chalk Holder"/>
    <x v="153"/>
    <n v="5"/>
    <n v="9.5"/>
    <x v="2"/>
    <x v="0"/>
  </r>
  <r>
    <n v="44262"/>
    <x v="71"/>
    <x v="22"/>
    <x v="0"/>
    <x v="2"/>
    <s v="Contico 72&quot;H Heavy-Duty Storage System"/>
    <x v="154"/>
    <n v="5"/>
    <n v="0"/>
    <x v="2"/>
    <x v="0"/>
  </r>
  <r>
    <n v="44262"/>
    <x v="71"/>
    <x v="22"/>
    <x v="1"/>
    <x v="5"/>
    <s v="Office Star - Task Chair with Contemporary Loop Arms"/>
    <x v="155"/>
    <n v="6"/>
    <n v="21.84"/>
    <x v="2"/>
    <x v="0"/>
  </r>
  <r>
    <n v="44262"/>
    <x v="71"/>
    <x v="22"/>
    <x v="1"/>
    <x v="5"/>
    <s v="Global Leather and Oak Executive Chair, Black"/>
    <x v="156"/>
    <n v="2"/>
    <n v="54.18"/>
    <x v="2"/>
    <x v="0"/>
  </r>
  <r>
    <n v="44265"/>
    <x v="72"/>
    <x v="14"/>
    <x v="0"/>
    <x v="0"/>
    <s v="Geographics Note Cards, Blank, White, 8 1/2&quot; x 11&quot;"/>
    <x v="157"/>
    <n v="2"/>
    <n v="10.74"/>
    <x v="2"/>
    <x v="0"/>
  </r>
  <r>
    <n v="44265"/>
    <x v="73"/>
    <x v="26"/>
    <x v="0"/>
    <x v="2"/>
    <s v="Tennsco 6- and 18-Compartment Lockers"/>
    <x v="158"/>
    <n v="3"/>
    <n v="-15.91"/>
    <x v="2"/>
    <x v="0"/>
  </r>
  <r>
    <n v="44265"/>
    <x v="73"/>
    <x v="26"/>
    <x v="0"/>
    <x v="4"/>
    <s v="BOSTON Ranger #55 Pencil Sharpener, Black"/>
    <x v="159"/>
    <n v="4"/>
    <n v="9.36"/>
    <x v="2"/>
    <x v="0"/>
  </r>
  <r>
    <n v="44266"/>
    <x v="74"/>
    <x v="10"/>
    <x v="1"/>
    <x v="8"/>
    <s v="Eldon Wave Desk Accessories"/>
    <x v="160"/>
    <n v="5"/>
    <n v="2.29"/>
    <x v="2"/>
    <x v="0"/>
  </r>
  <r>
    <n v="44266"/>
    <x v="74"/>
    <x v="10"/>
    <x v="0"/>
    <x v="7"/>
    <s v="Stockwell Push Pins"/>
    <x v="161"/>
    <n v="6"/>
    <n v="1.7"/>
    <x v="2"/>
    <x v="0"/>
  </r>
  <r>
    <n v="44266"/>
    <x v="75"/>
    <x v="20"/>
    <x v="0"/>
    <x v="0"/>
    <s v="Southworth 100% RÃ©sumÃ© Paper, 24lb."/>
    <x v="162"/>
    <n v="14"/>
    <n v="49.01"/>
    <x v="2"/>
    <x v="0"/>
  </r>
  <r>
    <n v="44266"/>
    <x v="76"/>
    <x v="5"/>
    <x v="0"/>
    <x v="12"/>
    <s v="Fellowes Premier Superior Surge Suppressor, 10-Outlet, With Phone and Remote"/>
    <x v="163"/>
    <n v="3"/>
    <n v="38.159999999999997"/>
    <x v="2"/>
    <x v="0"/>
  </r>
  <r>
    <n v="44266"/>
    <x v="76"/>
    <x v="5"/>
    <x v="2"/>
    <x v="9"/>
    <s v="Maxell DVD-RAM Discs"/>
    <x v="164"/>
    <n v="2"/>
    <n v="14.17"/>
    <x v="2"/>
    <x v="0"/>
  </r>
  <r>
    <n v="44266"/>
    <x v="76"/>
    <x v="5"/>
    <x v="2"/>
    <x v="6"/>
    <s v="Panasonic KX-TG9471B"/>
    <x v="165"/>
    <n v="3"/>
    <n v="164.63"/>
    <x v="2"/>
    <x v="0"/>
  </r>
  <r>
    <n v="44266"/>
    <x v="76"/>
    <x v="5"/>
    <x v="0"/>
    <x v="0"/>
    <s v="Xerox 198"/>
    <x v="98"/>
    <n v="3"/>
    <n v="7.02"/>
    <x v="2"/>
    <x v="0"/>
  </r>
  <r>
    <n v="44266"/>
    <x v="77"/>
    <x v="3"/>
    <x v="0"/>
    <x v="4"/>
    <s v="Economy #2 Pencils"/>
    <x v="166"/>
    <n v="3"/>
    <n v="2.0699999999999998"/>
    <x v="2"/>
    <x v="0"/>
  </r>
  <r>
    <n v="44269"/>
    <x v="78"/>
    <x v="3"/>
    <x v="0"/>
    <x v="0"/>
    <s v="Xerox 1972"/>
    <x v="75"/>
    <n v="2"/>
    <n v="4.75"/>
    <x v="2"/>
    <x v="0"/>
  </r>
  <r>
    <n v="44269"/>
    <x v="78"/>
    <x v="3"/>
    <x v="0"/>
    <x v="4"/>
    <s v="Avery Hi-Liter Fluorescent Desk Style Markers"/>
    <x v="167"/>
    <n v="1"/>
    <n v="1.25"/>
    <x v="2"/>
    <x v="0"/>
  </r>
  <r>
    <n v="44269"/>
    <x v="79"/>
    <x v="6"/>
    <x v="1"/>
    <x v="5"/>
    <s v="Global Commerce Series High-Back Swivel/Tilt Chairs"/>
    <x v="168"/>
    <n v="4"/>
    <n v="284.98"/>
    <x v="2"/>
    <x v="0"/>
  </r>
  <r>
    <n v="44269"/>
    <x v="80"/>
    <x v="27"/>
    <x v="0"/>
    <x v="3"/>
    <s v="GBC Wire Binding Combs"/>
    <x v="169"/>
    <n v="4"/>
    <n v="11.17"/>
    <x v="2"/>
    <x v="0"/>
  </r>
  <r>
    <n v="44269"/>
    <x v="80"/>
    <x v="27"/>
    <x v="0"/>
    <x v="2"/>
    <s v="Carina Double Wide Media Storage Towers in Natural &amp; Black"/>
    <x v="170"/>
    <n v="1"/>
    <n v="3.24"/>
    <x v="2"/>
    <x v="0"/>
  </r>
  <r>
    <n v="44269"/>
    <x v="80"/>
    <x v="27"/>
    <x v="2"/>
    <x v="9"/>
    <s v="ImationÂ 30456 USBÂ Flash DriveÂ 8GB"/>
    <x v="171"/>
    <n v="12"/>
    <n v="6.62"/>
    <x v="2"/>
    <x v="0"/>
  </r>
  <r>
    <n v="44269"/>
    <x v="80"/>
    <x v="27"/>
    <x v="0"/>
    <x v="2"/>
    <s v="Staple magnet"/>
    <x v="107"/>
    <n v="2"/>
    <n v="5.77"/>
    <x v="2"/>
    <x v="0"/>
  </r>
  <r>
    <n v="44269"/>
    <x v="80"/>
    <x v="27"/>
    <x v="0"/>
    <x v="3"/>
    <s v="Premium Transparent Presentation Covers, No Pattern/Clear, 8 1/2&quot; x 11&quot;"/>
    <x v="172"/>
    <n v="2"/>
    <n v="20.170000000000002"/>
    <x v="2"/>
    <x v="0"/>
  </r>
  <r>
    <n v="44269"/>
    <x v="81"/>
    <x v="1"/>
    <x v="2"/>
    <x v="15"/>
    <s v="Hewlett-Packard Deskjet 6540 Color Inkjet Printer"/>
    <x v="173"/>
    <n v="2"/>
    <n v="156.05000000000001"/>
    <x v="2"/>
    <x v="0"/>
  </r>
  <r>
    <n v="44269"/>
    <x v="81"/>
    <x v="1"/>
    <x v="0"/>
    <x v="0"/>
    <s v="Xerox 1963"/>
    <x v="174"/>
    <n v="2"/>
    <n v="2.64"/>
    <x v="2"/>
    <x v="0"/>
  </r>
  <r>
    <n v="44269"/>
    <x v="82"/>
    <x v="16"/>
    <x v="0"/>
    <x v="0"/>
    <s v="Xerox 1887"/>
    <x v="175"/>
    <n v="6"/>
    <n v="31.87"/>
    <x v="2"/>
    <x v="0"/>
  </r>
  <r>
    <n v="44270"/>
    <x v="83"/>
    <x v="16"/>
    <x v="0"/>
    <x v="2"/>
    <s v="Hot File 7-Pocket, Floor Stand"/>
    <x v="176"/>
    <n v="1"/>
    <n v="17.850000000000001"/>
    <x v="2"/>
    <x v="0"/>
  </r>
  <r>
    <n v="44270"/>
    <x v="83"/>
    <x v="16"/>
    <x v="1"/>
    <x v="8"/>
    <s v="Eldon Expressions Desk Accessory, Wood Photo Frame, Mahogany"/>
    <x v="177"/>
    <n v="3"/>
    <n v="5.14"/>
    <x v="2"/>
    <x v="0"/>
  </r>
  <r>
    <n v="44270"/>
    <x v="83"/>
    <x v="16"/>
    <x v="0"/>
    <x v="3"/>
    <s v="Insertable Tab Post Binder Dividers"/>
    <x v="178"/>
    <n v="3"/>
    <n v="-5.53"/>
    <x v="2"/>
    <x v="0"/>
  </r>
  <r>
    <n v="44270"/>
    <x v="83"/>
    <x v="16"/>
    <x v="0"/>
    <x v="3"/>
    <s v="GBC VeloBinder Manual Binding System"/>
    <x v="179"/>
    <n v="4"/>
    <n v="-31.67"/>
    <x v="2"/>
    <x v="0"/>
  </r>
  <r>
    <n v="44270"/>
    <x v="83"/>
    <x v="16"/>
    <x v="0"/>
    <x v="0"/>
    <s v="Xerox 1889"/>
    <x v="180"/>
    <n v="3"/>
    <n v="47.82"/>
    <x v="2"/>
    <x v="0"/>
  </r>
  <r>
    <n v="44271"/>
    <x v="61"/>
    <x v="25"/>
    <x v="2"/>
    <x v="6"/>
    <s v="Polycom VoiceStation 500 ConferenceÂ phone"/>
    <x v="181"/>
    <n v="2"/>
    <n v="29.5"/>
    <x v="2"/>
    <x v="0"/>
  </r>
  <r>
    <n v="44272"/>
    <x v="84"/>
    <x v="28"/>
    <x v="0"/>
    <x v="12"/>
    <s v="Bionaire Personal Warm Mist Humidifier/Vaporizer"/>
    <x v="182"/>
    <n v="2"/>
    <n v="36.57"/>
    <x v="2"/>
    <x v="0"/>
  </r>
  <r>
    <n v="44272"/>
    <x v="84"/>
    <x v="28"/>
    <x v="0"/>
    <x v="0"/>
    <s v="Memo Book, 100 Message Capacity, 5 3/8Â” x 11Â”"/>
    <x v="183"/>
    <n v="7"/>
    <n v="23.59"/>
    <x v="2"/>
    <x v="0"/>
  </r>
  <r>
    <n v="44272"/>
    <x v="84"/>
    <x v="28"/>
    <x v="0"/>
    <x v="4"/>
    <s v="Newell 35"/>
    <x v="184"/>
    <n v="6"/>
    <n v="5.71"/>
    <x v="2"/>
    <x v="0"/>
  </r>
  <r>
    <n v="44272"/>
    <x v="84"/>
    <x v="28"/>
    <x v="0"/>
    <x v="3"/>
    <s v="Wilson Jones 14 Line Acrylic Coated Pressboard Data Binders"/>
    <x v="185"/>
    <n v="10"/>
    <n v="25.1"/>
    <x v="2"/>
    <x v="0"/>
  </r>
  <r>
    <n v="44272"/>
    <x v="84"/>
    <x v="28"/>
    <x v="0"/>
    <x v="3"/>
    <s v="Avery Non-Stick Heavy Duty View Round Locking Ring Binders"/>
    <x v="186"/>
    <n v="6"/>
    <n v="17.22"/>
    <x v="2"/>
    <x v="0"/>
  </r>
  <r>
    <n v="44272"/>
    <x v="85"/>
    <x v="20"/>
    <x v="1"/>
    <x v="13"/>
    <s v="Bretford Rectangular Conference Table Tops"/>
    <x v="187"/>
    <n v="7"/>
    <n v="-447.59"/>
    <x v="2"/>
    <x v="0"/>
  </r>
  <r>
    <n v="44272"/>
    <x v="85"/>
    <x v="20"/>
    <x v="1"/>
    <x v="13"/>
    <s v="Balt Solid Wood Round Tables"/>
    <x v="188"/>
    <n v="4"/>
    <n v="-553.65"/>
    <x v="2"/>
    <x v="0"/>
  </r>
  <r>
    <n v="44272"/>
    <x v="85"/>
    <x v="20"/>
    <x v="1"/>
    <x v="13"/>
    <s v="Hon 30&quot; x 60&quot; Table with Locking Drawer"/>
    <x v="189"/>
    <n v="3"/>
    <n v="-122.78"/>
    <x v="2"/>
    <x v="0"/>
  </r>
  <r>
    <n v="44272"/>
    <x v="85"/>
    <x v="20"/>
    <x v="0"/>
    <x v="0"/>
    <s v="Xerox 1926"/>
    <x v="190"/>
    <n v="7"/>
    <n v="16.38"/>
    <x v="2"/>
    <x v="0"/>
  </r>
  <r>
    <n v="44272"/>
    <x v="85"/>
    <x v="20"/>
    <x v="0"/>
    <x v="0"/>
    <s v="Xerox 1918"/>
    <x v="191"/>
    <n v="4"/>
    <n v="75.97"/>
    <x v="2"/>
    <x v="0"/>
  </r>
  <r>
    <n v="44272"/>
    <x v="86"/>
    <x v="0"/>
    <x v="0"/>
    <x v="4"/>
    <s v="Newell 333"/>
    <x v="192"/>
    <n v="2"/>
    <n v="0.33"/>
    <x v="2"/>
    <x v="0"/>
  </r>
  <r>
    <n v="44272"/>
    <x v="86"/>
    <x v="0"/>
    <x v="0"/>
    <x v="0"/>
    <s v="Xerox 1966"/>
    <x v="193"/>
    <n v="1"/>
    <n v="1.88"/>
    <x v="2"/>
    <x v="0"/>
  </r>
  <r>
    <n v="44272"/>
    <x v="86"/>
    <x v="0"/>
    <x v="0"/>
    <x v="0"/>
    <s v="Xerox 1967"/>
    <x v="143"/>
    <n v="3"/>
    <n v="5.44"/>
    <x v="2"/>
    <x v="0"/>
  </r>
  <r>
    <n v="44272"/>
    <x v="36"/>
    <x v="29"/>
    <x v="0"/>
    <x v="3"/>
    <s v="Acco Pressboard Covers with Storage Hooks, 9 1/2&quot; x 11&quot;, Executive Red"/>
    <x v="194"/>
    <n v="3"/>
    <n v="5.37"/>
    <x v="2"/>
    <x v="0"/>
  </r>
  <r>
    <n v="44272"/>
    <x v="36"/>
    <x v="29"/>
    <x v="0"/>
    <x v="3"/>
    <s v="GBC Twin Loop Wire Binding Elements, 9/16&quot; Spine, Black"/>
    <x v="195"/>
    <n v="2"/>
    <n v="14.92"/>
    <x v="2"/>
    <x v="0"/>
  </r>
  <r>
    <n v="44272"/>
    <x v="36"/>
    <x v="29"/>
    <x v="0"/>
    <x v="0"/>
    <s v="Xerox 1957"/>
    <x v="115"/>
    <n v="2"/>
    <n v="6.35"/>
    <x v="2"/>
    <x v="0"/>
  </r>
  <r>
    <n v="44272"/>
    <x v="36"/>
    <x v="29"/>
    <x v="0"/>
    <x v="0"/>
    <s v="EcoTones Memo Sheets"/>
    <x v="196"/>
    <n v="4"/>
    <n v="7.68"/>
    <x v="2"/>
    <x v="0"/>
  </r>
  <r>
    <n v="44272"/>
    <x v="36"/>
    <x v="29"/>
    <x v="0"/>
    <x v="12"/>
    <s v="Belkin 6 Outlet Metallic Surge Strip"/>
    <x v="197"/>
    <n v="3"/>
    <n v="8.49"/>
    <x v="2"/>
    <x v="0"/>
  </r>
  <r>
    <n v="44272"/>
    <x v="87"/>
    <x v="2"/>
    <x v="0"/>
    <x v="0"/>
    <s v="Xerox 1909"/>
    <x v="198"/>
    <n v="6"/>
    <n v="41.15"/>
    <x v="2"/>
    <x v="0"/>
  </r>
  <r>
    <n v="44273"/>
    <x v="88"/>
    <x v="16"/>
    <x v="2"/>
    <x v="15"/>
    <s v="Hewlett-Packard Deskjet 6540 Color Inkjet Printer"/>
    <x v="199"/>
    <n v="4"/>
    <n v="-16.43"/>
    <x v="2"/>
    <x v="0"/>
  </r>
  <r>
    <n v="44273"/>
    <x v="88"/>
    <x v="16"/>
    <x v="2"/>
    <x v="15"/>
    <s v="Cisco TelePresence System EX90 Videoconferencing Unit"/>
    <x v="200"/>
    <n v="6"/>
    <n v="-1811.08"/>
    <x v="2"/>
    <x v="0"/>
  </r>
  <r>
    <n v="44273"/>
    <x v="88"/>
    <x v="16"/>
    <x v="0"/>
    <x v="0"/>
    <s v="Xerox 195"/>
    <x v="201"/>
    <n v="4"/>
    <n v="7.48"/>
    <x v="2"/>
    <x v="0"/>
  </r>
  <r>
    <n v="44273"/>
    <x v="88"/>
    <x v="16"/>
    <x v="0"/>
    <x v="4"/>
    <s v="Avery Fluorescent Highlighter Four-Color Set"/>
    <x v="202"/>
    <n v="3"/>
    <n v="1"/>
    <x v="2"/>
    <x v="0"/>
  </r>
  <r>
    <n v="44273"/>
    <x v="88"/>
    <x v="16"/>
    <x v="1"/>
    <x v="8"/>
    <s v="Executive Impressions 13&quot; Clairmont Wall Clock"/>
    <x v="203"/>
    <n v="2"/>
    <n v="8.08"/>
    <x v="2"/>
    <x v="0"/>
  </r>
  <r>
    <n v="44273"/>
    <x v="88"/>
    <x v="16"/>
    <x v="0"/>
    <x v="7"/>
    <s v="Staples"/>
    <x v="204"/>
    <n v="3"/>
    <n v="5.92"/>
    <x v="2"/>
    <x v="0"/>
  </r>
  <r>
    <n v="44273"/>
    <x v="88"/>
    <x v="16"/>
    <x v="1"/>
    <x v="8"/>
    <s v="Dana Fluorescent Magnifying Lamp, White, 36&quot;"/>
    <x v="205"/>
    <n v="3"/>
    <n v="15.29"/>
    <x v="2"/>
    <x v="0"/>
  </r>
  <r>
    <n v="44273"/>
    <x v="89"/>
    <x v="3"/>
    <x v="1"/>
    <x v="11"/>
    <s v="Bush Heritage Pine Collection 5-Shelf Bookcase, Albany Pine Finish, *Special Order"/>
    <x v="206"/>
    <n v="10"/>
    <n v="70.489999999999995"/>
    <x v="2"/>
    <x v="0"/>
  </r>
  <r>
    <n v="44273"/>
    <x v="90"/>
    <x v="3"/>
    <x v="1"/>
    <x v="8"/>
    <s v="Eldon Cleatmat Chair Mats for Medium Pile Carpets"/>
    <x v="207"/>
    <n v="2"/>
    <n v="14.43"/>
    <x v="2"/>
    <x v="0"/>
  </r>
  <r>
    <n v="44273"/>
    <x v="90"/>
    <x v="3"/>
    <x v="2"/>
    <x v="15"/>
    <s v="Swingline SM12-08 MicroCut Jam Free Shredder"/>
    <x v="208"/>
    <n v="4"/>
    <n v="415.99"/>
    <x v="2"/>
    <x v="0"/>
  </r>
  <r>
    <n v="44273"/>
    <x v="90"/>
    <x v="3"/>
    <x v="0"/>
    <x v="2"/>
    <s v="Tennsco 6- and 18-Compartment Lockers"/>
    <x v="209"/>
    <n v="7"/>
    <n v="334.11"/>
    <x v="2"/>
    <x v="0"/>
  </r>
  <r>
    <n v="44274"/>
    <x v="91"/>
    <x v="16"/>
    <x v="2"/>
    <x v="6"/>
    <s v="Cisco 8x8 Inc. 6753i IP Business Phone System"/>
    <x v="210"/>
    <n v="3"/>
    <n v="28.35"/>
    <x v="2"/>
    <x v="0"/>
  </r>
  <r>
    <n v="44274"/>
    <x v="91"/>
    <x v="16"/>
    <x v="0"/>
    <x v="1"/>
    <s v="Avery 501"/>
    <x v="211"/>
    <n v="4"/>
    <n v="3.99"/>
    <x v="2"/>
    <x v="0"/>
  </r>
  <r>
    <n v="44274"/>
    <x v="91"/>
    <x v="16"/>
    <x v="0"/>
    <x v="2"/>
    <s v="Crate-A-Files"/>
    <x v="212"/>
    <n v="3"/>
    <n v="1.96"/>
    <x v="2"/>
    <x v="0"/>
  </r>
  <r>
    <n v="44274"/>
    <x v="91"/>
    <x v="16"/>
    <x v="0"/>
    <x v="3"/>
    <s v="Avery Flip-Chart Easel Binder, Black"/>
    <x v="213"/>
    <n v="5"/>
    <n v="-25.74"/>
    <x v="2"/>
    <x v="0"/>
  </r>
  <r>
    <n v="44274"/>
    <x v="91"/>
    <x v="16"/>
    <x v="1"/>
    <x v="8"/>
    <s v="Eldon Wave Desk Accessories"/>
    <x v="214"/>
    <n v="3"/>
    <n v="1.37"/>
    <x v="2"/>
    <x v="0"/>
  </r>
  <r>
    <n v="44274"/>
    <x v="91"/>
    <x v="16"/>
    <x v="1"/>
    <x v="8"/>
    <s v="Document Clip Frames"/>
    <x v="215"/>
    <n v="3"/>
    <n v="5.5"/>
    <x v="2"/>
    <x v="0"/>
  </r>
  <r>
    <n v="44274"/>
    <x v="91"/>
    <x v="16"/>
    <x v="2"/>
    <x v="9"/>
    <s v="LogitechÂ Wireless Boombox Speaker - portable - wireless, wired"/>
    <x v="216"/>
    <n v="2"/>
    <n v="53.2"/>
    <x v="2"/>
    <x v="0"/>
  </r>
  <r>
    <n v="44276"/>
    <x v="92"/>
    <x v="10"/>
    <x v="0"/>
    <x v="4"/>
    <s v="Binney &amp; Smith Crayola Metallic Colored Pencils, 8-Color Set"/>
    <x v="217"/>
    <n v="2"/>
    <n v="1.2"/>
    <x v="2"/>
    <x v="0"/>
  </r>
  <r>
    <n v="44276"/>
    <x v="92"/>
    <x v="10"/>
    <x v="0"/>
    <x v="4"/>
    <s v="Binney &amp; Smith inkTank Erasable Desk Highlighter, Chisel Tip, Yellow, 12/Box"/>
    <x v="218"/>
    <n v="3"/>
    <n v="1.59"/>
    <x v="2"/>
    <x v="0"/>
  </r>
  <r>
    <n v="44276"/>
    <x v="93"/>
    <x v="25"/>
    <x v="0"/>
    <x v="2"/>
    <s v="Tennsco Commercial Shelving"/>
    <x v="219"/>
    <n v="1"/>
    <n v="-3.86"/>
    <x v="2"/>
    <x v="0"/>
  </r>
  <r>
    <n v="44276"/>
    <x v="94"/>
    <x v="6"/>
    <x v="2"/>
    <x v="6"/>
    <s v="Samsung Galaxy S4 Active"/>
    <x v="220"/>
    <n v="7"/>
    <n v="909.98"/>
    <x v="2"/>
    <x v="0"/>
  </r>
  <r>
    <n v="44276"/>
    <x v="94"/>
    <x v="6"/>
    <x v="0"/>
    <x v="1"/>
    <s v="Avery 492"/>
    <x v="221"/>
    <n v="5"/>
    <n v="6.62"/>
    <x v="2"/>
    <x v="0"/>
  </r>
  <r>
    <n v="44276"/>
    <x v="94"/>
    <x v="6"/>
    <x v="0"/>
    <x v="0"/>
    <s v="Xerox 1919"/>
    <x v="222"/>
    <n v="3"/>
    <n v="60.26"/>
    <x v="2"/>
    <x v="0"/>
  </r>
  <r>
    <n v="44276"/>
    <x v="94"/>
    <x v="6"/>
    <x v="0"/>
    <x v="4"/>
    <s v="American Pencil"/>
    <x v="223"/>
    <n v="4"/>
    <n v="2.7"/>
    <x v="2"/>
    <x v="0"/>
  </r>
  <r>
    <n v="44276"/>
    <x v="94"/>
    <x v="6"/>
    <x v="0"/>
    <x v="3"/>
    <s v="Wilson Jones Ledger-Size, Piano-Hinge Binder, 2&quot;, Blue"/>
    <x v="224"/>
    <n v="3"/>
    <n v="59.01"/>
    <x v="2"/>
    <x v="0"/>
  </r>
  <r>
    <n v="44276"/>
    <x v="95"/>
    <x v="15"/>
    <x v="0"/>
    <x v="1"/>
    <s v="Avery 505"/>
    <x v="225"/>
    <n v="5"/>
    <n v="22.2"/>
    <x v="2"/>
    <x v="0"/>
  </r>
  <r>
    <n v="44276"/>
    <x v="95"/>
    <x v="15"/>
    <x v="1"/>
    <x v="8"/>
    <s v="DAX Wood Document Frame"/>
    <x v="226"/>
    <n v="3"/>
    <n v="6.59"/>
    <x v="2"/>
    <x v="0"/>
  </r>
  <r>
    <n v="44276"/>
    <x v="95"/>
    <x v="15"/>
    <x v="1"/>
    <x v="5"/>
    <s v="Global Highback Leather Tilter in Burgundy"/>
    <x v="227"/>
    <n v="3"/>
    <n v="-10.92"/>
    <x v="2"/>
    <x v="0"/>
  </r>
  <r>
    <n v="44277"/>
    <x v="96"/>
    <x v="25"/>
    <x v="0"/>
    <x v="3"/>
    <s v="C-Line Peel &amp; Stick Add-On Filing Pockets, 8-3/4 x 5-1/8, 10/Pack"/>
    <x v="228"/>
    <n v="4"/>
    <n v="-5.86"/>
    <x v="2"/>
    <x v="0"/>
  </r>
  <r>
    <n v="44277"/>
    <x v="96"/>
    <x v="25"/>
    <x v="0"/>
    <x v="3"/>
    <s v="GBC Prestige Therm-A-Bind Covers"/>
    <x v="229"/>
    <n v="5"/>
    <n v="-39.46"/>
    <x v="2"/>
    <x v="0"/>
  </r>
  <r>
    <n v="44277"/>
    <x v="97"/>
    <x v="12"/>
    <x v="0"/>
    <x v="0"/>
    <s v="Xerox 1951"/>
    <x v="230"/>
    <n v="3"/>
    <n v="23.24"/>
    <x v="2"/>
    <x v="0"/>
  </r>
  <r>
    <n v="44277"/>
    <x v="97"/>
    <x v="12"/>
    <x v="1"/>
    <x v="5"/>
    <s v="Office Star - Mesh Screen back chair with Vinyl seat"/>
    <x v="231"/>
    <n v="3"/>
    <n v="-35.36"/>
    <x v="2"/>
    <x v="0"/>
  </r>
  <r>
    <n v="44277"/>
    <x v="98"/>
    <x v="18"/>
    <x v="0"/>
    <x v="4"/>
    <s v="Avery Hi-Liter EverBold Pen Style Fluorescent Highlighters, 4/Pack"/>
    <x v="232"/>
    <n v="2"/>
    <n v="6.51"/>
    <x v="2"/>
    <x v="0"/>
  </r>
  <r>
    <n v="44278"/>
    <x v="99"/>
    <x v="3"/>
    <x v="0"/>
    <x v="2"/>
    <s v="Economy Rollaway Files"/>
    <x v="233"/>
    <n v="2"/>
    <n v="85.9"/>
    <x v="2"/>
    <x v="0"/>
  </r>
  <r>
    <n v="44278"/>
    <x v="99"/>
    <x v="3"/>
    <x v="2"/>
    <x v="6"/>
    <s v="Ooma Telo VoIP Home Phone System"/>
    <x v="234"/>
    <n v="6"/>
    <n v="37.799999999999997"/>
    <x v="2"/>
    <x v="0"/>
  </r>
  <r>
    <n v="44278"/>
    <x v="100"/>
    <x v="16"/>
    <x v="0"/>
    <x v="1"/>
    <s v="Avery 476"/>
    <x v="235"/>
    <n v="3"/>
    <n v="3.22"/>
    <x v="2"/>
    <x v="0"/>
  </r>
  <r>
    <n v="44279"/>
    <x v="101"/>
    <x v="20"/>
    <x v="0"/>
    <x v="0"/>
    <s v="Xerox 190"/>
    <x v="236"/>
    <n v="5"/>
    <n v="11.7"/>
    <x v="2"/>
    <x v="0"/>
  </r>
  <r>
    <n v="44279"/>
    <x v="102"/>
    <x v="3"/>
    <x v="1"/>
    <x v="8"/>
    <s v="DAX Contemporary Wood Frame with Silver Metal Mat, Desktop, 11 x 14 Size"/>
    <x v="237"/>
    <n v="2"/>
    <n v="14.57"/>
    <x v="2"/>
    <x v="0"/>
  </r>
  <r>
    <n v="44280"/>
    <x v="86"/>
    <x v="20"/>
    <x v="1"/>
    <x v="5"/>
    <s v="Iceberg Nesting Folding Chair, 19w x 6d x 43h"/>
    <x v="238"/>
    <n v="7"/>
    <n v="65.209999999999994"/>
    <x v="2"/>
    <x v="0"/>
  </r>
  <r>
    <n v="44280"/>
    <x v="103"/>
    <x v="3"/>
    <x v="0"/>
    <x v="4"/>
    <s v="Newell 35"/>
    <x v="239"/>
    <n v="2"/>
    <n v="1.9"/>
    <x v="2"/>
    <x v="0"/>
  </r>
  <r>
    <n v="44280"/>
    <x v="103"/>
    <x v="3"/>
    <x v="0"/>
    <x v="4"/>
    <s v="Eberhard Faber 3 1/2&quot; Golf Pencils"/>
    <x v="240"/>
    <n v="2"/>
    <n v="3.72"/>
    <x v="2"/>
    <x v="0"/>
  </r>
  <r>
    <n v="44280"/>
    <x v="103"/>
    <x v="3"/>
    <x v="2"/>
    <x v="9"/>
    <s v="ImationÂ SwivelÂ Flash DriveÂ USBÂ flash driveÂ - 8 GB"/>
    <x v="241"/>
    <n v="4"/>
    <n v="15.92"/>
    <x v="2"/>
    <x v="0"/>
  </r>
  <r>
    <n v="44280"/>
    <x v="103"/>
    <x v="3"/>
    <x v="0"/>
    <x v="4"/>
    <s v="BIC Brite Liner Grip Highlighters, Assorted, 5/Pack"/>
    <x v="242"/>
    <n v="6"/>
    <n v="9.92"/>
    <x v="2"/>
    <x v="0"/>
  </r>
  <r>
    <n v="44281"/>
    <x v="104"/>
    <x v="3"/>
    <x v="2"/>
    <x v="9"/>
    <s v="SanDisk Ultra 32 GB MicroSDHC Class 10 Memory Card"/>
    <x v="243"/>
    <n v="3"/>
    <n v="8.6199999999999992"/>
    <x v="2"/>
    <x v="0"/>
  </r>
  <r>
    <n v="44281"/>
    <x v="105"/>
    <x v="3"/>
    <x v="0"/>
    <x v="4"/>
    <s v="Newell 308"/>
    <x v="244"/>
    <n v="2"/>
    <n v="0.84"/>
    <x v="2"/>
    <x v="0"/>
  </r>
  <r>
    <n v="44281"/>
    <x v="105"/>
    <x v="3"/>
    <x v="0"/>
    <x v="3"/>
    <s v="Wilson Jones Leather-Like Binders with DublLock Round Rings"/>
    <x v="245"/>
    <n v="4"/>
    <n v="9.43"/>
    <x v="2"/>
    <x v="0"/>
  </r>
  <r>
    <n v="44281"/>
    <x v="105"/>
    <x v="3"/>
    <x v="2"/>
    <x v="6"/>
    <s v="Griffin GC17055 Auxiliary Audio Cable"/>
    <x v="246"/>
    <n v="2"/>
    <n v="2.88"/>
    <x v="2"/>
    <x v="0"/>
  </r>
  <r>
    <n v="44281"/>
    <x v="106"/>
    <x v="3"/>
    <x v="0"/>
    <x v="1"/>
    <s v="Smead Alpha-Z Color-Coded Name Labels First Letter Starter Set"/>
    <x v="247"/>
    <n v="5"/>
    <n v="9"/>
    <x v="2"/>
    <x v="0"/>
  </r>
  <r>
    <n v="44283"/>
    <x v="107"/>
    <x v="30"/>
    <x v="0"/>
    <x v="10"/>
    <s v="Poly String Tie Envelopes"/>
    <x v="248"/>
    <n v="3"/>
    <n v="2.88"/>
    <x v="2"/>
    <x v="0"/>
  </r>
  <r>
    <n v="44283"/>
    <x v="107"/>
    <x v="30"/>
    <x v="1"/>
    <x v="13"/>
    <s v="Hon 94000 Series Round Tables"/>
    <x v="249"/>
    <n v="4"/>
    <n v="106.62"/>
    <x v="2"/>
    <x v="0"/>
  </r>
  <r>
    <n v="44283"/>
    <x v="108"/>
    <x v="31"/>
    <x v="2"/>
    <x v="6"/>
    <s v="AT&amp;T TR1909W"/>
    <x v="250"/>
    <n v="3"/>
    <n v="22.68"/>
    <x v="2"/>
    <x v="0"/>
  </r>
  <r>
    <n v="44283"/>
    <x v="109"/>
    <x v="10"/>
    <x v="1"/>
    <x v="13"/>
    <s v="Chromcraft Bull-Nose Wood Oval Conference Tables &amp; Bases"/>
    <x v="251"/>
    <n v="1"/>
    <n v="-143.25"/>
    <x v="2"/>
    <x v="0"/>
  </r>
  <r>
    <n v="44284"/>
    <x v="110"/>
    <x v="0"/>
    <x v="1"/>
    <x v="13"/>
    <s v="Bush Advantage Collection Racetrack Conference Table"/>
    <x v="252"/>
    <n v="3"/>
    <n v="-152.72"/>
    <x v="2"/>
    <x v="0"/>
  </r>
  <r>
    <n v="44285"/>
    <x v="111"/>
    <x v="20"/>
    <x v="0"/>
    <x v="4"/>
    <s v="Peel-Off China Markers"/>
    <x v="253"/>
    <n v="5"/>
    <n v="20.85"/>
    <x v="2"/>
    <x v="0"/>
  </r>
  <r>
    <n v="44285"/>
    <x v="112"/>
    <x v="22"/>
    <x v="0"/>
    <x v="2"/>
    <s v="Sterilite Show Offs Storage Containers"/>
    <x v="254"/>
    <n v="3"/>
    <n v="0"/>
    <x v="2"/>
    <x v="0"/>
  </r>
  <r>
    <n v="44285"/>
    <x v="112"/>
    <x v="22"/>
    <x v="0"/>
    <x v="1"/>
    <s v="Avery 490"/>
    <x v="255"/>
    <n v="3"/>
    <n v="22.2"/>
    <x v="2"/>
    <x v="0"/>
  </r>
  <r>
    <n v="44285"/>
    <x v="113"/>
    <x v="20"/>
    <x v="0"/>
    <x v="4"/>
    <s v="Sanford EarthWrite Recycled Pencils, Medium Soft, #2"/>
    <x v="256"/>
    <n v="5"/>
    <n v="2.94"/>
    <x v="2"/>
    <x v="0"/>
  </r>
  <r>
    <n v="44285"/>
    <x v="41"/>
    <x v="3"/>
    <x v="1"/>
    <x v="11"/>
    <s v="O'Sullivan Living Dimensions 2-Shelf Bookcases"/>
    <x v="257"/>
    <n v="2"/>
    <n v="-12.1"/>
    <x v="2"/>
    <x v="0"/>
  </r>
  <r>
    <n v="44285"/>
    <x v="114"/>
    <x v="0"/>
    <x v="0"/>
    <x v="10"/>
    <s v="Airmail Envelopes"/>
    <x v="258"/>
    <n v="5"/>
    <n v="113.31"/>
    <x v="2"/>
    <x v="0"/>
  </r>
  <r>
    <n v="44285"/>
    <x v="114"/>
    <x v="0"/>
    <x v="2"/>
    <x v="6"/>
    <s v="Innergie mMini Combo Duo USB Travel Charging Kit"/>
    <x v="259"/>
    <n v="7"/>
    <n v="88.18"/>
    <x v="2"/>
    <x v="0"/>
  </r>
  <r>
    <n v="44285"/>
    <x v="114"/>
    <x v="0"/>
    <x v="1"/>
    <x v="5"/>
    <s v="Global Stack Chair without Arms, Black"/>
    <x v="260"/>
    <n v="7"/>
    <n v="-9.09"/>
    <x v="2"/>
    <x v="0"/>
  </r>
  <r>
    <n v="44285"/>
    <x v="115"/>
    <x v="28"/>
    <x v="0"/>
    <x v="2"/>
    <s v="Space Solutions Commercial Steel Shelving"/>
    <x v="261"/>
    <n v="2"/>
    <n v="6.47"/>
    <x v="2"/>
    <x v="0"/>
  </r>
  <r>
    <n v="44286"/>
    <x v="116"/>
    <x v="3"/>
    <x v="0"/>
    <x v="3"/>
    <s v="GBC DocuBind 200 Manual Binding Machine"/>
    <x v="262"/>
    <n v="2"/>
    <n v="252.59"/>
    <x v="2"/>
    <x v="0"/>
  </r>
  <r>
    <n v="44286"/>
    <x v="116"/>
    <x v="3"/>
    <x v="0"/>
    <x v="12"/>
    <s v="Fellowes Advanced Computer Series Surge Protectors"/>
    <x v="263"/>
    <n v="2"/>
    <n v="14.83"/>
    <x v="2"/>
    <x v="0"/>
  </r>
  <r>
    <n v="44286"/>
    <x v="117"/>
    <x v="2"/>
    <x v="0"/>
    <x v="3"/>
    <s v="Avery Round Ring Poly Binders"/>
    <x v="264"/>
    <n v="1"/>
    <n v="-0.6"/>
    <x v="2"/>
    <x v="0"/>
  </r>
  <r>
    <n v="44286"/>
    <x v="118"/>
    <x v="1"/>
    <x v="0"/>
    <x v="3"/>
    <s v="Fellowes Black Plastic Comb Bindings"/>
    <x v="265"/>
    <n v="7"/>
    <n v="-13.83"/>
    <x v="2"/>
    <x v="0"/>
  </r>
  <r>
    <n v="44286"/>
    <x v="118"/>
    <x v="1"/>
    <x v="2"/>
    <x v="9"/>
    <s v="Kensington SlimBlade Notebook Wireless Mouse with Nano Receiver"/>
    <x v="266"/>
    <n v="2"/>
    <n v="14"/>
    <x v="2"/>
    <x v="0"/>
  </r>
  <r>
    <n v="44286"/>
    <x v="119"/>
    <x v="16"/>
    <x v="0"/>
    <x v="3"/>
    <s v="Avery Hole Reinforcements"/>
    <x v="267"/>
    <n v="1"/>
    <n v="-1.31"/>
    <x v="2"/>
    <x v="0"/>
  </r>
  <r>
    <n v="44286"/>
    <x v="120"/>
    <x v="16"/>
    <x v="1"/>
    <x v="5"/>
    <s v="Global Leather Highback Executive Chair with Pneumatic Height Adjustment, Black"/>
    <x v="268"/>
    <n v="7"/>
    <n v="98.48"/>
    <x v="2"/>
    <x v="0"/>
  </r>
  <r>
    <n v="44286"/>
    <x v="120"/>
    <x v="16"/>
    <x v="0"/>
    <x v="3"/>
    <s v="Ibico Plastic and Wire Spiral Binding Combs"/>
    <x v="269"/>
    <n v="5"/>
    <n v="-10.119999999999999"/>
    <x v="2"/>
    <x v="0"/>
  </r>
  <r>
    <n v="44286"/>
    <x v="120"/>
    <x v="16"/>
    <x v="0"/>
    <x v="4"/>
    <s v="Binney &amp; Smith inkTank Erasable Desk Highlighter, Chisel Tip, Yellow, 12/Box"/>
    <x v="270"/>
    <n v="2"/>
    <n v="1.06"/>
    <x v="2"/>
    <x v="0"/>
  </r>
  <r>
    <n v="44287"/>
    <x v="111"/>
    <x v="3"/>
    <x v="0"/>
    <x v="1"/>
    <s v="Avery 490"/>
    <x v="271"/>
    <n v="2"/>
    <n v="14.8"/>
    <x v="3"/>
    <x v="0"/>
  </r>
  <r>
    <n v="44287"/>
    <x v="111"/>
    <x v="3"/>
    <x v="0"/>
    <x v="3"/>
    <s v="Pressboard Data Binder, Crimson, 12&quot; X 8 1/2&quot;"/>
    <x v="272"/>
    <n v="4"/>
    <n v="5.55"/>
    <x v="3"/>
    <x v="0"/>
  </r>
  <r>
    <n v="44287"/>
    <x v="121"/>
    <x v="32"/>
    <x v="0"/>
    <x v="2"/>
    <s v="Rogers Profile Extra Capacity Storage Tub"/>
    <x v="273"/>
    <n v="4"/>
    <n v="2.68"/>
    <x v="3"/>
    <x v="0"/>
  </r>
  <r>
    <n v="44287"/>
    <x v="121"/>
    <x v="32"/>
    <x v="0"/>
    <x v="3"/>
    <s v="Zipper Ring Binder Pockets"/>
    <x v="274"/>
    <n v="2"/>
    <n v="3.06"/>
    <x v="3"/>
    <x v="0"/>
  </r>
  <r>
    <n v="44288"/>
    <x v="122"/>
    <x v="4"/>
    <x v="0"/>
    <x v="0"/>
    <s v="Xerox 1990"/>
    <x v="254"/>
    <n v="3"/>
    <n v="7.13"/>
    <x v="3"/>
    <x v="0"/>
  </r>
  <r>
    <n v="44288"/>
    <x v="122"/>
    <x v="4"/>
    <x v="2"/>
    <x v="6"/>
    <s v="Motorola Droid Maxx"/>
    <x v="275"/>
    <n v="7"/>
    <n v="293.98"/>
    <x v="3"/>
    <x v="0"/>
  </r>
  <r>
    <n v="44288"/>
    <x v="122"/>
    <x v="4"/>
    <x v="0"/>
    <x v="12"/>
    <s v="Euro-Pro Shark Turbo Vacuum"/>
    <x v="276"/>
    <n v="5"/>
    <n v="40.270000000000003"/>
    <x v="3"/>
    <x v="0"/>
  </r>
  <r>
    <n v="44288"/>
    <x v="66"/>
    <x v="0"/>
    <x v="0"/>
    <x v="0"/>
    <s v="Xerox 1898"/>
    <x v="277"/>
    <n v="5"/>
    <n v="9.35"/>
    <x v="3"/>
    <x v="0"/>
  </r>
  <r>
    <n v="44288"/>
    <x v="66"/>
    <x v="0"/>
    <x v="0"/>
    <x v="0"/>
    <s v="Xerox 1947"/>
    <x v="278"/>
    <n v="7"/>
    <n v="10.47"/>
    <x v="3"/>
    <x v="0"/>
  </r>
  <r>
    <n v="44288"/>
    <x v="123"/>
    <x v="6"/>
    <x v="1"/>
    <x v="8"/>
    <s v="Luxo Adjustable Task Clamp Lamp"/>
    <x v="279"/>
    <n v="2"/>
    <n v="46.2"/>
    <x v="3"/>
    <x v="0"/>
  </r>
  <r>
    <n v="44289"/>
    <x v="124"/>
    <x v="3"/>
    <x v="0"/>
    <x v="10"/>
    <s v="Staple envelope"/>
    <x v="280"/>
    <n v="2"/>
    <n v="5.58"/>
    <x v="3"/>
    <x v="0"/>
  </r>
  <r>
    <n v="44289"/>
    <x v="124"/>
    <x v="3"/>
    <x v="2"/>
    <x v="9"/>
    <s v="Enermax Briskie RF Wireless Keyboard and Mouse Combo"/>
    <x v="113"/>
    <n v="3"/>
    <n v="22.43"/>
    <x v="3"/>
    <x v="0"/>
  </r>
  <r>
    <n v="44289"/>
    <x v="124"/>
    <x v="3"/>
    <x v="2"/>
    <x v="9"/>
    <s v="Logitech G600 MMO Gaming Mouse"/>
    <x v="281"/>
    <n v="2"/>
    <n v="57.59"/>
    <x v="3"/>
    <x v="0"/>
  </r>
  <r>
    <n v="44290"/>
    <x v="125"/>
    <x v="3"/>
    <x v="0"/>
    <x v="1"/>
    <s v="Avery 518"/>
    <x v="282"/>
    <n v="6"/>
    <n v="9.07"/>
    <x v="3"/>
    <x v="0"/>
  </r>
  <r>
    <n v="44290"/>
    <x v="102"/>
    <x v="14"/>
    <x v="1"/>
    <x v="8"/>
    <s v="Advantus Panel Wall Acrylic Frame"/>
    <x v="283"/>
    <n v="1"/>
    <n v="2.35"/>
    <x v="3"/>
    <x v="0"/>
  </r>
  <r>
    <n v="44290"/>
    <x v="102"/>
    <x v="14"/>
    <x v="0"/>
    <x v="4"/>
    <s v="Newell 319"/>
    <x v="284"/>
    <n v="4"/>
    <n v="23.81"/>
    <x v="3"/>
    <x v="0"/>
  </r>
  <r>
    <n v="44290"/>
    <x v="126"/>
    <x v="3"/>
    <x v="0"/>
    <x v="3"/>
    <s v="Avery Non-Stick Binders"/>
    <x v="285"/>
    <n v="2"/>
    <n v="2.25"/>
    <x v="3"/>
    <x v="0"/>
  </r>
  <r>
    <n v="44290"/>
    <x v="127"/>
    <x v="8"/>
    <x v="0"/>
    <x v="2"/>
    <s v="Safco Commercial Shelving"/>
    <x v="286"/>
    <n v="5"/>
    <n v="9.3000000000000007"/>
    <x v="3"/>
    <x v="0"/>
  </r>
  <r>
    <n v="44290"/>
    <x v="127"/>
    <x v="8"/>
    <x v="2"/>
    <x v="9"/>
    <s v="Logitech Wireless Marathon Mouse M705"/>
    <x v="287"/>
    <n v="2"/>
    <n v="42.99"/>
    <x v="3"/>
    <x v="0"/>
  </r>
  <r>
    <n v="44290"/>
    <x v="127"/>
    <x v="8"/>
    <x v="0"/>
    <x v="0"/>
    <s v="Xerox 209"/>
    <x v="5"/>
    <n v="3"/>
    <n v="9.33"/>
    <x v="3"/>
    <x v="0"/>
  </r>
  <r>
    <n v="44290"/>
    <x v="127"/>
    <x v="8"/>
    <x v="0"/>
    <x v="0"/>
    <s v="Xerox 1966"/>
    <x v="115"/>
    <n v="2"/>
    <n v="6.35"/>
    <x v="3"/>
    <x v="0"/>
  </r>
  <r>
    <n v="44291"/>
    <x v="128"/>
    <x v="20"/>
    <x v="0"/>
    <x v="0"/>
    <s v="Eaton Premium Continuous-Feed Paper, 25% Cotton, Letter Size, White, 1000 Shts/Box"/>
    <x v="288"/>
    <n v="1"/>
    <n v="26.63"/>
    <x v="3"/>
    <x v="0"/>
  </r>
  <r>
    <n v="44291"/>
    <x v="129"/>
    <x v="6"/>
    <x v="0"/>
    <x v="4"/>
    <s v="Crayola Colored Pencils"/>
    <x v="44"/>
    <n v="7"/>
    <n v="7.58"/>
    <x v="3"/>
    <x v="0"/>
  </r>
  <r>
    <n v="44291"/>
    <x v="129"/>
    <x v="6"/>
    <x v="2"/>
    <x v="6"/>
    <s v="AT&amp;T CL82213"/>
    <x v="289"/>
    <n v="1"/>
    <n v="8.41"/>
    <x v="3"/>
    <x v="0"/>
  </r>
  <r>
    <n v="44291"/>
    <x v="129"/>
    <x v="6"/>
    <x v="0"/>
    <x v="0"/>
    <s v="Xerox 1957"/>
    <x v="115"/>
    <n v="2"/>
    <n v="6.35"/>
    <x v="3"/>
    <x v="0"/>
  </r>
  <r>
    <n v="44291"/>
    <x v="129"/>
    <x v="6"/>
    <x v="0"/>
    <x v="4"/>
    <s v="Newell 321"/>
    <x v="44"/>
    <n v="7"/>
    <n v="6.66"/>
    <x v="3"/>
    <x v="0"/>
  </r>
  <r>
    <n v="44291"/>
    <x v="129"/>
    <x v="6"/>
    <x v="0"/>
    <x v="14"/>
    <s v="Martin Yale Chadless Opener Electric Letter Opener"/>
    <x v="290"/>
    <n v="5"/>
    <n v="83.28"/>
    <x v="3"/>
    <x v="0"/>
  </r>
  <r>
    <n v="44291"/>
    <x v="130"/>
    <x v="1"/>
    <x v="0"/>
    <x v="2"/>
    <s v="Tenex File Box, Personal Filing Tote with Lid, Black"/>
    <x v="147"/>
    <n v="4"/>
    <n v="3.72"/>
    <x v="3"/>
    <x v="0"/>
  </r>
  <r>
    <n v="44291"/>
    <x v="130"/>
    <x v="1"/>
    <x v="0"/>
    <x v="2"/>
    <s v="Adjustable Personal File Tote"/>
    <x v="291"/>
    <n v="4"/>
    <n v="3.91"/>
    <x v="3"/>
    <x v="0"/>
  </r>
  <r>
    <n v="44291"/>
    <x v="131"/>
    <x v="14"/>
    <x v="0"/>
    <x v="4"/>
    <s v="Stanley Contemporary Battery Pencil Sharpeners"/>
    <x v="292"/>
    <n v="2"/>
    <n v="7.48"/>
    <x v="3"/>
    <x v="0"/>
  </r>
  <r>
    <n v="44291"/>
    <x v="131"/>
    <x v="14"/>
    <x v="0"/>
    <x v="3"/>
    <s v="Fellowes Twister Kit, Gray/Clear, 3/pkg"/>
    <x v="293"/>
    <n v="5"/>
    <n v="18.09"/>
    <x v="3"/>
    <x v="0"/>
  </r>
  <r>
    <n v="44291"/>
    <x v="131"/>
    <x v="14"/>
    <x v="0"/>
    <x v="4"/>
    <s v="Binney &amp; Smith Crayola Metallic Colored Pencils, 8-Color Set"/>
    <x v="294"/>
    <n v="3"/>
    <n v="4.58"/>
    <x v="3"/>
    <x v="0"/>
  </r>
  <r>
    <n v="44291"/>
    <x v="131"/>
    <x v="14"/>
    <x v="0"/>
    <x v="2"/>
    <s v="Space Solutions HD Industrial Steel Shelving."/>
    <x v="295"/>
    <n v="6"/>
    <n v="20.69"/>
    <x v="3"/>
    <x v="0"/>
  </r>
  <r>
    <n v="44291"/>
    <x v="132"/>
    <x v="5"/>
    <x v="0"/>
    <x v="3"/>
    <s v="Ibico Standard Transparent Covers"/>
    <x v="91"/>
    <n v="7"/>
    <n v="56.53"/>
    <x v="3"/>
    <x v="0"/>
  </r>
  <r>
    <n v="44292"/>
    <x v="133"/>
    <x v="2"/>
    <x v="0"/>
    <x v="3"/>
    <s v="Large Capacity Hanging Post Binders"/>
    <x v="296"/>
    <n v="6"/>
    <n v="-35.93"/>
    <x v="3"/>
    <x v="0"/>
  </r>
  <r>
    <n v="44292"/>
    <x v="26"/>
    <x v="2"/>
    <x v="0"/>
    <x v="14"/>
    <s v="Martin-Yale Premier Letter Opener"/>
    <x v="297"/>
    <n v="1"/>
    <n v="-2.19"/>
    <x v="3"/>
    <x v="0"/>
  </r>
  <r>
    <n v="44292"/>
    <x v="26"/>
    <x v="2"/>
    <x v="1"/>
    <x v="13"/>
    <s v="KI Adjustable-Height Table"/>
    <x v="298"/>
    <n v="3"/>
    <n v="-36.11"/>
    <x v="3"/>
    <x v="0"/>
  </r>
  <r>
    <n v="44292"/>
    <x v="26"/>
    <x v="2"/>
    <x v="2"/>
    <x v="9"/>
    <s v="ImationÂ Secure+ Hardware Encrypted USB 2.0Â Flash Drive; 16GB"/>
    <x v="299"/>
    <n v="2"/>
    <n v="21.9"/>
    <x v="3"/>
    <x v="0"/>
  </r>
  <r>
    <n v="44292"/>
    <x v="134"/>
    <x v="22"/>
    <x v="1"/>
    <x v="13"/>
    <s v="Chromcraft Bull-Nose Wood Round Conference Table Top, Wood Base"/>
    <x v="300"/>
    <n v="3"/>
    <n v="111.1"/>
    <x v="3"/>
    <x v="0"/>
  </r>
  <r>
    <n v="44292"/>
    <x v="134"/>
    <x v="22"/>
    <x v="2"/>
    <x v="9"/>
    <s v="Kingston Digital DataTraveler 32GB USB 2.0"/>
    <x v="301"/>
    <n v="2"/>
    <n v="2.0299999999999998"/>
    <x v="3"/>
    <x v="0"/>
  </r>
  <r>
    <n v="44292"/>
    <x v="135"/>
    <x v="3"/>
    <x v="1"/>
    <x v="8"/>
    <s v="Tenex B1-RE Series Chair Mats for Low Pile Carpets"/>
    <x v="302"/>
    <n v="2"/>
    <n v="15.63"/>
    <x v="3"/>
    <x v="0"/>
  </r>
  <r>
    <n v="44292"/>
    <x v="135"/>
    <x v="3"/>
    <x v="1"/>
    <x v="8"/>
    <s v="C-Line Cubicle Keepers Polyproplyene Holder With Velcro Backings"/>
    <x v="303"/>
    <n v="7"/>
    <n v="12.91"/>
    <x v="3"/>
    <x v="0"/>
  </r>
  <r>
    <n v="44292"/>
    <x v="135"/>
    <x v="3"/>
    <x v="0"/>
    <x v="0"/>
    <s v="Xerox 211"/>
    <x v="5"/>
    <n v="3"/>
    <n v="9.33"/>
    <x v="3"/>
    <x v="0"/>
  </r>
  <r>
    <n v="44292"/>
    <x v="135"/>
    <x v="3"/>
    <x v="0"/>
    <x v="0"/>
    <s v="Xerox 194"/>
    <x v="288"/>
    <n v="1"/>
    <n v="26.63"/>
    <x v="3"/>
    <x v="0"/>
  </r>
  <r>
    <n v="44292"/>
    <x v="136"/>
    <x v="3"/>
    <x v="0"/>
    <x v="4"/>
    <s v="Boston Home &amp; Office Model 2000 Electric Pencil Sharpeners"/>
    <x v="304"/>
    <n v="3"/>
    <n v="18.45"/>
    <x v="3"/>
    <x v="0"/>
  </r>
  <r>
    <n v="44292"/>
    <x v="136"/>
    <x v="3"/>
    <x v="0"/>
    <x v="3"/>
    <s v="Avery Trapezoid Ring Binder, 3&quot; Capacity, Black, 1040 sheets"/>
    <x v="305"/>
    <n v="2"/>
    <n v="23.77"/>
    <x v="3"/>
    <x v="0"/>
  </r>
  <r>
    <n v="44292"/>
    <x v="136"/>
    <x v="3"/>
    <x v="2"/>
    <x v="9"/>
    <s v="Razer Kraken 7.1 Surround Sound Over Ear USB Gaming Headset"/>
    <x v="306"/>
    <n v="3"/>
    <n v="131.99"/>
    <x v="3"/>
    <x v="0"/>
  </r>
  <r>
    <n v="44293"/>
    <x v="137"/>
    <x v="33"/>
    <x v="1"/>
    <x v="8"/>
    <s v="Stacking Tray, Side-Loading, Legal, Smoke"/>
    <x v="307"/>
    <n v="2"/>
    <n v="2.78"/>
    <x v="3"/>
    <x v="0"/>
  </r>
  <r>
    <n v="44293"/>
    <x v="138"/>
    <x v="9"/>
    <x v="2"/>
    <x v="6"/>
    <s v="AT&amp;T TR1909W"/>
    <x v="308"/>
    <n v="5"/>
    <n v="163.79"/>
    <x v="3"/>
    <x v="0"/>
  </r>
  <r>
    <n v="44293"/>
    <x v="138"/>
    <x v="9"/>
    <x v="0"/>
    <x v="0"/>
    <s v="Xerox 1945"/>
    <x v="222"/>
    <n v="3"/>
    <n v="60.26"/>
    <x v="3"/>
    <x v="0"/>
  </r>
  <r>
    <n v="44293"/>
    <x v="139"/>
    <x v="4"/>
    <x v="0"/>
    <x v="0"/>
    <s v="Xerox 226"/>
    <x v="309"/>
    <n v="9"/>
    <n v="27.99"/>
    <x v="3"/>
    <x v="0"/>
  </r>
  <r>
    <n v="44293"/>
    <x v="139"/>
    <x v="4"/>
    <x v="2"/>
    <x v="6"/>
    <s v="RCA Visys Integrated PBX 8-Line Router"/>
    <x v="310"/>
    <n v="3"/>
    <n v="50.24"/>
    <x v="3"/>
    <x v="0"/>
  </r>
  <r>
    <n v="44294"/>
    <x v="140"/>
    <x v="12"/>
    <x v="0"/>
    <x v="7"/>
    <s v="Binder Clips by OIC"/>
    <x v="311"/>
    <n v="2"/>
    <n v="0.83"/>
    <x v="3"/>
    <x v="0"/>
  </r>
  <r>
    <n v="44294"/>
    <x v="140"/>
    <x v="12"/>
    <x v="0"/>
    <x v="0"/>
    <s v="Things To Do Today Spiral Book"/>
    <x v="312"/>
    <n v="3"/>
    <n v="6.89"/>
    <x v="3"/>
    <x v="0"/>
  </r>
  <r>
    <n v="44294"/>
    <x v="141"/>
    <x v="33"/>
    <x v="1"/>
    <x v="13"/>
    <s v="SAFCO PlanMaster Boards, 60w x 37-1/2d, White Melamine"/>
    <x v="313"/>
    <n v="8"/>
    <n v="316.14"/>
    <x v="3"/>
    <x v="0"/>
  </r>
  <r>
    <n v="44294"/>
    <x v="142"/>
    <x v="12"/>
    <x v="0"/>
    <x v="7"/>
    <s v="Alliance Super-Size Bands, Assorted Sizes"/>
    <x v="314"/>
    <n v="8"/>
    <n v="-11.83"/>
    <x v="3"/>
    <x v="0"/>
  </r>
  <r>
    <n v="44294"/>
    <x v="39"/>
    <x v="3"/>
    <x v="1"/>
    <x v="13"/>
    <s v="Bevis 36 x 72 Conference Tables"/>
    <x v="315"/>
    <n v="1"/>
    <n v="2.4900000000000002"/>
    <x v="3"/>
    <x v="0"/>
  </r>
  <r>
    <n v="44294"/>
    <x v="39"/>
    <x v="3"/>
    <x v="2"/>
    <x v="9"/>
    <s v="Logitech Wireless Headset h800"/>
    <x v="316"/>
    <n v="4"/>
    <n v="139.99"/>
    <x v="3"/>
    <x v="0"/>
  </r>
  <r>
    <n v="44294"/>
    <x v="143"/>
    <x v="10"/>
    <x v="1"/>
    <x v="13"/>
    <s v="Riverside Furniture Stanwyck Manor Table Series"/>
    <x v="317"/>
    <n v="1"/>
    <n v="-94.66"/>
    <x v="3"/>
    <x v="0"/>
  </r>
  <r>
    <n v="44297"/>
    <x v="144"/>
    <x v="16"/>
    <x v="0"/>
    <x v="7"/>
    <s v="Acco Banker's Clasps, 5 3/4&quot;-Long"/>
    <x v="318"/>
    <n v="3"/>
    <n v="2.33"/>
    <x v="3"/>
    <x v="0"/>
  </r>
  <r>
    <n v="44297"/>
    <x v="144"/>
    <x v="16"/>
    <x v="2"/>
    <x v="9"/>
    <s v="Logitech Wireless Gaming Headset G930"/>
    <x v="319"/>
    <n v="3"/>
    <n v="81.59"/>
    <x v="3"/>
    <x v="0"/>
  </r>
  <r>
    <n v="44297"/>
    <x v="144"/>
    <x v="16"/>
    <x v="0"/>
    <x v="0"/>
    <s v="Xerox 224"/>
    <x v="320"/>
    <n v="2"/>
    <n v="3.63"/>
    <x v="3"/>
    <x v="0"/>
  </r>
  <r>
    <n v="44297"/>
    <x v="144"/>
    <x v="16"/>
    <x v="2"/>
    <x v="9"/>
    <s v="Logitech Wireless Anywhere Mouse MX for PC and Mac"/>
    <x v="321"/>
    <n v="7"/>
    <n v="41.99"/>
    <x v="3"/>
    <x v="0"/>
  </r>
  <r>
    <n v="44297"/>
    <x v="145"/>
    <x v="34"/>
    <x v="0"/>
    <x v="3"/>
    <s v="GBC Personal VeloBind Strips"/>
    <x v="322"/>
    <n v="1"/>
    <n v="3.35"/>
    <x v="3"/>
    <x v="0"/>
  </r>
  <r>
    <n v="44297"/>
    <x v="146"/>
    <x v="0"/>
    <x v="2"/>
    <x v="6"/>
    <s v="Jawbone JAMBOX Wireless Bluetooth Speaker"/>
    <x v="323"/>
    <n v="6"/>
    <n v="265.42"/>
    <x v="3"/>
    <x v="0"/>
  </r>
  <r>
    <n v="44297"/>
    <x v="147"/>
    <x v="35"/>
    <x v="0"/>
    <x v="2"/>
    <s v="Eldon Simplefile Box Office"/>
    <x v="324"/>
    <n v="7"/>
    <n v="24.38"/>
    <x v="3"/>
    <x v="0"/>
  </r>
  <r>
    <n v="44297"/>
    <x v="147"/>
    <x v="35"/>
    <x v="2"/>
    <x v="6"/>
    <s v="AT&amp;T SB67148 SynJ"/>
    <x v="325"/>
    <n v="2"/>
    <n v="9.24"/>
    <x v="3"/>
    <x v="0"/>
  </r>
  <r>
    <n v="44297"/>
    <x v="147"/>
    <x v="35"/>
    <x v="2"/>
    <x v="9"/>
    <s v="Memorex Mini Travel Drive 64 GB USB 2.0 Flash Drive"/>
    <x v="326"/>
    <n v="6"/>
    <n v="91.32"/>
    <x v="3"/>
    <x v="0"/>
  </r>
  <r>
    <n v="44298"/>
    <x v="148"/>
    <x v="3"/>
    <x v="2"/>
    <x v="6"/>
    <s v="Pyle PMP37LED"/>
    <x v="327"/>
    <n v="14"/>
    <n v="94.07"/>
    <x v="3"/>
    <x v="0"/>
  </r>
  <r>
    <n v="44298"/>
    <x v="148"/>
    <x v="3"/>
    <x v="2"/>
    <x v="6"/>
    <s v="AT&amp;T 1080 Corded phone"/>
    <x v="328"/>
    <n v="4"/>
    <n v="38.36"/>
    <x v="3"/>
    <x v="0"/>
  </r>
  <r>
    <n v="44298"/>
    <x v="148"/>
    <x v="3"/>
    <x v="0"/>
    <x v="3"/>
    <s v="Recycled Pressboard Report Cover with Reinforced Top Hinge"/>
    <x v="329"/>
    <n v="7"/>
    <n v="6.56"/>
    <x v="3"/>
    <x v="0"/>
  </r>
  <r>
    <n v="44298"/>
    <x v="148"/>
    <x v="3"/>
    <x v="1"/>
    <x v="11"/>
    <s v="O'Sullivan Living Dimensions 2-Shelf Bookcases"/>
    <x v="330"/>
    <n v="3"/>
    <n v="-18.149999999999999"/>
    <x v="3"/>
    <x v="0"/>
  </r>
  <r>
    <n v="44298"/>
    <x v="149"/>
    <x v="18"/>
    <x v="0"/>
    <x v="0"/>
    <s v="Xerox 213"/>
    <x v="331"/>
    <n v="5"/>
    <n v="15.55"/>
    <x v="3"/>
    <x v="0"/>
  </r>
  <r>
    <n v="44298"/>
    <x v="150"/>
    <x v="3"/>
    <x v="0"/>
    <x v="4"/>
    <s v="Prismacolor Color Pencil Set"/>
    <x v="332"/>
    <n v="2"/>
    <n v="16.27"/>
    <x v="3"/>
    <x v="0"/>
  </r>
  <r>
    <n v="44299"/>
    <x v="104"/>
    <x v="2"/>
    <x v="0"/>
    <x v="4"/>
    <s v="Newell 314"/>
    <x v="333"/>
    <n v="4"/>
    <n v="1.1200000000000001"/>
    <x v="3"/>
    <x v="0"/>
  </r>
  <r>
    <n v="44299"/>
    <x v="104"/>
    <x v="2"/>
    <x v="0"/>
    <x v="3"/>
    <s v="Fellowes PB200 Plastic Comb Binding Machine"/>
    <x v="334"/>
    <n v="10"/>
    <n v="-407.98"/>
    <x v="3"/>
    <x v="0"/>
  </r>
  <r>
    <n v="44299"/>
    <x v="104"/>
    <x v="2"/>
    <x v="0"/>
    <x v="7"/>
    <s v="Staples"/>
    <x v="335"/>
    <n v="13"/>
    <n v="10.07"/>
    <x v="3"/>
    <x v="0"/>
  </r>
  <r>
    <n v="44299"/>
    <x v="104"/>
    <x v="2"/>
    <x v="2"/>
    <x v="6"/>
    <s v="Square Credit Card Reader, 4 1/2&quot; x 4 1/2&quot; x 1&quot;, White"/>
    <x v="336"/>
    <n v="12"/>
    <n v="8.39"/>
    <x v="3"/>
    <x v="0"/>
  </r>
  <r>
    <n v="44299"/>
    <x v="151"/>
    <x v="36"/>
    <x v="0"/>
    <x v="1"/>
    <s v="Avery 479"/>
    <x v="337"/>
    <n v="3"/>
    <n v="3.6"/>
    <x v="3"/>
    <x v="0"/>
  </r>
  <r>
    <n v="44301"/>
    <x v="152"/>
    <x v="3"/>
    <x v="0"/>
    <x v="12"/>
    <s v="Belkin F9G930V10-GRY 9 Outlet Surge"/>
    <x v="338"/>
    <n v="2"/>
    <n v="31.02"/>
    <x v="3"/>
    <x v="0"/>
  </r>
  <r>
    <n v="44301"/>
    <x v="152"/>
    <x v="3"/>
    <x v="1"/>
    <x v="8"/>
    <s v="Howard Miller 13&quot; Diameter Goldtone Round Wall Clock"/>
    <x v="339"/>
    <n v="4"/>
    <n v="76.98"/>
    <x v="3"/>
    <x v="0"/>
  </r>
  <r>
    <n v="44302"/>
    <x v="153"/>
    <x v="25"/>
    <x v="0"/>
    <x v="4"/>
    <s v="Avery Hi-Liter EverBold Pen Style Fluorescent Highlighters, 4/Pack"/>
    <x v="340"/>
    <n v="6"/>
    <n v="9.77"/>
    <x v="3"/>
    <x v="0"/>
  </r>
  <r>
    <n v="44304"/>
    <x v="154"/>
    <x v="3"/>
    <x v="2"/>
    <x v="15"/>
    <s v="Ativa MDM8000 8-Sheet Micro-Cut Shredder"/>
    <x v="341"/>
    <n v="4"/>
    <n v="97.19"/>
    <x v="3"/>
    <x v="0"/>
  </r>
  <r>
    <n v="44304"/>
    <x v="154"/>
    <x v="3"/>
    <x v="0"/>
    <x v="4"/>
    <s v="Newell 351"/>
    <x v="342"/>
    <n v="4"/>
    <n v="3.8"/>
    <x v="3"/>
    <x v="0"/>
  </r>
  <r>
    <n v="44304"/>
    <x v="154"/>
    <x v="3"/>
    <x v="0"/>
    <x v="4"/>
    <s v="Binney &amp; Smith inkTank Desk Highlighter, Chisel Tip, Yellow, 12/Box"/>
    <x v="343"/>
    <n v="5"/>
    <n v="3.55"/>
    <x v="3"/>
    <x v="0"/>
  </r>
  <r>
    <n v="44304"/>
    <x v="154"/>
    <x v="3"/>
    <x v="0"/>
    <x v="7"/>
    <s v="Advantus Push Pins, Aluminum Head"/>
    <x v="344"/>
    <n v="2"/>
    <n v="3.6"/>
    <x v="3"/>
    <x v="0"/>
  </r>
  <r>
    <n v="44304"/>
    <x v="111"/>
    <x v="0"/>
    <x v="0"/>
    <x v="4"/>
    <s v="Prang Dustless Chalk Sticks"/>
    <x v="345"/>
    <n v="2"/>
    <n v="1.01"/>
    <x v="3"/>
    <x v="0"/>
  </r>
  <r>
    <n v="44304"/>
    <x v="111"/>
    <x v="0"/>
    <x v="1"/>
    <x v="5"/>
    <s v="DMI Arturo Collection Mission-style Design Wood Chair"/>
    <x v="346"/>
    <n v="3"/>
    <n v="-18.12"/>
    <x v="3"/>
    <x v="0"/>
  </r>
  <r>
    <n v="44304"/>
    <x v="111"/>
    <x v="0"/>
    <x v="0"/>
    <x v="10"/>
    <s v="Cameo Buff Policy Envelopes"/>
    <x v="347"/>
    <n v="3"/>
    <n v="50.41"/>
    <x v="3"/>
    <x v="0"/>
  </r>
  <r>
    <n v="44304"/>
    <x v="111"/>
    <x v="0"/>
    <x v="2"/>
    <x v="9"/>
    <s v="Kensington Expert Mouse Optical USB Trackball for PC or Mac"/>
    <x v="348"/>
    <n v="3"/>
    <n v="28.5"/>
    <x v="3"/>
    <x v="0"/>
  </r>
  <r>
    <n v="44305"/>
    <x v="155"/>
    <x v="3"/>
    <x v="1"/>
    <x v="8"/>
    <s v="Executive Impressions 13&quot; Chairman Wall Clock"/>
    <x v="349"/>
    <n v="3"/>
    <n v="26.65"/>
    <x v="3"/>
    <x v="0"/>
  </r>
  <r>
    <n v="44305"/>
    <x v="156"/>
    <x v="6"/>
    <x v="0"/>
    <x v="3"/>
    <s v="GBC Durable Plastic Covers"/>
    <x v="350"/>
    <n v="3"/>
    <n v="26.7"/>
    <x v="3"/>
    <x v="0"/>
  </r>
  <r>
    <n v="44305"/>
    <x v="156"/>
    <x v="6"/>
    <x v="0"/>
    <x v="0"/>
    <s v="Xerox 232"/>
    <x v="351"/>
    <n v="11"/>
    <n v="34.21"/>
    <x v="3"/>
    <x v="0"/>
  </r>
  <r>
    <n v="44306"/>
    <x v="9"/>
    <x v="0"/>
    <x v="1"/>
    <x v="13"/>
    <s v="Bush Advantage Collection Round Conference Table"/>
    <x v="352"/>
    <n v="5"/>
    <n v="-95.67"/>
    <x v="3"/>
    <x v="0"/>
  </r>
  <r>
    <n v="44306"/>
    <x v="9"/>
    <x v="0"/>
    <x v="0"/>
    <x v="2"/>
    <s v="Personal Folder Holder, Ebony"/>
    <x v="353"/>
    <n v="5"/>
    <n v="5.61"/>
    <x v="3"/>
    <x v="0"/>
  </r>
  <r>
    <n v="44306"/>
    <x v="9"/>
    <x v="0"/>
    <x v="1"/>
    <x v="13"/>
    <s v="Riverside Furniture Stanwyck Manor Table Series"/>
    <x v="354"/>
    <n v="2"/>
    <n v="-131.94999999999999"/>
    <x v="3"/>
    <x v="0"/>
  </r>
  <r>
    <n v="44306"/>
    <x v="157"/>
    <x v="3"/>
    <x v="1"/>
    <x v="8"/>
    <s v="GE 4 Foot Flourescent Tube, 40 Watt"/>
    <x v="355"/>
    <n v="4"/>
    <n v="27.56"/>
    <x v="3"/>
    <x v="0"/>
  </r>
  <r>
    <n v="44307"/>
    <x v="158"/>
    <x v="3"/>
    <x v="0"/>
    <x v="3"/>
    <s v="ACCOHIDE Binder by Acco"/>
    <x v="356"/>
    <n v="5"/>
    <n v="5.58"/>
    <x v="3"/>
    <x v="0"/>
  </r>
  <r>
    <n v="44307"/>
    <x v="159"/>
    <x v="5"/>
    <x v="0"/>
    <x v="2"/>
    <s v="SAFCO Commercial Wire Shelving, Black"/>
    <x v="357"/>
    <n v="6"/>
    <n v="0"/>
    <x v="3"/>
    <x v="0"/>
  </r>
  <r>
    <n v="44308"/>
    <x v="160"/>
    <x v="20"/>
    <x v="0"/>
    <x v="10"/>
    <s v="Staple envelope"/>
    <x v="358"/>
    <n v="8"/>
    <n v="121.44"/>
    <x v="3"/>
    <x v="0"/>
  </r>
  <r>
    <n v="44308"/>
    <x v="160"/>
    <x v="20"/>
    <x v="0"/>
    <x v="3"/>
    <s v="ACCOHIDE 3-Ring Binder, Blue, 1&quot;"/>
    <x v="235"/>
    <n v="3"/>
    <n v="3.35"/>
    <x v="3"/>
    <x v="0"/>
  </r>
  <r>
    <n v="44309"/>
    <x v="161"/>
    <x v="2"/>
    <x v="0"/>
    <x v="3"/>
    <s v="Wilson Jones Suede Grain Vinyl Binders"/>
    <x v="359"/>
    <n v="3"/>
    <n v="-1.75"/>
    <x v="3"/>
    <x v="0"/>
  </r>
  <r>
    <n v="44309"/>
    <x v="162"/>
    <x v="10"/>
    <x v="1"/>
    <x v="5"/>
    <s v="Global Leather Highback Executive Chair with Pneumatic Height Adjustment, Black"/>
    <x v="360"/>
    <n v="2"/>
    <n v="-12.06"/>
    <x v="3"/>
    <x v="0"/>
  </r>
  <r>
    <n v="44309"/>
    <x v="162"/>
    <x v="10"/>
    <x v="0"/>
    <x v="3"/>
    <s v="Zipper Ring Binder Pockets"/>
    <x v="361"/>
    <n v="8"/>
    <n v="-5.24"/>
    <x v="3"/>
    <x v="0"/>
  </r>
  <r>
    <n v="44309"/>
    <x v="162"/>
    <x v="10"/>
    <x v="1"/>
    <x v="8"/>
    <s v="G.E. Halogen Desk Lamp Bulbs"/>
    <x v="362"/>
    <n v="4"/>
    <n v="7.82"/>
    <x v="3"/>
    <x v="0"/>
  </r>
  <r>
    <n v="44309"/>
    <x v="39"/>
    <x v="3"/>
    <x v="0"/>
    <x v="0"/>
    <s v="Xerox 1891"/>
    <x v="363"/>
    <n v="1"/>
    <n v="22.99"/>
    <x v="3"/>
    <x v="0"/>
  </r>
  <r>
    <n v="44311"/>
    <x v="163"/>
    <x v="0"/>
    <x v="0"/>
    <x v="0"/>
    <s v="Xerox 1985"/>
    <x v="320"/>
    <n v="2"/>
    <n v="3.63"/>
    <x v="3"/>
    <x v="0"/>
  </r>
  <r>
    <n v="44311"/>
    <x v="163"/>
    <x v="0"/>
    <x v="0"/>
    <x v="4"/>
    <s v="12 Colored Short Pencils"/>
    <x v="274"/>
    <n v="3"/>
    <n v="0.55000000000000004"/>
    <x v="3"/>
    <x v="0"/>
  </r>
  <r>
    <n v="44311"/>
    <x v="164"/>
    <x v="25"/>
    <x v="2"/>
    <x v="6"/>
    <s v="AT&amp;T CL2909"/>
    <x v="250"/>
    <n v="3"/>
    <n v="37.799999999999997"/>
    <x v="3"/>
    <x v="0"/>
  </r>
  <r>
    <n v="44311"/>
    <x v="165"/>
    <x v="3"/>
    <x v="1"/>
    <x v="8"/>
    <s v="Tenex Traditional Chairmats for Medium Pile Carpet, Standard Lip, 36&quot; x 48&quot;"/>
    <x v="364"/>
    <n v="5"/>
    <n v="63.68"/>
    <x v="3"/>
    <x v="0"/>
  </r>
  <r>
    <n v="44311"/>
    <x v="165"/>
    <x v="3"/>
    <x v="0"/>
    <x v="12"/>
    <s v="Kensington 6 Outlet MasterPiece HOMEOFFICE Power Control Center"/>
    <x v="365"/>
    <n v="3"/>
    <n v="78.510000000000005"/>
    <x v="3"/>
    <x v="0"/>
  </r>
  <r>
    <n v="44311"/>
    <x v="165"/>
    <x v="3"/>
    <x v="1"/>
    <x v="5"/>
    <s v="GuestStacker Chair with Chrome Finish Legs"/>
    <x v="366"/>
    <n v="5"/>
    <n v="148.69999999999999"/>
    <x v="3"/>
    <x v="0"/>
  </r>
  <r>
    <n v="44312"/>
    <x v="166"/>
    <x v="3"/>
    <x v="1"/>
    <x v="5"/>
    <s v="Bevis Steel Folding Chairs"/>
    <x v="367"/>
    <n v="3"/>
    <n v="23.03"/>
    <x v="3"/>
    <x v="0"/>
  </r>
  <r>
    <n v="44312"/>
    <x v="166"/>
    <x v="3"/>
    <x v="0"/>
    <x v="3"/>
    <s v="Acco Pressboard Covers with Storage Hooks, 14 7/8&quot; x 11&quot;, Executive Red"/>
    <x v="368"/>
    <n v="6"/>
    <n v="5.72"/>
    <x v="3"/>
    <x v="0"/>
  </r>
  <r>
    <n v="44312"/>
    <x v="167"/>
    <x v="3"/>
    <x v="0"/>
    <x v="4"/>
    <s v="Newell 347"/>
    <x v="369"/>
    <n v="5"/>
    <n v="6.21"/>
    <x v="3"/>
    <x v="0"/>
  </r>
  <r>
    <n v="44312"/>
    <x v="167"/>
    <x v="3"/>
    <x v="0"/>
    <x v="1"/>
    <s v="Avery 495"/>
    <x v="370"/>
    <n v="2"/>
    <n v="5.8"/>
    <x v="3"/>
    <x v="0"/>
  </r>
  <r>
    <n v="44314"/>
    <x v="168"/>
    <x v="36"/>
    <x v="0"/>
    <x v="3"/>
    <s v="Acco Data Flex Cable Posts For Top &amp; Bottom Load Binders, 6&quot; Capacity"/>
    <x v="371"/>
    <n v="2"/>
    <n v="9.39"/>
    <x v="3"/>
    <x v="0"/>
  </r>
  <r>
    <n v="44314"/>
    <x v="168"/>
    <x v="36"/>
    <x v="0"/>
    <x v="2"/>
    <s v="Recycled Steel Personal File for Standard File Folders"/>
    <x v="372"/>
    <n v="9"/>
    <n v="129.38"/>
    <x v="3"/>
    <x v="0"/>
  </r>
  <r>
    <n v="44314"/>
    <x v="168"/>
    <x v="36"/>
    <x v="0"/>
    <x v="4"/>
    <s v="Blackstonian Pencils"/>
    <x v="373"/>
    <n v="2"/>
    <n v="1.5"/>
    <x v="3"/>
    <x v="0"/>
  </r>
  <r>
    <n v="44314"/>
    <x v="168"/>
    <x v="36"/>
    <x v="0"/>
    <x v="1"/>
    <s v="Avery 488"/>
    <x v="374"/>
    <n v="1"/>
    <n v="1.51"/>
    <x v="3"/>
    <x v="0"/>
  </r>
  <r>
    <n v="44314"/>
    <x v="169"/>
    <x v="10"/>
    <x v="0"/>
    <x v="1"/>
    <s v="Avery File Folder Labels"/>
    <x v="318"/>
    <n v="3"/>
    <n v="2.5099999999999998"/>
    <x v="3"/>
    <x v="0"/>
  </r>
  <r>
    <n v="44314"/>
    <x v="169"/>
    <x v="10"/>
    <x v="0"/>
    <x v="2"/>
    <s v="X-Rack File for Hanging Folders"/>
    <x v="375"/>
    <n v="3"/>
    <n v="2.0299999999999998"/>
    <x v="3"/>
    <x v="0"/>
  </r>
  <r>
    <n v="44314"/>
    <x v="169"/>
    <x v="10"/>
    <x v="0"/>
    <x v="2"/>
    <s v="Carina Mini System Audio Rack, Model AR050B"/>
    <x v="376"/>
    <n v="2"/>
    <n v="-37.729999999999997"/>
    <x v="3"/>
    <x v="0"/>
  </r>
  <r>
    <n v="44314"/>
    <x v="170"/>
    <x v="3"/>
    <x v="2"/>
    <x v="6"/>
    <s v="Samsung Galaxy Mega 6.3"/>
    <x v="377"/>
    <n v="5"/>
    <n v="126"/>
    <x v="3"/>
    <x v="0"/>
  </r>
  <r>
    <n v="44314"/>
    <x v="171"/>
    <x v="20"/>
    <x v="2"/>
    <x v="9"/>
    <s v="Logitech G600 MMO Gaming Mouse"/>
    <x v="281"/>
    <n v="2"/>
    <n v="57.59"/>
    <x v="3"/>
    <x v="0"/>
  </r>
  <r>
    <n v="44315"/>
    <x v="172"/>
    <x v="20"/>
    <x v="1"/>
    <x v="8"/>
    <s v="Dax Clear Box Frame"/>
    <x v="96"/>
    <n v="2"/>
    <n v="5.94"/>
    <x v="3"/>
    <x v="0"/>
  </r>
  <r>
    <n v="44315"/>
    <x v="173"/>
    <x v="8"/>
    <x v="1"/>
    <x v="5"/>
    <s v="Global Stack Chair without Arms, Black"/>
    <x v="378"/>
    <n v="2"/>
    <n v="12.99"/>
    <x v="3"/>
    <x v="0"/>
  </r>
  <r>
    <n v="44315"/>
    <x v="173"/>
    <x v="8"/>
    <x v="0"/>
    <x v="3"/>
    <s v="Avery Non-Stick Heavy Duty View Round Locking Ring Binders"/>
    <x v="150"/>
    <n v="3"/>
    <n v="8.61"/>
    <x v="3"/>
    <x v="0"/>
  </r>
  <r>
    <n v="44315"/>
    <x v="174"/>
    <x v="15"/>
    <x v="1"/>
    <x v="5"/>
    <s v="Global Leather Executive Chair"/>
    <x v="379"/>
    <n v="2"/>
    <n v="70.2"/>
    <x v="3"/>
    <x v="0"/>
  </r>
  <r>
    <n v="44315"/>
    <x v="174"/>
    <x v="15"/>
    <x v="0"/>
    <x v="2"/>
    <s v="2300 Heavy-Duty Transfer File Systems by Perma"/>
    <x v="380"/>
    <n v="5"/>
    <n v="-1.25"/>
    <x v="3"/>
    <x v="0"/>
  </r>
  <r>
    <n v="44315"/>
    <x v="175"/>
    <x v="7"/>
    <x v="2"/>
    <x v="6"/>
    <s v="Square Credit Card Reader"/>
    <x v="381"/>
    <n v="2"/>
    <n v="5.19"/>
    <x v="3"/>
    <x v="0"/>
  </r>
  <r>
    <n v="44316"/>
    <x v="51"/>
    <x v="29"/>
    <x v="2"/>
    <x v="9"/>
    <s v="Maxell 4.7GB DVD-RW 3/Pack"/>
    <x v="382"/>
    <n v="3"/>
    <n v="16.25"/>
    <x v="3"/>
    <x v="0"/>
  </r>
  <r>
    <n v="44316"/>
    <x v="176"/>
    <x v="5"/>
    <x v="0"/>
    <x v="4"/>
    <s v="Hunt Boston Vacuum Mount KS Pencil Sharpener"/>
    <x v="383"/>
    <n v="5"/>
    <n v="45.49"/>
    <x v="3"/>
    <x v="0"/>
  </r>
  <r>
    <n v="44316"/>
    <x v="176"/>
    <x v="5"/>
    <x v="0"/>
    <x v="2"/>
    <s v="Economy Rollaway Files"/>
    <x v="384"/>
    <n v="5"/>
    <n v="214.76"/>
    <x v="3"/>
    <x v="0"/>
  </r>
  <r>
    <n v="44318"/>
    <x v="177"/>
    <x v="10"/>
    <x v="0"/>
    <x v="12"/>
    <s v="Belkin 6 Outlet Metallic Surge Strip"/>
    <x v="385"/>
    <n v="3"/>
    <n v="1.96"/>
    <x v="4"/>
    <x v="0"/>
  </r>
  <r>
    <n v="44318"/>
    <x v="178"/>
    <x v="16"/>
    <x v="2"/>
    <x v="16"/>
    <s v="Brother DCP1000 Digital 3 in 1 Multifunction Machine"/>
    <x v="386"/>
    <n v="2"/>
    <n v="90"/>
    <x v="4"/>
    <x v="0"/>
  </r>
  <r>
    <n v="44319"/>
    <x v="179"/>
    <x v="21"/>
    <x v="0"/>
    <x v="1"/>
    <s v="Avery 481"/>
    <x v="387"/>
    <n v="7"/>
    <n v="10.35"/>
    <x v="4"/>
    <x v="0"/>
  </r>
  <r>
    <n v="44319"/>
    <x v="180"/>
    <x v="20"/>
    <x v="0"/>
    <x v="3"/>
    <s v="GBC Poly Designer Binding Covers"/>
    <x v="388"/>
    <n v="3"/>
    <n v="14.56"/>
    <x v="4"/>
    <x v="0"/>
  </r>
  <r>
    <n v="44319"/>
    <x v="180"/>
    <x v="20"/>
    <x v="0"/>
    <x v="3"/>
    <s v="Avery Durable Plastic 1&quot; Binders"/>
    <x v="389"/>
    <n v="3"/>
    <n v="3.95"/>
    <x v="4"/>
    <x v="0"/>
  </r>
  <r>
    <n v="44320"/>
    <x v="181"/>
    <x v="14"/>
    <x v="0"/>
    <x v="3"/>
    <s v="Fellowes Binding Cases"/>
    <x v="390"/>
    <n v="4"/>
    <n v="21.06"/>
    <x v="4"/>
    <x v="0"/>
  </r>
  <r>
    <n v="44320"/>
    <x v="182"/>
    <x v="37"/>
    <x v="1"/>
    <x v="8"/>
    <s v="DAX Wood Document Frame"/>
    <x v="391"/>
    <n v="2"/>
    <n v="9.89"/>
    <x v="4"/>
    <x v="0"/>
  </r>
  <r>
    <n v="44320"/>
    <x v="115"/>
    <x v="0"/>
    <x v="0"/>
    <x v="4"/>
    <s v="Boston Home &amp; Office Model 2000 Electric Pencil Sharpeners"/>
    <x v="392"/>
    <n v="2"/>
    <n v="2.84"/>
    <x v="4"/>
    <x v="0"/>
  </r>
  <r>
    <n v="44320"/>
    <x v="115"/>
    <x v="0"/>
    <x v="0"/>
    <x v="7"/>
    <s v="OIC Thumb-Tacks"/>
    <x v="283"/>
    <n v="6"/>
    <n v="1.85"/>
    <x v="4"/>
    <x v="0"/>
  </r>
  <r>
    <n v="44320"/>
    <x v="183"/>
    <x v="22"/>
    <x v="1"/>
    <x v="8"/>
    <s v="Eldon Regeneration Recycled Desk Accessories, Smoke"/>
    <x v="393"/>
    <n v="7"/>
    <n v="3.9"/>
    <x v="4"/>
    <x v="0"/>
  </r>
  <r>
    <n v="44320"/>
    <x v="183"/>
    <x v="22"/>
    <x v="0"/>
    <x v="12"/>
    <s v="Holmes Odor Grabber"/>
    <x v="394"/>
    <n v="4"/>
    <n v="19.03"/>
    <x v="4"/>
    <x v="0"/>
  </r>
  <r>
    <n v="44321"/>
    <x v="184"/>
    <x v="5"/>
    <x v="0"/>
    <x v="0"/>
    <s v="Adams &quot;While You Were Out&quot; Message Pads"/>
    <x v="395"/>
    <n v="3"/>
    <n v="4.24"/>
    <x v="4"/>
    <x v="0"/>
  </r>
  <r>
    <n v="44321"/>
    <x v="184"/>
    <x v="5"/>
    <x v="0"/>
    <x v="4"/>
    <s v="Newell 350"/>
    <x v="239"/>
    <n v="2"/>
    <n v="1.9"/>
    <x v="4"/>
    <x v="0"/>
  </r>
  <r>
    <n v="44321"/>
    <x v="184"/>
    <x v="5"/>
    <x v="0"/>
    <x v="0"/>
    <s v="Xerox 1933"/>
    <x v="396"/>
    <n v="2"/>
    <n v="11.54"/>
    <x v="4"/>
    <x v="0"/>
  </r>
  <r>
    <n v="44321"/>
    <x v="185"/>
    <x v="0"/>
    <x v="1"/>
    <x v="5"/>
    <s v="Global Value Mid-Back Manager's Chair, Gray"/>
    <x v="397"/>
    <n v="3"/>
    <n v="-9.1300000000000008"/>
    <x v="4"/>
    <x v="0"/>
  </r>
  <r>
    <n v="44321"/>
    <x v="121"/>
    <x v="1"/>
    <x v="0"/>
    <x v="2"/>
    <s v="Eldon Portable Mobile Manager"/>
    <x v="398"/>
    <n v="2"/>
    <n v="3.96"/>
    <x v="4"/>
    <x v="0"/>
  </r>
  <r>
    <n v="44321"/>
    <x v="186"/>
    <x v="6"/>
    <x v="0"/>
    <x v="3"/>
    <s v="Storex Dura Pro Binders"/>
    <x v="399"/>
    <n v="2"/>
    <n v="5.35"/>
    <x v="4"/>
    <x v="0"/>
  </r>
  <r>
    <n v="44321"/>
    <x v="186"/>
    <x v="6"/>
    <x v="0"/>
    <x v="0"/>
    <s v="Easy-staple paper"/>
    <x v="400"/>
    <n v="1"/>
    <n v="16.66"/>
    <x v="4"/>
    <x v="0"/>
  </r>
  <r>
    <n v="44322"/>
    <x v="187"/>
    <x v="3"/>
    <x v="0"/>
    <x v="3"/>
    <s v="Wilson Jones Legal Size Ring Binders"/>
    <x v="401"/>
    <n v="8"/>
    <n v="52.78"/>
    <x v="4"/>
    <x v="0"/>
  </r>
  <r>
    <n v="44322"/>
    <x v="188"/>
    <x v="3"/>
    <x v="0"/>
    <x v="1"/>
    <s v="Staple-on labels"/>
    <x v="402"/>
    <n v="2"/>
    <n v="2.72"/>
    <x v="4"/>
    <x v="0"/>
  </r>
  <r>
    <n v="44322"/>
    <x v="188"/>
    <x v="3"/>
    <x v="0"/>
    <x v="4"/>
    <s v="Model L Table or Wall-Mount Pencil Sharpener"/>
    <x v="403"/>
    <n v="6"/>
    <n v="30.22"/>
    <x v="4"/>
    <x v="0"/>
  </r>
  <r>
    <n v="44323"/>
    <x v="189"/>
    <x v="32"/>
    <x v="0"/>
    <x v="3"/>
    <s v="Acco PRESSTEX Data Binder with Storage Hooks, Dark Blue, 14 7/8&quot; X 11&quot;"/>
    <x v="404"/>
    <n v="3"/>
    <n v="7.91"/>
    <x v="4"/>
    <x v="0"/>
  </r>
  <r>
    <n v="44323"/>
    <x v="189"/>
    <x v="32"/>
    <x v="1"/>
    <x v="13"/>
    <s v="Balt Split Level Computer Training Table"/>
    <x v="405"/>
    <n v="2"/>
    <n v="-38.85"/>
    <x v="4"/>
    <x v="0"/>
  </r>
  <r>
    <n v="44323"/>
    <x v="189"/>
    <x v="32"/>
    <x v="0"/>
    <x v="4"/>
    <s v="Newell 335"/>
    <x v="406"/>
    <n v="3"/>
    <n v="2.5099999999999998"/>
    <x v="4"/>
    <x v="0"/>
  </r>
  <r>
    <n v="44323"/>
    <x v="189"/>
    <x v="32"/>
    <x v="1"/>
    <x v="5"/>
    <s v="Lifetime Advantage Folding Chairs, 4/Carton"/>
    <x v="407"/>
    <n v="4"/>
    <n v="244.25"/>
    <x v="4"/>
    <x v="0"/>
  </r>
  <r>
    <n v="44324"/>
    <x v="73"/>
    <x v="2"/>
    <x v="2"/>
    <x v="16"/>
    <s v="Hewlett Packard LaserJet 3310 Copier"/>
    <x v="408"/>
    <n v="5"/>
    <n v="240"/>
    <x v="4"/>
    <x v="0"/>
  </r>
  <r>
    <n v="44325"/>
    <x v="190"/>
    <x v="3"/>
    <x v="2"/>
    <x v="9"/>
    <s v="Kingston Digital DataTraveler 32GB USB 2.0"/>
    <x v="409"/>
    <n v="4"/>
    <n v="4.07"/>
    <x v="4"/>
    <x v="0"/>
  </r>
  <r>
    <n v="44325"/>
    <x v="190"/>
    <x v="3"/>
    <x v="2"/>
    <x v="9"/>
    <s v="Sony Micro Vault Click 16 GB USB 2.0 Flash Drive"/>
    <x v="410"/>
    <n v="3"/>
    <n v="40.31"/>
    <x v="4"/>
    <x v="0"/>
  </r>
  <r>
    <n v="44325"/>
    <x v="191"/>
    <x v="5"/>
    <x v="0"/>
    <x v="2"/>
    <s v="Fellowes Super Stor/Drawer"/>
    <x v="411"/>
    <n v="3"/>
    <n v="14.99"/>
    <x v="4"/>
    <x v="0"/>
  </r>
  <r>
    <n v="44325"/>
    <x v="191"/>
    <x v="5"/>
    <x v="0"/>
    <x v="1"/>
    <s v="Avery 518"/>
    <x v="412"/>
    <n v="3"/>
    <n v="4.54"/>
    <x v="4"/>
    <x v="0"/>
  </r>
  <r>
    <n v="44325"/>
    <x v="191"/>
    <x v="5"/>
    <x v="0"/>
    <x v="1"/>
    <s v="Avery 506"/>
    <x v="153"/>
    <n v="5"/>
    <n v="9.5"/>
    <x v="4"/>
    <x v="0"/>
  </r>
  <r>
    <n v="44325"/>
    <x v="191"/>
    <x v="5"/>
    <x v="0"/>
    <x v="0"/>
    <s v="Weyerhaeuser First Choice Laser/Copy Paper (20Lb. and 88 Bright)"/>
    <x v="413"/>
    <n v="7"/>
    <n v="21.77"/>
    <x v="4"/>
    <x v="0"/>
  </r>
  <r>
    <n v="44326"/>
    <x v="170"/>
    <x v="22"/>
    <x v="0"/>
    <x v="10"/>
    <s v="Strathmore #10 Envelopes, Ultimate White"/>
    <x v="414"/>
    <n v="3"/>
    <n v="77.48"/>
    <x v="4"/>
    <x v="0"/>
  </r>
  <r>
    <n v="44326"/>
    <x v="170"/>
    <x v="22"/>
    <x v="2"/>
    <x v="6"/>
    <s v="LF Elite 3D Dazzle Designer Hard Case Cover, Lf Stylus Pen and Wiper For Apple Iphone 5c Mini Lite"/>
    <x v="415"/>
    <n v="5"/>
    <n v="4.3600000000000003"/>
    <x v="4"/>
    <x v="0"/>
  </r>
  <r>
    <n v="44326"/>
    <x v="192"/>
    <x v="2"/>
    <x v="1"/>
    <x v="11"/>
    <s v="Bestar Classic Bookcase"/>
    <x v="416"/>
    <n v="7"/>
    <n v="-216.98"/>
    <x v="4"/>
    <x v="0"/>
  </r>
  <r>
    <n v="44326"/>
    <x v="192"/>
    <x v="2"/>
    <x v="0"/>
    <x v="4"/>
    <s v="DIXON Ticonderoga Erasable Checking Pencils"/>
    <x v="417"/>
    <n v="5"/>
    <n v="5.3"/>
    <x v="4"/>
    <x v="0"/>
  </r>
  <r>
    <n v="44326"/>
    <x v="193"/>
    <x v="3"/>
    <x v="0"/>
    <x v="0"/>
    <s v="Southworth 25% Cotton Premium Laser Paper and Envelopes"/>
    <x v="418"/>
    <n v="2"/>
    <n v="19.18"/>
    <x v="4"/>
    <x v="0"/>
  </r>
  <r>
    <n v="44326"/>
    <x v="193"/>
    <x v="3"/>
    <x v="2"/>
    <x v="6"/>
    <s v="Wilson Electronics DB Pro Signal Booster"/>
    <x v="419"/>
    <n v="5"/>
    <n v="125.3"/>
    <x v="4"/>
    <x v="0"/>
  </r>
  <r>
    <n v="44326"/>
    <x v="193"/>
    <x v="3"/>
    <x v="0"/>
    <x v="14"/>
    <s v="Acme Design Stainless Steel Bent Scissors"/>
    <x v="420"/>
    <n v="6"/>
    <n v="11.08"/>
    <x v="4"/>
    <x v="0"/>
  </r>
  <r>
    <n v="44326"/>
    <x v="193"/>
    <x v="3"/>
    <x v="1"/>
    <x v="5"/>
    <s v="Hon Pagoda Stacking Chairs"/>
    <x v="421"/>
    <n v="1"/>
    <n v="32.1"/>
    <x v="4"/>
    <x v="0"/>
  </r>
  <r>
    <n v="44327"/>
    <x v="194"/>
    <x v="0"/>
    <x v="2"/>
    <x v="9"/>
    <s v="SanDisk Cruzer 64 GB USB Flash Drive"/>
    <x v="422"/>
    <n v="2"/>
    <n v="7.26"/>
    <x v="4"/>
    <x v="0"/>
  </r>
  <r>
    <n v="44327"/>
    <x v="194"/>
    <x v="0"/>
    <x v="2"/>
    <x v="6"/>
    <s v="Xblue XB-1670-86 X16 SmallÂ Office TelephoneÂ - Titanium"/>
    <x v="423"/>
    <n v="1"/>
    <n v="6.3"/>
    <x v="4"/>
    <x v="0"/>
  </r>
  <r>
    <n v="44327"/>
    <x v="194"/>
    <x v="0"/>
    <x v="1"/>
    <x v="8"/>
    <s v="Deflect-o EconoMat Studded, No Bevel Mat for Low Pile Carpeting"/>
    <x v="424"/>
    <n v="4"/>
    <n v="-84.29"/>
    <x v="4"/>
    <x v="0"/>
  </r>
  <r>
    <n v="44327"/>
    <x v="195"/>
    <x v="0"/>
    <x v="2"/>
    <x v="9"/>
    <s v="Logitech ClearChat Comfort/USB Headset H390"/>
    <x v="425"/>
    <n v="2"/>
    <n v="7.62"/>
    <x v="4"/>
    <x v="0"/>
  </r>
  <r>
    <n v="44327"/>
    <x v="196"/>
    <x v="20"/>
    <x v="0"/>
    <x v="12"/>
    <s v="Staple holder"/>
    <x v="426"/>
    <n v="3"/>
    <n v="9.6999999999999993"/>
    <x v="4"/>
    <x v="0"/>
  </r>
  <r>
    <n v="44327"/>
    <x v="197"/>
    <x v="0"/>
    <x v="1"/>
    <x v="5"/>
    <s v="Hon Multipurpose Stacking Arm Chairs"/>
    <x v="427"/>
    <n v="8"/>
    <n v="-69.31"/>
    <x v="4"/>
    <x v="0"/>
  </r>
  <r>
    <n v="44327"/>
    <x v="198"/>
    <x v="1"/>
    <x v="0"/>
    <x v="0"/>
    <s v="Black Print Carbonless 8 1/2&quot; x 8 1/4&quot; Rapid Memo Book"/>
    <x v="124"/>
    <n v="3"/>
    <n v="5.68"/>
    <x v="4"/>
    <x v="0"/>
  </r>
  <r>
    <n v="44327"/>
    <x v="198"/>
    <x v="1"/>
    <x v="0"/>
    <x v="3"/>
    <s v="Avery Arch Ring Binders"/>
    <x v="428"/>
    <n v="9"/>
    <n v="-172.56"/>
    <x v="4"/>
    <x v="0"/>
  </r>
  <r>
    <n v="44328"/>
    <x v="19"/>
    <x v="21"/>
    <x v="1"/>
    <x v="8"/>
    <s v="DAX Value U-Channel Document Frames, Easel Back"/>
    <x v="429"/>
    <n v="7"/>
    <n v="10.78"/>
    <x v="4"/>
    <x v="0"/>
  </r>
  <r>
    <n v="44328"/>
    <x v="73"/>
    <x v="32"/>
    <x v="1"/>
    <x v="13"/>
    <s v="Bevis Traditional Conference Table Top, Plinth Base"/>
    <x v="430"/>
    <n v="3"/>
    <n v="-130.01"/>
    <x v="4"/>
    <x v="0"/>
  </r>
  <r>
    <n v="44329"/>
    <x v="199"/>
    <x v="27"/>
    <x v="0"/>
    <x v="2"/>
    <s v="Fellowes Super Stor/Drawer"/>
    <x v="431"/>
    <n v="2"/>
    <n v="9.99"/>
    <x v="4"/>
    <x v="0"/>
  </r>
  <r>
    <n v="44329"/>
    <x v="200"/>
    <x v="16"/>
    <x v="0"/>
    <x v="7"/>
    <s v="Staples"/>
    <x v="432"/>
    <n v="2"/>
    <n v="2.4"/>
    <x v="4"/>
    <x v="0"/>
  </r>
  <r>
    <n v="44329"/>
    <x v="200"/>
    <x v="16"/>
    <x v="0"/>
    <x v="3"/>
    <s v="GBC DocuBind P100 Manual Binding Machine"/>
    <x v="433"/>
    <n v="8"/>
    <n v="-331.96"/>
    <x v="4"/>
    <x v="0"/>
  </r>
  <r>
    <n v="44329"/>
    <x v="201"/>
    <x v="3"/>
    <x v="2"/>
    <x v="9"/>
    <s v="Plantronics Audio 478 Stereo USB Headset"/>
    <x v="434"/>
    <n v="3"/>
    <n v="52.49"/>
    <x v="4"/>
    <x v="0"/>
  </r>
  <r>
    <n v="44329"/>
    <x v="160"/>
    <x v="3"/>
    <x v="1"/>
    <x v="5"/>
    <s v="Iceberg Nesting Folding Chair, 19w x 6d x 43h"/>
    <x v="435"/>
    <n v="6"/>
    <n v="20.96"/>
    <x v="4"/>
    <x v="0"/>
  </r>
  <r>
    <n v="44329"/>
    <x v="160"/>
    <x v="3"/>
    <x v="0"/>
    <x v="0"/>
    <s v="EcoTones Memo Sheets"/>
    <x v="436"/>
    <n v="2"/>
    <n v="3.84"/>
    <x v="4"/>
    <x v="0"/>
  </r>
  <r>
    <n v="44330"/>
    <x v="202"/>
    <x v="16"/>
    <x v="1"/>
    <x v="8"/>
    <s v="Electrix Halogen Magnifier Lamp"/>
    <x v="437"/>
    <n v="2"/>
    <n v="23.32"/>
    <x v="4"/>
    <x v="0"/>
  </r>
  <r>
    <n v="44332"/>
    <x v="203"/>
    <x v="3"/>
    <x v="1"/>
    <x v="5"/>
    <s v="Iceberg Nesting Folding Chair, 19w x 6d x 43h"/>
    <x v="438"/>
    <n v="5"/>
    <n v="17.47"/>
    <x v="4"/>
    <x v="0"/>
  </r>
  <r>
    <n v="44332"/>
    <x v="204"/>
    <x v="3"/>
    <x v="2"/>
    <x v="9"/>
    <s v="ImationÂ Clip USBÂ flash driveÂ - 8 GB"/>
    <x v="439"/>
    <n v="3"/>
    <n v="3.38"/>
    <x v="4"/>
    <x v="0"/>
  </r>
  <r>
    <n v="44333"/>
    <x v="205"/>
    <x v="21"/>
    <x v="0"/>
    <x v="3"/>
    <s v="Surelock Post Binders"/>
    <x v="440"/>
    <n v="3"/>
    <n v="45.84"/>
    <x v="4"/>
    <x v="0"/>
  </r>
  <r>
    <n v="44334"/>
    <x v="206"/>
    <x v="10"/>
    <x v="2"/>
    <x v="6"/>
    <s v="Apple iPhone 5"/>
    <x v="441"/>
    <n v="2"/>
    <n v="-168.96"/>
    <x v="4"/>
    <x v="0"/>
  </r>
  <r>
    <n v="44334"/>
    <x v="207"/>
    <x v="10"/>
    <x v="1"/>
    <x v="8"/>
    <s v="Deflect-o Glass Clear Studded Chair Mats"/>
    <x v="442"/>
    <n v="3"/>
    <n v="3.73"/>
    <x v="4"/>
    <x v="0"/>
  </r>
  <r>
    <n v="44334"/>
    <x v="207"/>
    <x v="10"/>
    <x v="0"/>
    <x v="0"/>
    <s v="Xerox 1949"/>
    <x v="443"/>
    <n v="4"/>
    <n v="5.78"/>
    <x v="4"/>
    <x v="0"/>
  </r>
  <r>
    <n v="44334"/>
    <x v="208"/>
    <x v="0"/>
    <x v="0"/>
    <x v="0"/>
    <s v="Xerox 1949"/>
    <x v="444"/>
    <n v="1"/>
    <n v="1.44"/>
    <x v="4"/>
    <x v="0"/>
  </r>
  <r>
    <n v="44335"/>
    <x v="209"/>
    <x v="14"/>
    <x v="0"/>
    <x v="3"/>
    <s v="Avery Heavy-Duty EZD View Binder with Locking Rings"/>
    <x v="445"/>
    <n v="9"/>
    <n v="26.41"/>
    <x v="4"/>
    <x v="0"/>
  </r>
  <r>
    <n v="44335"/>
    <x v="210"/>
    <x v="6"/>
    <x v="0"/>
    <x v="14"/>
    <s v="Acme Design Stainless Steel Bent Scissors"/>
    <x v="446"/>
    <n v="5"/>
    <n v="9.23"/>
    <x v="4"/>
    <x v="0"/>
  </r>
  <r>
    <n v="44336"/>
    <x v="211"/>
    <x v="38"/>
    <x v="0"/>
    <x v="12"/>
    <s v="Acco 6 Outlet Guardian Basic Surge Suppressor"/>
    <x v="447"/>
    <n v="4"/>
    <n v="9.32"/>
    <x v="4"/>
    <x v="0"/>
  </r>
  <r>
    <n v="44336"/>
    <x v="211"/>
    <x v="38"/>
    <x v="0"/>
    <x v="4"/>
    <s v="Sanford Colorific Scented Colored Pencils, 12/Pack"/>
    <x v="448"/>
    <n v="9"/>
    <n v="11.94"/>
    <x v="4"/>
    <x v="0"/>
  </r>
  <r>
    <n v="44336"/>
    <x v="211"/>
    <x v="38"/>
    <x v="1"/>
    <x v="8"/>
    <s v="24-Hour Round Wall Clock"/>
    <x v="449"/>
    <n v="7"/>
    <n v="60.14"/>
    <x v="4"/>
    <x v="0"/>
  </r>
  <r>
    <n v="44336"/>
    <x v="212"/>
    <x v="0"/>
    <x v="1"/>
    <x v="8"/>
    <s v="Contemporary Borderless Frame"/>
    <x v="450"/>
    <n v="3"/>
    <n v="-5.94"/>
    <x v="4"/>
    <x v="0"/>
  </r>
  <r>
    <n v="44336"/>
    <x v="212"/>
    <x v="0"/>
    <x v="0"/>
    <x v="0"/>
    <s v="Xerox 213"/>
    <x v="320"/>
    <n v="2"/>
    <n v="3.63"/>
    <x v="4"/>
    <x v="0"/>
  </r>
  <r>
    <n v="44336"/>
    <x v="212"/>
    <x v="0"/>
    <x v="2"/>
    <x v="9"/>
    <s v="SanDisk Ultra 16 GB MicroSDHC Class 10 Memory Card"/>
    <x v="451"/>
    <n v="2"/>
    <n v="-3.64"/>
    <x v="4"/>
    <x v="0"/>
  </r>
  <r>
    <n v="44336"/>
    <x v="212"/>
    <x v="0"/>
    <x v="0"/>
    <x v="2"/>
    <s v="Rogers Profile Extra Capacity Storage Tub"/>
    <x v="273"/>
    <n v="5"/>
    <n v="-13.39"/>
    <x v="4"/>
    <x v="0"/>
  </r>
  <r>
    <n v="44337"/>
    <x v="213"/>
    <x v="6"/>
    <x v="0"/>
    <x v="3"/>
    <s v="Fellowes PB300 Plastic Comb Binding Machine"/>
    <x v="452"/>
    <n v="7"/>
    <n v="1276.49"/>
    <x v="4"/>
    <x v="0"/>
  </r>
  <r>
    <n v="44337"/>
    <x v="213"/>
    <x v="6"/>
    <x v="2"/>
    <x v="6"/>
    <s v="Plantronics Voyager Pro Legend"/>
    <x v="453"/>
    <n v="3"/>
    <n v="173.03"/>
    <x v="4"/>
    <x v="0"/>
  </r>
  <r>
    <n v="44337"/>
    <x v="214"/>
    <x v="3"/>
    <x v="0"/>
    <x v="4"/>
    <s v="4009 Highlighters by Sanford"/>
    <x v="454"/>
    <n v="8"/>
    <n v="10.51"/>
    <x v="4"/>
    <x v="0"/>
  </r>
  <r>
    <n v="44337"/>
    <x v="215"/>
    <x v="32"/>
    <x v="0"/>
    <x v="3"/>
    <s v="GBC ProClick Punch Binding System"/>
    <x v="455"/>
    <n v="7"/>
    <n v="219.45"/>
    <x v="4"/>
    <x v="0"/>
  </r>
  <r>
    <n v="44337"/>
    <x v="215"/>
    <x v="32"/>
    <x v="0"/>
    <x v="0"/>
    <s v="Xerox 1992"/>
    <x v="150"/>
    <n v="3"/>
    <n v="8.7899999999999991"/>
    <x v="4"/>
    <x v="0"/>
  </r>
  <r>
    <n v="44337"/>
    <x v="215"/>
    <x v="32"/>
    <x v="0"/>
    <x v="12"/>
    <s v="Belkin 8 Outlet Surge Protector"/>
    <x v="456"/>
    <n v="6"/>
    <n v="68.849999999999994"/>
    <x v="4"/>
    <x v="0"/>
  </r>
  <r>
    <n v="44337"/>
    <x v="175"/>
    <x v="0"/>
    <x v="0"/>
    <x v="10"/>
    <s v="Staple envelope"/>
    <x v="40"/>
    <n v="6"/>
    <n v="21.02"/>
    <x v="4"/>
    <x v="0"/>
  </r>
  <r>
    <n v="44337"/>
    <x v="175"/>
    <x v="0"/>
    <x v="1"/>
    <x v="5"/>
    <s v="Global Deluxe Steno Chair"/>
    <x v="457"/>
    <n v="2"/>
    <n v="-29.25"/>
    <x v="4"/>
    <x v="0"/>
  </r>
  <r>
    <n v="44337"/>
    <x v="175"/>
    <x v="0"/>
    <x v="0"/>
    <x v="0"/>
    <s v="Adams Telephone Message Books, 5 1/4Â” x 11Â”"/>
    <x v="458"/>
    <n v="1"/>
    <n v="1.63"/>
    <x v="4"/>
    <x v="0"/>
  </r>
  <r>
    <n v="44337"/>
    <x v="175"/>
    <x v="0"/>
    <x v="0"/>
    <x v="3"/>
    <s v="Ibico Plastic Spiral Binding Combs"/>
    <x v="459"/>
    <n v="3"/>
    <n v="-31.01"/>
    <x v="4"/>
    <x v="0"/>
  </r>
  <r>
    <n v="44338"/>
    <x v="216"/>
    <x v="33"/>
    <x v="2"/>
    <x v="6"/>
    <s v="Nortel Networks T7316 E Nt8 B27"/>
    <x v="460"/>
    <n v="2"/>
    <n v="34"/>
    <x v="4"/>
    <x v="0"/>
  </r>
  <r>
    <n v="44338"/>
    <x v="216"/>
    <x v="33"/>
    <x v="2"/>
    <x v="6"/>
    <s v="Plantronics Encore H101 Dual EarpiecesÂ Headset"/>
    <x v="461"/>
    <n v="1"/>
    <n v="12.59"/>
    <x v="4"/>
    <x v="0"/>
  </r>
  <r>
    <n v="44339"/>
    <x v="177"/>
    <x v="2"/>
    <x v="0"/>
    <x v="3"/>
    <s v="Angle-D Ring Binders"/>
    <x v="462"/>
    <n v="2"/>
    <n v="-2.63"/>
    <x v="4"/>
    <x v="0"/>
  </r>
  <r>
    <n v="44339"/>
    <x v="177"/>
    <x v="2"/>
    <x v="0"/>
    <x v="4"/>
    <s v="Newell 317"/>
    <x v="463"/>
    <n v="9"/>
    <n v="2.38"/>
    <x v="4"/>
    <x v="0"/>
  </r>
  <r>
    <n v="44339"/>
    <x v="177"/>
    <x v="2"/>
    <x v="2"/>
    <x v="6"/>
    <s v="Motorola L804"/>
    <x v="464"/>
    <n v="2"/>
    <n v="-10.119999999999999"/>
    <x v="4"/>
    <x v="0"/>
  </r>
  <r>
    <n v="44339"/>
    <x v="15"/>
    <x v="22"/>
    <x v="0"/>
    <x v="0"/>
    <s v="Xerox 1999"/>
    <x v="115"/>
    <n v="2"/>
    <n v="6.22"/>
    <x v="4"/>
    <x v="0"/>
  </r>
  <r>
    <n v="44339"/>
    <x v="217"/>
    <x v="20"/>
    <x v="0"/>
    <x v="3"/>
    <s v="Avery Non-Stick Binders"/>
    <x v="465"/>
    <n v="5"/>
    <n v="5.84"/>
    <x v="4"/>
    <x v="0"/>
  </r>
  <r>
    <n v="44339"/>
    <x v="217"/>
    <x v="20"/>
    <x v="0"/>
    <x v="14"/>
    <s v="Letter Slitter"/>
    <x v="466"/>
    <n v="2"/>
    <n v="0.15"/>
    <x v="4"/>
    <x v="0"/>
  </r>
  <r>
    <n v="44339"/>
    <x v="217"/>
    <x v="20"/>
    <x v="0"/>
    <x v="12"/>
    <s v="1.7 Cubic Foot Compact &quot;Cube&quot; Office Refrigerators"/>
    <x v="467"/>
    <n v="1"/>
    <n v="56.2"/>
    <x v="4"/>
    <x v="0"/>
  </r>
  <r>
    <n v="44340"/>
    <x v="218"/>
    <x v="36"/>
    <x v="0"/>
    <x v="0"/>
    <s v="Xerox 1944"/>
    <x v="468"/>
    <n v="3"/>
    <n v="56.98"/>
    <x v="4"/>
    <x v="0"/>
  </r>
  <r>
    <n v="44341"/>
    <x v="219"/>
    <x v="1"/>
    <x v="0"/>
    <x v="12"/>
    <s v="Harmony Air Purifier"/>
    <x v="469"/>
    <n v="2"/>
    <n v="-166.32"/>
    <x v="4"/>
    <x v="0"/>
  </r>
  <r>
    <n v="44341"/>
    <x v="219"/>
    <x v="1"/>
    <x v="1"/>
    <x v="8"/>
    <s v="Electrix Incandescent Magnifying Lamp, Black"/>
    <x v="470"/>
    <n v="2"/>
    <n v="-24.19"/>
    <x v="4"/>
    <x v="0"/>
  </r>
  <r>
    <n v="44341"/>
    <x v="220"/>
    <x v="20"/>
    <x v="0"/>
    <x v="0"/>
    <s v="Strathmore Photo Frame Cards"/>
    <x v="471"/>
    <n v="2"/>
    <n v="6.73"/>
    <x v="4"/>
    <x v="0"/>
  </r>
  <r>
    <n v="44342"/>
    <x v="44"/>
    <x v="3"/>
    <x v="1"/>
    <x v="11"/>
    <s v="Sauder Inglewood Library Bookcases"/>
    <x v="77"/>
    <n v="2"/>
    <n v="27.36"/>
    <x v="4"/>
    <x v="0"/>
  </r>
  <r>
    <n v="44342"/>
    <x v="44"/>
    <x v="3"/>
    <x v="2"/>
    <x v="6"/>
    <s v="VTech DS6151"/>
    <x v="472"/>
    <n v="2"/>
    <n v="20.16"/>
    <x v="4"/>
    <x v="0"/>
  </r>
  <r>
    <n v="44342"/>
    <x v="44"/>
    <x v="3"/>
    <x v="2"/>
    <x v="6"/>
    <s v="netTALK DUO VoIP Telephone Service"/>
    <x v="473"/>
    <n v="2"/>
    <n v="31.49"/>
    <x v="4"/>
    <x v="0"/>
  </r>
  <r>
    <n v="44342"/>
    <x v="221"/>
    <x v="3"/>
    <x v="1"/>
    <x v="5"/>
    <s v="Hon Olson Stacker Stools"/>
    <x v="474"/>
    <n v="2"/>
    <n v="22.53"/>
    <x v="4"/>
    <x v="0"/>
  </r>
  <r>
    <n v="44342"/>
    <x v="222"/>
    <x v="27"/>
    <x v="0"/>
    <x v="0"/>
    <s v="Wirebound Service Call Books, 5 1/2&quot; x 4&quot;"/>
    <x v="475"/>
    <n v="5"/>
    <n v="23.23"/>
    <x v="4"/>
    <x v="0"/>
  </r>
  <r>
    <n v="44342"/>
    <x v="147"/>
    <x v="1"/>
    <x v="0"/>
    <x v="2"/>
    <s v="SAFCO Mobile Desk Side File, Wire Frame"/>
    <x v="476"/>
    <n v="3"/>
    <n v="7.7"/>
    <x v="4"/>
    <x v="0"/>
  </r>
  <r>
    <n v="44342"/>
    <x v="147"/>
    <x v="1"/>
    <x v="1"/>
    <x v="5"/>
    <s v="Global Commerce Series Low-Back Swivel/Tilt Chairs"/>
    <x v="477"/>
    <n v="2"/>
    <n v="-5.14"/>
    <x v="4"/>
    <x v="0"/>
  </r>
  <r>
    <n v="44342"/>
    <x v="147"/>
    <x v="1"/>
    <x v="0"/>
    <x v="4"/>
    <s v="DIXON Ticonderoga Erasable Checking Pencils"/>
    <x v="478"/>
    <n v="3"/>
    <n v="3.18"/>
    <x v="4"/>
    <x v="0"/>
  </r>
  <r>
    <n v="44343"/>
    <x v="223"/>
    <x v="3"/>
    <x v="1"/>
    <x v="13"/>
    <s v="KI Conference Tables"/>
    <x v="479"/>
    <n v="10"/>
    <n v="-28.36"/>
    <x v="4"/>
    <x v="0"/>
  </r>
  <r>
    <n v="44343"/>
    <x v="223"/>
    <x v="3"/>
    <x v="0"/>
    <x v="2"/>
    <s v="Fellowes Officeware Wire Shelving"/>
    <x v="480"/>
    <n v="4"/>
    <n v="7.19"/>
    <x v="4"/>
    <x v="0"/>
  </r>
  <r>
    <n v="44343"/>
    <x v="164"/>
    <x v="3"/>
    <x v="2"/>
    <x v="6"/>
    <s v="Plantronics HL10 Handset Lifter"/>
    <x v="481"/>
    <n v="12"/>
    <n v="125.27"/>
    <x v="4"/>
    <x v="0"/>
  </r>
  <r>
    <n v="44343"/>
    <x v="164"/>
    <x v="3"/>
    <x v="2"/>
    <x v="9"/>
    <s v="Logitech Wireless Performance Mouse MX for PC and Mac"/>
    <x v="482"/>
    <n v="1"/>
    <n v="38"/>
    <x v="4"/>
    <x v="0"/>
  </r>
  <r>
    <n v="44343"/>
    <x v="224"/>
    <x v="1"/>
    <x v="0"/>
    <x v="3"/>
    <s v="Fellowes Presentation Covers for Comb Binding Machines"/>
    <x v="96"/>
    <n v="6"/>
    <n v="-30.56"/>
    <x v="4"/>
    <x v="0"/>
  </r>
  <r>
    <n v="44344"/>
    <x v="225"/>
    <x v="22"/>
    <x v="2"/>
    <x v="6"/>
    <s v="I Need's 3d Hello Kitty Hybrid Silicone Case Cover for HTC One X 4g with 3d Hello Kitty Stylus Pen Green/pink"/>
    <x v="483"/>
    <n v="6"/>
    <n v="5.74"/>
    <x v="4"/>
    <x v="0"/>
  </r>
  <r>
    <n v="44344"/>
    <x v="225"/>
    <x v="22"/>
    <x v="2"/>
    <x v="9"/>
    <s v="ImationÂ 30456 USBÂ Flash DriveÂ 8GB"/>
    <x v="484"/>
    <n v="4"/>
    <n v="2.21"/>
    <x v="4"/>
    <x v="0"/>
  </r>
  <r>
    <n v="44344"/>
    <x v="226"/>
    <x v="22"/>
    <x v="0"/>
    <x v="3"/>
    <s v="Green Canvas Binder for 8-1/2&quot; x 14&quot; Sheets"/>
    <x v="485"/>
    <n v="4"/>
    <n v="51.36"/>
    <x v="4"/>
    <x v="0"/>
  </r>
  <r>
    <n v="44346"/>
    <x v="227"/>
    <x v="6"/>
    <x v="0"/>
    <x v="0"/>
    <s v="Ampad Poly Cover Wirebound Steno Book, 6&quot; x 9&quot; Assorted Colors, Gregg Ruled"/>
    <x v="486"/>
    <n v="3"/>
    <n v="6.13"/>
    <x v="4"/>
    <x v="0"/>
  </r>
  <r>
    <n v="44346"/>
    <x v="228"/>
    <x v="1"/>
    <x v="1"/>
    <x v="13"/>
    <s v="Chromcraft Rectangular Conference Tables"/>
    <x v="487"/>
    <n v="3"/>
    <n v="-184.84"/>
    <x v="4"/>
    <x v="0"/>
  </r>
  <r>
    <n v="44346"/>
    <x v="229"/>
    <x v="20"/>
    <x v="0"/>
    <x v="3"/>
    <s v="Wilson Jones Legal Size Ring Binders"/>
    <x v="488"/>
    <n v="4"/>
    <n v="26.39"/>
    <x v="4"/>
    <x v="0"/>
  </r>
  <r>
    <n v="44346"/>
    <x v="230"/>
    <x v="20"/>
    <x v="0"/>
    <x v="3"/>
    <s v="GBC Pre-Punched Binding Paper, Plastic, White, 8-1/2&quot; x 11&quot;"/>
    <x v="489"/>
    <n v="2"/>
    <n v="8.9499999999999993"/>
    <x v="4"/>
    <x v="0"/>
  </r>
  <r>
    <n v="44346"/>
    <x v="230"/>
    <x v="20"/>
    <x v="2"/>
    <x v="6"/>
    <s v="Geemarc AmpliPOWER60"/>
    <x v="490"/>
    <n v="5"/>
    <n v="134.56"/>
    <x v="4"/>
    <x v="0"/>
  </r>
  <r>
    <n v="44346"/>
    <x v="230"/>
    <x v="20"/>
    <x v="0"/>
    <x v="12"/>
    <s v="Honeywell Quietcare HEPA Air Cleaner"/>
    <x v="491"/>
    <n v="3"/>
    <n v="77.86"/>
    <x v="4"/>
    <x v="0"/>
  </r>
  <r>
    <n v="44346"/>
    <x v="230"/>
    <x v="20"/>
    <x v="0"/>
    <x v="0"/>
    <s v="Xerox 1948"/>
    <x v="418"/>
    <n v="4"/>
    <n v="17.98"/>
    <x v="4"/>
    <x v="0"/>
  </r>
  <r>
    <n v="44346"/>
    <x v="231"/>
    <x v="1"/>
    <x v="2"/>
    <x v="16"/>
    <s v="Brother DCP1000 Digital 3 in 1 Multifunction Machine"/>
    <x v="492"/>
    <n v="3"/>
    <n v="135"/>
    <x v="4"/>
    <x v="0"/>
  </r>
  <r>
    <n v="44347"/>
    <x v="232"/>
    <x v="29"/>
    <x v="2"/>
    <x v="6"/>
    <s v="Samsung Galaxy Note 3"/>
    <x v="493"/>
    <n v="3"/>
    <n v="197.99"/>
    <x v="4"/>
    <x v="0"/>
  </r>
  <r>
    <n v="44347"/>
    <x v="232"/>
    <x v="29"/>
    <x v="2"/>
    <x v="6"/>
    <s v="Grandstream GXP1160 VoIP phone"/>
    <x v="494"/>
    <n v="3"/>
    <n v="32.979999999999997"/>
    <x v="4"/>
    <x v="0"/>
  </r>
  <r>
    <n v="44348"/>
    <x v="233"/>
    <x v="28"/>
    <x v="1"/>
    <x v="5"/>
    <s v="Global Deluxe High-Back Manager's Chair"/>
    <x v="495"/>
    <n v="7"/>
    <n v="580.54"/>
    <x v="5"/>
    <x v="0"/>
  </r>
  <r>
    <n v="44348"/>
    <x v="233"/>
    <x v="28"/>
    <x v="0"/>
    <x v="2"/>
    <s v="Safco Steel Mobile File Cart"/>
    <x v="496"/>
    <n v="2"/>
    <n v="41.68"/>
    <x v="5"/>
    <x v="0"/>
  </r>
  <r>
    <n v="44348"/>
    <x v="233"/>
    <x v="28"/>
    <x v="0"/>
    <x v="0"/>
    <s v="Adams Telephone Message Book w/Frequently-Called Numbers Space, 400 Messages per Book"/>
    <x v="497"/>
    <n v="6"/>
    <n v="23.94"/>
    <x v="5"/>
    <x v="0"/>
  </r>
  <r>
    <n v="44348"/>
    <x v="233"/>
    <x v="28"/>
    <x v="0"/>
    <x v="12"/>
    <s v="Honeywell Enviracaire Portable HEPA Air Cleaner for 17' x 22' Room"/>
    <x v="498"/>
    <n v="5"/>
    <n v="496.07"/>
    <x v="5"/>
    <x v="0"/>
  </r>
  <r>
    <n v="44348"/>
    <x v="233"/>
    <x v="28"/>
    <x v="0"/>
    <x v="0"/>
    <s v="Xerox 205"/>
    <x v="499"/>
    <n v="4"/>
    <n v="12.44"/>
    <x v="5"/>
    <x v="0"/>
  </r>
  <r>
    <n v="44348"/>
    <x v="234"/>
    <x v="23"/>
    <x v="0"/>
    <x v="3"/>
    <s v="GBC Clear Cover, 8-1/2 x 11, unpunched, 25 covers per pack"/>
    <x v="241"/>
    <n v="3"/>
    <n v="20.92"/>
    <x v="5"/>
    <x v="0"/>
  </r>
  <r>
    <n v="44348"/>
    <x v="234"/>
    <x v="23"/>
    <x v="0"/>
    <x v="4"/>
    <s v="Boston Heavy-Duty Trimline Electric Pencil Sharpeners"/>
    <x v="500"/>
    <n v="6"/>
    <n v="83.87"/>
    <x v="5"/>
    <x v="0"/>
  </r>
  <r>
    <n v="44348"/>
    <x v="235"/>
    <x v="13"/>
    <x v="1"/>
    <x v="8"/>
    <s v="3M Hangers With Command Adhesive"/>
    <x v="501"/>
    <n v="6"/>
    <n v="9.1"/>
    <x v="5"/>
    <x v="0"/>
  </r>
  <r>
    <n v="44348"/>
    <x v="235"/>
    <x v="13"/>
    <x v="2"/>
    <x v="6"/>
    <s v="Adtran 1202752G1"/>
    <x v="502"/>
    <n v="7"/>
    <n v="229.3"/>
    <x v="5"/>
    <x v="0"/>
  </r>
  <r>
    <n v="44348"/>
    <x v="87"/>
    <x v="14"/>
    <x v="0"/>
    <x v="3"/>
    <s v="Wilson Jones Heavy-Duty Casebound Ring Binders with Metal Hinges"/>
    <x v="503"/>
    <n v="4"/>
    <n v="66.510000000000005"/>
    <x v="5"/>
    <x v="0"/>
  </r>
  <r>
    <n v="44348"/>
    <x v="87"/>
    <x v="14"/>
    <x v="0"/>
    <x v="12"/>
    <s v="Acco 6 Outlet Guardian Premium Surge Suppressor"/>
    <x v="504"/>
    <n v="5"/>
    <n v="12.38"/>
    <x v="5"/>
    <x v="0"/>
  </r>
  <r>
    <n v="44349"/>
    <x v="79"/>
    <x v="27"/>
    <x v="0"/>
    <x v="3"/>
    <s v="GBC Standard Therm-A-Bind Covers"/>
    <x v="505"/>
    <n v="3"/>
    <n v="19.440000000000001"/>
    <x v="5"/>
    <x v="0"/>
  </r>
  <r>
    <n v="44349"/>
    <x v="79"/>
    <x v="27"/>
    <x v="1"/>
    <x v="8"/>
    <s v="Aluminum Document Frame"/>
    <x v="506"/>
    <n v="6"/>
    <n v="22"/>
    <x v="5"/>
    <x v="0"/>
  </r>
  <r>
    <n v="44349"/>
    <x v="149"/>
    <x v="4"/>
    <x v="0"/>
    <x v="4"/>
    <s v="Sanford Colorific Scented Colored Pencils, 12/Pack"/>
    <x v="507"/>
    <n v="2"/>
    <n v="2.65"/>
    <x v="5"/>
    <x v="0"/>
  </r>
  <r>
    <n v="44349"/>
    <x v="149"/>
    <x v="4"/>
    <x v="2"/>
    <x v="6"/>
    <s v="Mophie Juice Pack Helium for iPhone"/>
    <x v="104"/>
    <n v="3"/>
    <n v="67.19"/>
    <x v="5"/>
    <x v="0"/>
  </r>
  <r>
    <n v="44349"/>
    <x v="149"/>
    <x v="4"/>
    <x v="0"/>
    <x v="2"/>
    <s v="Hot File 7-Pocket, Floor Stand"/>
    <x v="508"/>
    <n v="2"/>
    <n v="107.08"/>
    <x v="5"/>
    <x v="0"/>
  </r>
  <r>
    <n v="44350"/>
    <x v="236"/>
    <x v="22"/>
    <x v="1"/>
    <x v="13"/>
    <s v="KI Adjustable-Height Table"/>
    <x v="509"/>
    <n v="6"/>
    <n v="113.49"/>
    <x v="5"/>
    <x v="0"/>
  </r>
  <r>
    <n v="44350"/>
    <x v="237"/>
    <x v="14"/>
    <x v="0"/>
    <x v="10"/>
    <s v="Security-Tint Envelopes"/>
    <x v="510"/>
    <n v="2"/>
    <n v="7.49"/>
    <x v="5"/>
    <x v="0"/>
  </r>
  <r>
    <n v="44350"/>
    <x v="238"/>
    <x v="1"/>
    <x v="0"/>
    <x v="1"/>
    <s v="Avery 513"/>
    <x v="443"/>
    <n v="4"/>
    <n v="5.18"/>
    <x v="5"/>
    <x v="0"/>
  </r>
  <r>
    <n v="44350"/>
    <x v="238"/>
    <x v="1"/>
    <x v="1"/>
    <x v="8"/>
    <s v="Contract Clock, 14&quot;, Brown"/>
    <x v="511"/>
    <n v="7"/>
    <n v="-40"/>
    <x v="5"/>
    <x v="0"/>
  </r>
  <r>
    <n v="44350"/>
    <x v="238"/>
    <x v="1"/>
    <x v="0"/>
    <x v="2"/>
    <s v="Recycled Steel Personal File for Standard File Folders"/>
    <x v="512"/>
    <n v="3"/>
    <n v="9.9499999999999993"/>
    <x v="5"/>
    <x v="0"/>
  </r>
  <r>
    <n v="44351"/>
    <x v="114"/>
    <x v="10"/>
    <x v="0"/>
    <x v="0"/>
    <s v="Easy-staple paper"/>
    <x v="513"/>
    <n v="2"/>
    <n v="5.88"/>
    <x v="5"/>
    <x v="0"/>
  </r>
  <r>
    <n v="44351"/>
    <x v="239"/>
    <x v="20"/>
    <x v="1"/>
    <x v="8"/>
    <s v="Seth Thomas 14&quot; Day/Date Wall Clock"/>
    <x v="514"/>
    <n v="2"/>
    <n v="21.08"/>
    <x v="5"/>
    <x v="0"/>
  </r>
  <r>
    <n v="44351"/>
    <x v="239"/>
    <x v="20"/>
    <x v="0"/>
    <x v="12"/>
    <s v="Commercial WindTunnel Clean Air Upright Vacuum, Replacement Belts, Filtration Bags"/>
    <x v="515"/>
    <n v="4"/>
    <n v="4.05"/>
    <x v="5"/>
    <x v="0"/>
  </r>
  <r>
    <n v="44351"/>
    <x v="239"/>
    <x v="20"/>
    <x v="1"/>
    <x v="11"/>
    <s v="O'Sullivan Living Dimensions 5-Shelf Bookcases"/>
    <x v="516"/>
    <n v="2"/>
    <n v="-44.2"/>
    <x v="5"/>
    <x v="0"/>
  </r>
  <r>
    <n v="44351"/>
    <x v="239"/>
    <x v="20"/>
    <x v="1"/>
    <x v="8"/>
    <s v="G.E. Halogen Desk Lamp Bulbs"/>
    <x v="517"/>
    <n v="2"/>
    <n v="6.7"/>
    <x v="5"/>
    <x v="0"/>
  </r>
  <r>
    <n v="44353"/>
    <x v="240"/>
    <x v="20"/>
    <x v="0"/>
    <x v="4"/>
    <s v="Sanford Liquid Accent Highlighters"/>
    <x v="518"/>
    <n v="2"/>
    <n v="4.9400000000000004"/>
    <x v="5"/>
    <x v="0"/>
  </r>
  <r>
    <n v="44353"/>
    <x v="241"/>
    <x v="20"/>
    <x v="0"/>
    <x v="3"/>
    <s v="Wilson Jones Century Plastic Molded Ring Binders"/>
    <x v="519"/>
    <n v="9"/>
    <n v="50.47"/>
    <x v="5"/>
    <x v="0"/>
  </r>
  <r>
    <n v="44353"/>
    <x v="241"/>
    <x v="20"/>
    <x v="0"/>
    <x v="14"/>
    <s v="Acme Office Executive Series Stainless Steel Trimmers"/>
    <x v="520"/>
    <n v="2"/>
    <n v="4.46"/>
    <x v="5"/>
    <x v="0"/>
  </r>
  <r>
    <n v="44353"/>
    <x v="241"/>
    <x v="20"/>
    <x v="1"/>
    <x v="13"/>
    <s v="Chromcraft Bull-Nose Wood 48&quot; x 96&quot; Rectangular Conference Tables"/>
    <x v="521"/>
    <n v="3"/>
    <n v="-347.12"/>
    <x v="5"/>
    <x v="0"/>
  </r>
  <r>
    <n v="44353"/>
    <x v="242"/>
    <x v="1"/>
    <x v="0"/>
    <x v="3"/>
    <s v="Avery Trapezoid Ring Binder, 3&quot; Capacity, Black, 1040 sheets"/>
    <x v="522"/>
    <n v="3"/>
    <n v="-38.11"/>
    <x v="5"/>
    <x v="0"/>
  </r>
  <r>
    <n v="44353"/>
    <x v="242"/>
    <x v="1"/>
    <x v="0"/>
    <x v="10"/>
    <s v="#10- 4 1/8&quot; x 9 1/2&quot; Recycled Envelopes"/>
    <x v="51"/>
    <n v="2"/>
    <n v="4.72"/>
    <x v="5"/>
    <x v="0"/>
  </r>
  <r>
    <n v="44353"/>
    <x v="243"/>
    <x v="0"/>
    <x v="0"/>
    <x v="1"/>
    <s v="Round Specialty Laser Printer Labels"/>
    <x v="523"/>
    <n v="10"/>
    <n v="33.83"/>
    <x v="5"/>
    <x v="0"/>
  </r>
  <r>
    <n v="44353"/>
    <x v="149"/>
    <x v="16"/>
    <x v="0"/>
    <x v="3"/>
    <s v="Presstex Flexible Ring Binders"/>
    <x v="524"/>
    <n v="1"/>
    <n v="-0.91"/>
    <x v="5"/>
    <x v="0"/>
  </r>
  <r>
    <n v="44353"/>
    <x v="149"/>
    <x v="16"/>
    <x v="0"/>
    <x v="0"/>
    <s v="Xerox 1944"/>
    <x v="525"/>
    <n v="2"/>
    <n v="22.48"/>
    <x v="5"/>
    <x v="0"/>
  </r>
  <r>
    <n v="44354"/>
    <x v="244"/>
    <x v="1"/>
    <x v="0"/>
    <x v="3"/>
    <s v="Wilson Jones Century Plastic Molded Ring Binders"/>
    <x v="526"/>
    <n v="3"/>
    <n v="-20.56"/>
    <x v="5"/>
    <x v="0"/>
  </r>
  <r>
    <n v="44354"/>
    <x v="245"/>
    <x v="1"/>
    <x v="1"/>
    <x v="13"/>
    <s v="Bevis Round Conference Table Top, X-Base"/>
    <x v="527"/>
    <n v="3"/>
    <n v="-209.77"/>
    <x v="5"/>
    <x v="0"/>
  </r>
  <r>
    <n v="44355"/>
    <x v="246"/>
    <x v="22"/>
    <x v="1"/>
    <x v="5"/>
    <s v="Hon Deluxe Fabric Upholstered Stacking Chairs, Squared Back"/>
    <x v="528"/>
    <n v="3"/>
    <n v="73.19"/>
    <x v="5"/>
    <x v="0"/>
  </r>
  <r>
    <n v="44355"/>
    <x v="124"/>
    <x v="15"/>
    <x v="1"/>
    <x v="5"/>
    <s v="Situations Contoured Folding Chairs, 4/Set"/>
    <x v="529"/>
    <n v="3"/>
    <n v="10.65"/>
    <x v="5"/>
    <x v="0"/>
  </r>
  <r>
    <n v="44355"/>
    <x v="247"/>
    <x v="20"/>
    <x v="0"/>
    <x v="3"/>
    <s v="Green Canvas Binder for 8-1/2&quot; x 14&quot; Sheets"/>
    <x v="530"/>
    <n v="2"/>
    <n v="25.68"/>
    <x v="5"/>
    <x v="0"/>
  </r>
  <r>
    <n v="44355"/>
    <x v="247"/>
    <x v="20"/>
    <x v="0"/>
    <x v="2"/>
    <s v="Tennsco Snap-Together Open Shelving Units, Starter Sets and Add-On Units"/>
    <x v="531"/>
    <n v="6"/>
    <n v="83.84"/>
    <x v="5"/>
    <x v="0"/>
  </r>
  <r>
    <n v="44356"/>
    <x v="248"/>
    <x v="3"/>
    <x v="1"/>
    <x v="8"/>
    <s v="Eldon Expressions Wood and Plastic Desk Accessories, Cherry Wood"/>
    <x v="532"/>
    <n v="7"/>
    <n v="14.17"/>
    <x v="5"/>
    <x v="0"/>
  </r>
  <r>
    <n v="44356"/>
    <x v="248"/>
    <x v="3"/>
    <x v="0"/>
    <x v="4"/>
    <s v="Newell 322"/>
    <x v="533"/>
    <n v="4"/>
    <n v="1.97"/>
    <x v="5"/>
    <x v="0"/>
  </r>
  <r>
    <n v="44356"/>
    <x v="248"/>
    <x v="3"/>
    <x v="2"/>
    <x v="6"/>
    <s v="Mitel 5320 IP Phone VoIP phone"/>
    <x v="534"/>
    <n v="6"/>
    <n v="90.72"/>
    <x v="5"/>
    <x v="0"/>
  </r>
  <r>
    <n v="44356"/>
    <x v="248"/>
    <x v="3"/>
    <x v="0"/>
    <x v="3"/>
    <s v="DXL Angle-View Binders with Locking Rings by Samsill"/>
    <x v="535"/>
    <n v="3"/>
    <n v="5.78"/>
    <x v="5"/>
    <x v="0"/>
  </r>
  <r>
    <n v="44356"/>
    <x v="248"/>
    <x v="3"/>
    <x v="0"/>
    <x v="12"/>
    <s v="Belkin F5C206VTEL 6 Outlet Surge"/>
    <x v="536"/>
    <n v="5"/>
    <n v="34.47"/>
    <x v="5"/>
    <x v="0"/>
  </r>
  <r>
    <n v="44356"/>
    <x v="248"/>
    <x v="3"/>
    <x v="1"/>
    <x v="13"/>
    <s v="Chromcraft Rectangular Conference Tables"/>
    <x v="537"/>
    <n v="9"/>
    <n v="85.31"/>
    <x v="5"/>
    <x v="0"/>
  </r>
  <r>
    <n v="44356"/>
    <x v="248"/>
    <x v="3"/>
    <x v="2"/>
    <x v="6"/>
    <s v="Konftel 250 ConferenceÂ phoneÂ - Charcoal black"/>
    <x v="538"/>
    <n v="4"/>
    <n v="68.36"/>
    <x v="5"/>
    <x v="0"/>
  </r>
  <r>
    <n v="44356"/>
    <x v="249"/>
    <x v="0"/>
    <x v="2"/>
    <x v="6"/>
    <s v="Square Credit Card Reader"/>
    <x v="539"/>
    <n v="1"/>
    <n v="0.6"/>
    <x v="5"/>
    <x v="0"/>
  </r>
  <r>
    <n v="44356"/>
    <x v="249"/>
    <x v="0"/>
    <x v="2"/>
    <x v="9"/>
    <s v="Logitech M510 Wireless Mouse"/>
    <x v="540"/>
    <n v="2"/>
    <n v="10.4"/>
    <x v="5"/>
    <x v="0"/>
  </r>
  <r>
    <n v="44356"/>
    <x v="249"/>
    <x v="0"/>
    <x v="0"/>
    <x v="4"/>
    <s v="Boston 1645 Deluxe Heavier-Duty Electric Pencil Sharpener"/>
    <x v="488"/>
    <n v="2"/>
    <n v="6.16"/>
    <x v="5"/>
    <x v="0"/>
  </r>
  <r>
    <n v="44356"/>
    <x v="250"/>
    <x v="3"/>
    <x v="0"/>
    <x v="14"/>
    <s v="Staple remover"/>
    <x v="541"/>
    <n v="2"/>
    <n v="0.15"/>
    <x v="5"/>
    <x v="0"/>
  </r>
  <r>
    <n v="44356"/>
    <x v="250"/>
    <x v="3"/>
    <x v="0"/>
    <x v="4"/>
    <s v="Deluxe Chalkboard Eraser Cleaner"/>
    <x v="542"/>
    <n v="2"/>
    <n v="10.63"/>
    <x v="5"/>
    <x v="0"/>
  </r>
  <r>
    <n v="44356"/>
    <x v="251"/>
    <x v="6"/>
    <x v="1"/>
    <x v="13"/>
    <s v="Bevis 44 x 96 Conference Tables"/>
    <x v="543"/>
    <n v="7"/>
    <n v="245.02"/>
    <x v="5"/>
    <x v="0"/>
  </r>
  <r>
    <n v="44356"/>
    <x v="93"/>
    <x v="17"/>
    <x v="0"/>
    <x v="4"/>
    <s v="DIXON Oriole Pencils"/>
    <x v="544"/>
    <n v="7"/>
    <n v="4.7"/>
    <x v="5"/>
    <x v="0"/>
  </r>
  <r>
    <n v="44356"/>
    <x v="93"/>
    <x v="17"/>
    <x v="0"/>
    <x v="0"/>
    <s v="Xerox 1909"/>
    <x v="545"/>
    <n v="3"/>
    <n v="36.4"/>
    <x v="5"/>
    <x v="0"/>
  </r>
  <r>
    <n v="44356"/>
    <x v="93"/>
    <x v="17"/>
    <x v="1"/>
    <x v="8"/>
    <s v="Executive Impressions 13-1/2&quot; Indoor/Outdoor Wall Clock"/>
    <x v="546"/>
    <n v="2"/>
    <n v="14.21"/>
    <x v="5"/>
    <x v="0"/>
  </r>
  <r>
    <n v="44357"/>
    <x v="252"/>
    <x v="14"/>
    <x v="0"/>
    <x v="1"/>
    <s v="Dot Matrix Printer Tape Reel Labels, White, 5000/Box"/>
    <x v="547"/>
    <n v="5"/>
    <n v="240.86"/>
    <x v="5"/>
    <x v="0"/>
  </r>
  <r>
    <n v="44360"/>
    <x v="76"/>
    <x v="3"/>
    <x v="0"/>
    <x v="4"/>
    <s v="Staples in misc. colors"/>
    <x v="548"/>
    <n v="3"/>
    <n v="4.79"/>
    <x v="5"/>
    <x v="0"/>
  </r>
  <r>
    <n v="44361"/>
    <x v="253"/>
    <x v="14"/>
    <x v="1"/>
    <x v="11"/>
    <s v="Hon Metal Bookcases, Gray"/>
    <x v="549"/>
    <n v="3"/>
    <n v="57.49"/>
    <x v="5"/>
    <x v="0"/>
  </r>
  <r>
    <n v="44362"/>
    <x v="254"/>
    <x v="0"/>
    <x v="1"/>
    <x v="13"/>
    <s v="Lesro Sheffield Collection Coffee Table, End Table, Center Table, Corner Table"/>
    <x v="380"/>
    <n v="2"/>
    <n v="-18.559999999999999"/>
    <x v="5"/>
    <x v="0"/>
  </r>
  <r>
    <n v="44362"/>
    <x v="254"/>
    <x v="0"/>
    <x v="1"/>
    <x v="5"/>
    <s v="Global Commerce Series High-Back Swivel/Tilt Chairs"/>
    <x v="550"/>
    <n v="4"/>
    <n v="-57"/>
    <x v="5"/>
    <x v="0"/>
  </r>
  <r>
    <n v="44362"/>
    <x v="254"/>
    <x v="0"/>
    <x v="0"/>
    <x v="3"/>
    <s v="Avery Premier Heavy-Duty Binder with Round Locking Rings"/>
    <x v="551"/>
    <n v="3"/>
    <n v="-14.57"/>
    <x v="5"/>
    <x v="0"/>
  </r>
  <r>
    <n v="44362"/>
    <x v="255"/>
    <x v="0"/>
    <x v="0"/>
    <x v="0"/>
    <s v="Xerox 1902"/>
    <x v="552"/>
    <n v="2"/>
    <n v="11.88"/>
    <x v="5"/>
    <x v="0"/>
  </r>
  <r>
    <n v="44363"/>
    <x v="256"/>
    <x v="18"/>
    <x v="1"/>
    <x v="5"/>
    <s v="Global Geo Office Task Chair, Gray"/>
    <x v="553"/>
    <n v="8"/>
    <n v="32.39"/>
    <x v="5"/>
    <x v="0"/>
  </r>
  <r>
    <n v="44363"/>
    <x v="74"/>
    <x v="20"/>
    <x v="0"/>
    <x v="10"/>
    <s v="Staple envelope"/>
    <x v="554"/>
    <n v="5"/>
    <n v="19.46"/>
    <x v="5"/>
    <x v="0"/>
  </r>
  <r>
    <n v="44363"/>
    <x v="74"/>
    <x v="20"/>
    <x v="0"/>
    <x v="4"/>
    <s v="Boston 16750 Black Compact Battery Pencil Sharpener"/>
    <x v="555"/>
    <n v="4"/>
    <n v="10.5"/>
    <x v="5"/>
    <x v="0"/>
  </r>
  <r>
    <n v="44363"/>
    <x v="74"/>
    <x v="20"/>
    <x v="0"/>
    <x v="3"/>
    <s v="Ibico Standard Transparent Covers"/>
    <x v="556"/>
    <n v="3"/>
    <n v="14.34"/>
    <x v="5"/>
    <x v="0"/>
  </r>
  <r>
    <n v="44364"/>
    <x v="257"/>
    <x v="7"/>
    <x v="2"/>
    <x v="15"/>
    <s v="Texas Instruments TI-34 Scientific Calculator"/>
    <x v="557"/>
    <n v="3"/>
    <n v="31.01"/>
    <x v="5"/>
    <x v="0"/>
  </r>
  <r>
    <n v="44364"/>
    <x v="258"/>
    <x v="22"/>
    <x v="1"/>
    <x v="8"/>
    <s v="Eldon Wave Desk Accessories"/>
    <x v="274"/>
    <n v="3"/>
    <n v="2.62"/>
    <x v="5"/>
    <x v="0"/>
  </r>
  <r>
    <n v="44364"/>
    <x v="258"/>
    <x v="22"/>
    <x v="0"/>
    <x v="7"/>
    <s v="OIC Binder Clips"/>
    <x v="558"/>
    <n v="5"/>
    <n v="8.9499999999999993"/>
    <x v="5"/>
    <x v="0"/>
  </r>
  <r>
    <n v="44364"/>
    <x v="258"/>
    <x v="22"/>
    <x v="0"/>
    <x v="3"/>
    <s v="GBC DocuBind P400 Electric Binding System"/>
    <x v="559"/>
    <n v="3"/>
    <n v="1061.57"/>
    <x v="5"/>
    <x v="0"/>
  </r>
  <r>
    <n v="44364"/>
    <x v="259"/>
    <x v="1"/>
    <x v="0"/>
    <x v="0"/>
    <s v="Xerox 1892"/>
    <x v="525"/>
    <n v="2"/>
    <n v="22.48"/>
    <x v="5"/>
    <x v="0"/>
  </r>
  <r>
    <n v="44365"/>
    <x v="260"/>
    <x v="3"/>
    <x v="2"/>
    <x v="6"/>
    <s v="Plantronics CordlessÂ Phone HeadsetÂ with In-line Volume - M214C"/>
    <x v="560"/>
    <n v="5"/>
    <n v="12.23"/>
    <x v="5"/>
    <x v="0"/>
  </r>
  <r>
    <n v="44367"/>
    <x v="66"/>
    <x v="0"/>
    <x v="2"/>
    <x v="6"/>
    <s v="HTC One Mini"/>
    <x v="472"/>
    <n v="2"/>
    <n v="20.16"/>
    <x v="5"/>
    <x v="0"/>
  </r>
  <r>
    <n v="44367"/>
    <x v="66"/>
    <x v="0"/>
    <x v="0"/>
    <x v="3"/>
    <s v="Storex DuraTech Recycled Plastic Frosted Binders"/>
    <x v="561"/>
    <n v="4"/>
    <n v="-5.09"/>
    <x v="5"/>
    <x v="0"/>
  </r>
  <r>
    <n v="44367"/>
    <x v="66"/>
    <x v="0"/>
    <x v="1"/>
    <x v="11"/>
    <s v="Hon Metal Bookcases, Black"/>
    <x v="562"/>
    <n v="4"/>
    <n v="-19.87"/>
    <x v="5"/>
    <x v="0"/>
  </r>
  <r>
    <n v="44367"/>
    <x v="66"/>
    <x v="0"/>
    <x v="0"/>
    <x v="0"/>
    <s v="Xerox 2"/>
    <x v="143"/>
    <n v="3"/>
    <n v="5.44"/>
    <x v="5"/>
    <x v="0"/>
  </r>
  <r>
    <n v="44367"/>
    <x v="66"/>
    <x v="0"/>
    <x v="0"/>
    <x v="0"/>
    <s v="Array Parchment Paper, Assorted Colors"/>
    <x v="563"/>
    <n v="2"/>
    <n v="4.08"/>
    <x v="5"/>
    <x v="0"/>
  </r>
  <r>
    <n v="44367"/>
    <x v="66"/>
    <x v="0"/>
    <x v="2"/>
    <x v="15"/>
    <s v="Okidata C331dn Printer"/>
    <x v="564"/>
    <n v="2"/>
    <n v="-97.72"/>
    <x v="5"/>
    <x v="0"/>
  </r>
  <r>
    <n v="44367"/>
    <x v="66"/>
    <x v="0"/>
    <x v="0"/>
    <x v="2"/>
    <s v="Safco Industrial Wire Shelving System"/>
    <x v="565"/>
    <n v="7"/>
    <n v="-127.37"/>
    <x v="5"/>
    <x v="0"/>
  </r>
  <r>
    <n v="44367"/>
    <x v="261"/>
    <x v="39"/>
    <x v="0"/>
    <x v="12"/>
    <s v="Honeywell Quietcare HEPA Air Cleaner"/>
    <x v="566"/>
    <n v="6"/>
    <n v="155.72999999999999"/>
    <x v="5"/>
    <x v="0"/>
  </r>
  <r>
    <n v="44367"/>
    <x v="261"/>
    <x v="39"/>
    <x v="0"/>
    <x v="4"/>
    <s v="Nontoxic Chalk"/>
    <x v="567"/>
    <n v="2"/>
    <n v="1.69"/>
    <x v="5"/>
    <x v="0"/>
  </r>
  <r>
    <n v="44368"/>
    <x v="201"/>
    <x v="6"/>
    <x v="1"/>
    <x v="8"/>
    <s v="Luxo Professional Magnifying Clamp-On Fluorescent Lamps"/>
    <x v="568"/>
    <n v="1"/>
    <n v="14.56"/>
    <x v="5"/>
    <x v="0"/>
  </r>
  <r>
    <n v="44368"/>
    <x v="201"/>
    <x v="6"/>
    <x v="2"/>
    <x v="6"/>
    <s v="Konftel 250 ConferenceÂ phoneÂ - Charcoal black"/>
    <x v="569"/>
    <n v="1"/>
    <n v="74.05"/>
    <x v="5"/>
    <x v="0"/>
  </r>
  <r>
    <n v="44368"/>
    <x v="201"/>
    <x v="6"/>
    <x v="0"/>
    <x v="2"/>
    <s v="Recycled Eldon Regeneration Jumbo File"/>
    <x v="570"/>
    <n v="3"/>
    <n v="10.32"/>
    <x v="5"/>
    <x v="0"/>
  </r>
  <r>
    <n v="44368"/>
    <x v="56"/>
    <x v="23"/>
    <x v="2"/>
    <x v="6"/>
    <s v="Wireless Extenders zBoost YX545 SOHO Signal Booster"/>
    <x v="571"/>
    <n v="7"/>
    <n v="357.19"/>
    <x v="5"/>
    <x v="0"/>
  </r>
  <r>
    <n v="44368"/>
    <x v="56"/>
    <x v="23"/>
    <x v="0"/>
    <x v="4"/>
    <s v="OIC #2 Pencils, Medium Soft"/>
    <x v="572"/>
    <n v="2"/>
    <n v="1.0900000000000001"/>
    <x v="5"/>
    <x v="0"/>
  </r>
  <r>
    <n v="44368"/>
    <x v="195"/>
    <x v="37"/>
    <x v="0"/>
    <x v="4"/>
    <s v="Newell 341"/>
    <x v="369"/>
    <n v="5"/>
    <n v="6.21"/>
    <x v="5"/>
    <x v="0"/>
  </r>
  <r>
    <n v="44368"/>
    <x v="149"/>
    <x v="26"/>
    <x v="0"/>
    <x v="3"/>
    <s v="Wilson Jones 1&quot; Hanging DublLock Ring Binders"/>
    <x v="573"/>
    <n v="7"/>
    <n v="-8.1300000000000008"/>
    <x v="5"/>
    <x v="0"/>
  </r>
  <r>
    <n v="44368"/>
    <x v="149"/>
    <x v="26"/>
    <x v="0"/>
    <x v="3"/>
    <s v="Avery Trapezoid Extra Heavy Duty 4&quot; Binders"/>
    <x v="111"/>
    <n v="2"/>
    <n v="-16.78"/>
    <x v="5"/>
    <x v="0"/>
  </r>
  <r>
    <n v="44368"/>
    <x v="262"/>
    <x v="2"/>
    <x v="0"/>
    <x v="10"/>
    <s v="Staple envelope"/>
    <x v="236"/>
    <n v="4"/>
    <n v="8.4"/>
    <x v="5"/>
    <x v="0"/>
  </r>
  <r>
    <n v="44368"/>
    <x v="262"/>
    <x v="2"/>
    <x v="1"/>
    <x v="8"/>
    <s v="Stacking Trays by OIC"/>
    <x v="444"/>
    <n v="1"/>
    <n v="0.65"/>
    <x v="5"/>
    <x v="0"/>
  </r>
  <r>
    <n v="44368"/>
    <x v="262"/>
    <x v="2"/>
    <x v="2"/>
    <x v="9"/>
    <s v="Logitech 910-002974 M325 Wireless Mouse for Web Scrolling"/>
    <x v="574"/>
    <n v="4"/>
    <n v="28.79"/>
    <x v="5"/>
    <x v="0"/>
  </r>
  <r>
    <n v="44368"/>
    <x v="262"/>
    <x v="2"/>
    <x v="2"/>
    <x v="15"/>
    <s v="Epson Perfection V600 Photo Scanner"/>
    <x v="575"/>
    <n v="3"/>
    <n v="-172.49"/>
    <x v="5"/>
    <x v="0"/>
  </r>
  <r>
    <n v="44368"/>
    <x v="262"/>
    <x v="2"/>
    <x v="0"/>
    <x v="12"/>
    <s v="Fellowes Advanced 8 Outlet Surge Suppressor with Phone/Fax Protection"/>
    <x v="576"/>
    <n v="2"/>
    <n v="3.89"/>
    <x v="5"/>
    <x v="0"/>
  </r>
  <r>
    <n v="44368"/>
    <x v="262"/>
    <x v="2"/>
    <x v="0"/>
    <x v="3"/>
    <s v="GBC Prepunched Paper, 19-Hole, for Binding Systems, 24-lb"/>
    <x v="577"/>
    <n v="2"/>
    <n v="-7.2"/>
    <x v="5"/>
    <x v="0"/>
  </r>
  <r>
    <n v="44368"/>
    <x v="263"/>
    <x v="20"/>
    <x v="0"/>
    <x v="0"/>
    <s v="Message Book, Phone, Wirebound Standard Line Memo, 2 3/4&quot; X 5&quot;"/>
    <x v="578"/>
    <n v="3"/>
    <n v="9.0399999999999991"/>
    <x v="5"/>
    <x v="0"/>
  </r>
  <r>
    <n v="44368"/>
    <x v="263"/>
    <x v="20"/>
    <x v="2"/>
    <x v="6"/>
    <s v="GE 2-Jack Phone Line Splitter"/>
    <x v="453"/>
    <n v="3"/>
    <n v="160.66999999999999"/>
    <x v="5"/>
    <x v="0"/>
  </r>
  <r>
    <n v="44368"/>
    <x v="263"/>
    <x v="20"/>
    <x v="0"/>
    <x v="12"/>
    <s v="Holmes Cool Mist Humidifier for the Whole House with 8-Gallon Output per Day, Extended Life Filter"/>
    <x v="579"/>
    <n v="3"/>
    <n v="26.87"/>
    <x v="5"/>
    <x v="0"/>
  </r>
  <r>
    <n v="44368"/>
    <x v="229"/>
    <x v="20"/>
    <x v="2"/>
    <x v="6"/>
    <s v="Polycom SoundStation2 EX ConferenceÂ phone"/>
    <x v="580"/>
    <n v="3"/>
    <n v="352.31"/>
    <x v="5"/>
    <x v="0"/>
  </r>
  <r>
    <n v="44369"/>
    <x v="264"/>
    <x v="26"/>
    <x v="2"/>
    <x v="9"/>
    <s v="KeyTronicÂ 6101 Series -Â KeyboardÂ - Black"/>
    <x v="581"/>
    <n v="6"/>
    <n v="56.57"/>
    <x v="5"/>
    <x v="0"/>
  </r>
  <r>
    <n v="44369"/>
    <x v="265"/>
    <x v="28"/>
    <x v="0"/>
    <x v="2"/>
    <s v="Office Impressions Heavy Duty Welded Shelving &amp; Multimedia Storage Drawers"/>
    <x v="582"/>
    <n v="3"/>
    <n v="0"/>
    <x v="5"/>
    <x v="0"/>
  </r>
  <r>
    <n v="44369"/>
    <x v="265"/>
    <x v="28"/>
    <x v="0"/>
    <x v="2"/>
    <s v="Fellowes Bankers Box Recycled Super Stor/Drawer"/>
    <x v="583"/>
    <n v="3"/>
    <n v="9.7200000000000006"/>
    <x v="5"/>
    <x v="0"/>
  </r>
  <r>
    <n v="44369"/>
    <x v="266"/>
    <x v="2"/>
    <x v="1"/>
    <x v="5"/>
    <s v="Padded Folding Chairs, Black, 4/Carton"/>
    <x v="584"/>
    <n v="3"/>
    <n v="-4.8600000000000003"/>
    <x v="5"/>
    <x v="0"/>
  </r>
  <r>
    <n v="44369"/>
    <x v="266"/>
    <x v="2"/>
    <x v="2"/>
    <x v="6"/>
    <s v="Panasonic Kx-TS550"/>
    <x v="585"/>
    <n v="3"/>
    <n v="-15.18"/>
    <x v="5"/>
    <x v="0"/>
  </r>
  <r>
    <n v="44369"/>
    <x v="266"/>
    <x v="2"/>
    <x v="1"/>
    <x v="5"/>
    <s v="Hon Deluxe Fabric Upholstered Stacking Chairs, Rounded Back"/>
    <x v="586"/>
    <n v="5"/>
    <n v="0"/>
    <x v="5"/>
    <x v="0"/>
  </r>
  <r>
    <n v="44369"/>
    <x v="263"/>
    <x v="12"/>
    <x v="0"/>
    <x v="3"/>
    <s v="SpineVue Locking Slant-D Ring Binders by Cardinal"/>
    <x v="587"/>
    <n v="3"/>
    <n v="-6.03"/>
    <x v="5"/>
    <x v="0"/>
  </r>
  <r>
    <n v="44370"/>
    <x v="267"/>
    <x v="2"/>
    <x v="2"/>
    <x v="9"/>
    <s v="Sony 64GB Class 10 Micro SDHC R40 Memory Card"/>
    <x v="588"/>
    <n v="3"/>
    <n v="1.08"/>
    <x v="5"/>
    <x v="0"/>
  </r>
  <r>
    <n v="44370"/>
    <x v="268"/>
    <x v="25"/>
    <x v="0"/>
    <x v="4"/>
    <s v="Prang Drawing Pencil Set"/>
    <x v="215"/>
    <n v="9"/>
    <n v="1.75"/>
    <x v="5"/>
    <x v="0"/>
  </r>
  <r>
    <n v="44370"/>
    <x v="268"/>
    <x v="25"/>
    <x v="0"/>
    <x v="14"/>
    <s v="Acme Kleen Earth Office Shears"/>
    <x v="589"/>
    <n v="1"/>
    <n v="0.35"/>
    <x v="5"/>
    <x v="0"/>
  </r>
  <r>
    <n v="44371"/>
    <x v="269"/>
    <x v="12"/>
    <x v="1"/>
    <x v="8"/>
    <s v="Acrylic Self-Standing Desk Frames"/>
    <x v="590"/>
    <n v="2"/>
    <n v="0.96"/>
    <x v="5"/>
    <x v="0"/>
  </r>
  <r>
    <n v="44372"/>
    <x v="270"/>
    <x v="3"/>
    <x v="1"/>
    <x v="13"/>
    <s v="Hon 4060 Series Tables"/>
    <x v="591"/>
    <n v="5"/>
    <n v="11.2"/>
    <x v="5"/>
    <x v="0"/>
  </r>
  <r>
    <n v="44372"/>
    <x v="271"/>
    <x v="11"/>
    <x v="2"/>
    <x v="6"/>
    <s v="Plantronics 81402"/>
    <x v="592"/>
    <n v="5"/>
    <n v="19.8"/>
    <x v="5"/>
    <x v="0"/>
  </r>
  <r>
    <n v="44372"/>
    <x v="271"/>
    <x v="11"/>
    <x v="0"/>
    <x v="4"/>
    <s v="Avery Hi-Liter EverBold Pen Style Fluorescent Highlighters, 4/Pack"/>
    <x v="593"/>
    <n v="11"/>
    <n v="17.91"/>
    <x v="5"/>
    <x v="0"/>
  </r>
  <r>
    <n v="44372"/>
    <x v="271"/>
    <x v="11"/>
    <x v="0"/>
    <x v="4"/>
    <s v="Hunt BOSTON Vista Battery-Operated Pencil Sharpener, Black"/>
    <x v="594"/>
    <n v="1"/>
    <n v="0.82"/>
    <x v="5"/>
    <x v="0"/>
  </r>
  <r>
    <n v="44374"/>
    <x v="272"/>
    <x v="29"/>
    <x v="0"/>
    <x v="2"/>
    <s v="SAFCO Commercial Wire Shelving, 72h"/>
    <x v="595"/>
    <n v="5"/>
    <n v="0"/>
    <x v="5"/>
    <x v="0"/>
  </r>
  <r>
    <n v="44374"/>
    <x v="272"/>
    <x v="29"/>
    <x v="1"/>
    <x v="13"/>
    <s v="KI Adjustable-Height Table"/>
    <x v="596"/>
    <n v="1"/>
    <n v="22.35"/>
    <x v="5"/>
    <x v="0"/>
  </r>
  <r>
    <n v="44374"/>
    <x v="272"/>
    <x v="29"/>
    <x v="2"/>
    <x v="9"/>
    <s v="Sony Micro Vault Click 16 GB USB 2.0 Flash Drive"/>
    <x v="597"/>
    <n v="4"/>
    <n v="53.75"/>
    <x v="5"/>
    <x v="0"/>
  </r>
  <r>
    <n v="44375"/>
    <x v="273"/>
    <x v="2"/>
    <x v="0"/>
    <x v="0"/>
    <s v="Xerox 1995"/>
    <x v="598"/>
    <n v="8"/>
    <n v="14.52"/>
    <x v="5"/>
    <x v="0"/>
  </r>
  <r>
    <n v="44375"/>
    <x v="273"/>
    <x v="2"/>
    <x v="0"/>
    <x v="3"/>
    <s v="Self-Adhesive Ring Binder Labels"/>
    <x v="599"/>
    <n v="3"/>
    <n v="-2.4300000000000002"/>
    <x v="5"/>
    <x v="0"/>
  </r>
  <r>
    <n v="44375"/>
    <x v="273"/>
    <x v="2"/>
    <x v="1"/>
    <x v="5"/>
    <s v="Global Leather Executive Chair"/>
    <x v="600"/>
    <n v="5"/>
    <n v="0"/>
    <x v="5"/>
    <x v="0"/>
  </r>
  <r>
    <n v="44375"/>
    <x v="273"/>
    <x v="2"/>
    <x v="0"/>
    <x v="3"/>
    <s v="GBC Recycled Grain Textured Covers"/>
    <x v="601"/>
    <n v="3"/>
    <n v="-22.8"/>
    <x v="5"/>
    <x v="0"/>
  </r>
  <r>
    <n v="44375"/>
    <x v="273"/>
    <x v="2"/>
    <x v="0"/>
    <x v="0"/>
    <s v="Xerox 1941"/>
    <x v="602"/>
    <n v="4"/>
    <n v="117.43"/>
    <x v="5"/>
    <x v="0"/>
  </r>
  <r>
    <n v="44375"/>
    <x v="274"/>
    <x v="14"/>
    <x v="0"/>
    <x v="7"/>
    <s v="Staples"/>
    <x v="603"/>
    <n v="1"/>
    <n v="3.04"/>
    <x v="5"/>
    <x v="0"/>
  </r>
  <r>
    <n v="44376"/>
    <x v="275"/>
    <x v="10"/>
    <x v="0"/>
    <x v="4"/>
    <s v="Dixon My First Ticonderoga Pencil, #2"/>
    <x v="604"/>
    <n v="7"/>
    <n v="3.69"/>
    <x v="5"/>
    <x v="0"/>
  </r>
  <r>
    <n v="44376"/>
    <x v="232"/>
    <x v="20"/>
    <x v="0"/>
    <x v="3"/>
    <s v="Wilson Jones Clip &amp; Carry Folder Binder Tool for Ring Binders, Clear"/>
    <x v="605"/>
    <n v="3"/>
    <n v="4.87"/>
    <x v="5"/>
    <x v="0"/>
  </r>
  <r>
    <n v="44377"/>
    <x v="276"/>
    <x v="20"/>
    <x v="0"/>
    <x v="3"/>
    <s v="GBC Recycled Regency Composition Covers"/>
    <x v="606"/>
    <n v="7"/>
    <n v="108.8"/>
    <x v="5"/>
    <x v="0"/>
  </r>
  <r>
    <n v="44377"/>
    <x v="277"/>
    <x v="1"/>
    <x v="0"/>
    <x v="4"/>
    <s v="BIC Brite Liner Grip Highlighters"/>
    <x v="607"/>
    <n v="4"/>
    <n v="1.64"/>
    <x v="5"/>
    <x v="0"/>
  </r>
  <r>
    <n v="44377"/>
    <x v="278"/>
    <x v="3"/>
    <x v="0"/>
    <x v="4"/>
    <s v="BIC Brite Liner Highlighters, Chisel Tip"/>
    <x v="331"/>
    <n v="5"/>
    <n v="10.37"/>
    <x v="5"/>
    <x v="0"/>
  </r>
  <r>
    <n v="44377"/>
    <x v="279"/>
    <x v="0"/>
    <x v="0"/>
    <x v="0"/>
    <s v="Xerox 225"/>
    <x v="499"/>
    <n v="5"/>
    <n v="9.07"/>
    <x v="5"/>
    <x v="0"/>
  </r>
  <r>
    <n v="44377"/>
    <x v="279"/>
    <x v="0"/>
    <x v="0"/>
    <x v="7"/>
    <s v="Staples"/>
    <x v="608"/>
    <n v="6"/>
    <n v="7.19"/>
    <x v="5"/>
    <x v="0"/>
  </r>
  <r>
    <n v="44377"/>
    <x v="178"/>
    <x v="20"/>
    <x v="0"/>
    <x v="3"/>
    <s v="Cardinal Poly Pocket Divider Pockets for Ring Binders"/>
    <x v="345"/>
    <n v="1"/>
    <n v="0.84"/>
    <x v="5"/>
    <x v="0"/>
  </r>
  <r>
    <n v="44377"/>
    <x v="178"/>
    <x v="20"/>
    <x v="0"/>
    <x v="4"/>
    <s v="Sanford Uni-Blazer View Highlighters, Chisel Tip, Yellow"/>
    <x v="609"/>
    <n v="3"/>
    <n v="2.9"/>
    <x v="5"/>
    <x v="0"/>
  </r>
  <r>
    <n v="44377"/>
    <x v="280"/>
    <x v="25"/>
    <x v="0"/>
    <x v="0"/>
    <s v="Xerox 1913"/>
    <x v="610"/>
    <n v="7"/>
    <n v="108.74"/>
    <x v="5"/>
    <x v="0"/>
  </r>
  <r>
    <n v="44378"/>
    <x v="112"/>
    <x v="22"/>
    <x v="0"/>
    <x v="3"/>
    <s v="Cardinal Holdit Business Card Pockets"/>
    <x v="611"/>
    <n v="5"/>
    <n v="6.97"/>
    <x v="6"/>
    <x v="0"/>
  </r>
  <r>
    <n v="44378"/>
    <x v="230"/>
    <x v="16"/>
    <x v="2"/>
    <x v="6"/>
    <s v="Wilson SignalBoost 841262 DB PRO Amplifier Kit"/>
    <x v="612"/>
    <n v="2"/>
    <n v="71.989999999999995"/>
    <x v="6"/>
    <x v="0"/>
  </r>
  <r>
    <n v="44378"/>
    <x v="230"/>
    <x v="16"/>
    <x v="0"/>
    <x v="3"/>
    <s v="Avery Durable Binders"/>
    <x v="193"/>
    <n v="6"/>
    <n v="-3.63"/>
    <x v="6"/>
    <x v="0"/>
  </r>
  <r>
    <n v="44379"/>
    <x v="281"/>
    <x v="23"/>
    <x v="2"/>
    <x v="6"/>
    <s v="Logitech B530 USBÂ HeadsetÂ -Â headsetÂ - Full size, Binaural"/>
    <x v="613"/>
    <n v="2"/>
    <n v="19.97"/>
    <x v="6"/>
    <x v="0"/>
  </r>
  <r>
    <n v="44379"/>
    <x v="281"/>
    <x v="23"/>
    <x v="0"/>
    <x v="4"/>
    <s v="DIXON Ticonderoga Erasable Checking Pencils"/>
    <x v="614"/>
    <n v="1"/>
    <n v="2.1800000000000002"/>
    <x v="6"/>
    <x v="0"/>
  </r>
  <r>
    <n v="44381"/>
    <x v="124"/>
    <x v="26"/>
    <x v="0"/>
    <x v="0"/>
    <s v="Xerox 194"/>
    <x v="615"/>
    <n v="4"/>
    <n v="62.14"/>
    <x v="6"/>
    <x v="0"/>
  </r>
  <r>
    <n v="44381"/>
    <x v="124"/>
    <x v="26"/>
    <x v="0"/>
    <x v="12"/>
    <s v="Fellowes Mighty 8 Compact Surge Protector"/>
    <x v="616"/>
    <n v="2"/>
    <n v="3.24"/>
    <x v="6"/>
    <x v="0"/>
  </r>
  <r>
    <n v="44381"/>
    <x v="282"/>
    <x v="6"/>
    <x v="0"/>
    <x v="0"/>
    <s v="Southworth Structures Collection"/>
    <x v="617"/>
    <n v="3"/>
    <n v="10.92"/>
    <x v="6"/>
    <x v="0"/>
  </r>
  <r>
    <n v="44381"/>
    <x v="282"/>
    <x v="6"/>
    <x v="0"/>
    <x v="3"/>
    <s v="Zipper Ring Binder Pockets"/>
    <x v="618"/>
    <n v="5"/>
    <n v="7.64"/>
    <x v="6"/>
    <x v="0"/>
  </r>
  <r>
    <n v="44382"/>
    <x v="283"/>
    <x v="29"/>
    <x v="2"/>
    <x v="9"/>
    <s v="NETGEAR AC1750 Dual Band GigabitÂ Smart WiFi Router"/>
    <x v="145"/>
    <n v="3"/>
    <n v="163.19"/>
    <x v="6"/>
    <x v="0"/>
  </r>
  <r>
    <n v="44382"/>
    <x v="283"/>
    <x v="29"/>
    <x v="0"/>
    <x v="1"/>
    <s v="Avery 516"/>
    <x v="471"/>
    <n v="2"/>
    <n v="6.87"/>
    <x v="6"/>
    <x v="0"/>
  </r>
  <r>
    <n v="44382"/>
    <x v="283"/>
    <x v="29"/>
    <x v="0"/>
    <x v="0"/>
    <s v="Xerox 1995"/>
    <x v="5"/>
    <n v="3"/>
    <n v="9.33"/>
    <x v="6"/>
    <x v="0"/>
  </r>
  <r>
    <n v="44382"/>
    <x v="284"/>
    <x v="0"/>
    <x v="0"/>
    <x v="2"/>
    <s v="Gould Plastics 18-Pocket Panel Bin, 34w x 5-1/4d x 20-1/2h"/>
    <x v="619"/>
    <n v="3"/>
    <n v="-44.16"/>
    <x v="6"/>
    <x v="0"/>
  </r>
  <r>
    <n v="44382"/>
    <x v="284"/>
    <x v="0"/>
    <x v="0"/>
    <x v="2"/>
    <s v="Fellowes Bankers Box Stor/Drawer Steel Plus"/>
    <x v="620"/>
    <n v="11"/>
    <n v="-35.18"/>
    <x v="6"/>
    <x v="0"/>
  </r>
  <r>
    <n v="44382"/>
    <x v="285"/>
    <x v="3"/>
    <x v="0"/>
    <x v="3"/>
    <s v="Vinyl Sectional Post Binders"/>
    <x v="81"/>
    <n v="6"/>
    <n v="67.86"/>
    <x v="6"/>
    <x v="0"/>
  </r>
  <r>
    <n v="44382"/>
    <x v="17"/>
    <x v="15"/>
    <x v="0"/>
    <x v="4"/>
    <s v="Newell 322"/>
    <x v="621"/>
    <n v="3"/>
    <n v="0.38"/>
    <x v="6"/>
    <x v="0"/>
  </r>
  <r>
    <n v="44382"/>
    <x v="286"/>
    <x v="16"/>
    <x v="1"/>
    <x v="8"/>
    <s v="Advantus Panel Wall Certificate Holder - 8.5x11"/>
    <x v="622"/>
    <n v="2"/>
    <n v="5.37"/>
    <x v="6"/>
    <x v="0"/>
  </r>
  <r>
    <n v="44382"/>
    <x v="286"/>
    <x v="16"/>
    <x v="0"/>
    <x v="3"/>
    <s v="Wilson Jones Four-Pocket Poly Binders"/>
    <x v="623"/>
    <n v="5"/>
    <n v="-6.87"/>
    <x v="6"/>
    <x v="0"/>
  </r>
  <r>
    <n v="44382"/>
    <x v="286"/>
    <x v="16"/>
    <x v="1"/>
    <x v="8"/>
    <s v="Luxo Adjustable Task Clamp Lamp"/>
    <x v="624"/>
    <n v="3"/>
    <n v="15.99"/>
    <x v="6"/>
    <x v="0"/>
  </r>
  <r>
    <n v="44383"/>
    <x v="287"/>
    <x v="20"/>
    <x v="2"/>
    <x v="16"/>
    <s v="Canon Imageclass D680 Copier / Fax"/>
    <x v="625"/>
    <n v="1"/>
    <n v="175"/>
    <x v="6"/>
    <x v="0"/>
  </r>
  <r>
    <n v="44383"/>
    <x v="288"/>
    <x v="3"/>
    <x v="1"/>
    <x v="5"/>
    <s v="Global Comet Stacking Armless Chair"/>
    <x v="626"/>
    <n v="2"/>
    <n v="47.85"/>
    <x v="6"/>
    <x v="0"/>
  </r>
  <r>
    <n v="44384"/>
    <x v="154"/>
    <x v="2"/>
    <x v="1"/>
    <x v="5"/>
    <s v="Global High-Back Leather Tilter, Burgundy"/>
    <x v="627"/>
    <n v="2"/>
    <n v="-46.74"/>
    <x v="6"/>
    <x v="0"/>
  </r>
  <r>
    <n v="44384"/>
    <x v="154"/>
    <x v="2"/>
    <x v="1"/>
    <x v="8"/>
    <s v="Howard Miller 11-1/2&quot; Diameter Grantwood Wall Clock"/>
    <x v="628"/>
    <n v="2"/>
    <n v="12.08"/>
    <x v="6"/>
    <x v="0"/>
  </r>
  <r>
    <n v="44385"/>
    <x v="289"/>
    <x v="20"/>
    <x v="1"/>
    <x v="5"/>
    <s v="Situations Contoured Folding Chairs, 4/Set"/>
    <x v="629"/>
    <n v="1"/>
    <n v="10.65"/>
    <x v="6"/>
    <x v="0"/>
  </r>
  <r>
    <n v="44385"/>
    <x v="290"/>
    <x v="3"/>
    <x v="1"/>
    <x v="13"/>
    <s v="Hon 2111 Invitation Series Corner Table"/>
    <x v="630"/>
    <n v="3"/>
    <n v="-87.94"/>
    <x v="6"/>
    <x v="0"/>
  </r>
  <r>
    <n v="44385"/>
    <x v="290"/>
    <x v="3"/>
    <x v="0"/>
    <x v="3"/>
    <s v="Wilson Jones Ledger-Size, Piano-Hinge Binder, 2&quot;, Blue"/>
    <x v="631"/>
    <n v="6"/>
    <n v="68.849999999999994"/>
    <x v="6"/>
    <x v="0"/>
  </r>
  <r>
    <n v="44386"/>
    <x v="291"/>
    <x v="0"/>
    <x v="0"/>
    <x v="0"/>
    <s v="Eureka Recycled Copy Paper 8 1/2&quot; x 11&quot;, Ream"/>
    <x v="320"/>
    <n v="2"/>
    <n v="3.63"/>
    <x v="6"/>
    <x v="0"/>
  </r>
  <r>
    <n v="44386"/>
    <x v="291"/>
    <x v="0"/>
    <x v="0"/>
    <x v="0"/>
    <s v="Xerox 1895"/>
    <x v="632"/>
    <n v="3"/>
    <n v="4.49"/>
    <x v="6"/>
    <x v="0"/>
  </r>
  <r>
    <n v="44386"/>
    <x v="292"/>
    <x v="3"/>
    <x v="0"/>
    <x v="1"/>
    <s v="Avery 49"/>
    <x v="633"/>
    <n v="1"/>
    <n v="1.41"/>
    <x v="6"/>
    <x v="0"/>
  </r>
  <r>
    <n v="44386"/>
    <x v="292"/>
    <x v="3"/>
    <x v="0"/>
    <x v="3"/>
    <s v="Wilson Jones Leather-Like Binders with DublLock Round Rings"/>
    <x v="634"/>
    <n v="6"/>
    <n v="14.14"/>
    <x v="6"/>
    <x v="0"/>
  </r>
  <r>
    <n v="44386"/>
    <x v="292"/>
    <x v="3"/>
    <x v="0"/>
    <x v="2"/>
    <s v="Perma STOR-ALL Hanging File Box, 13 1/8&quot;W x 12 1/4&quot;D x 10 1/2&quot;H"/>
    <x v="635"/>
    <n v="4"/>
    <n v="4.07"/>
    <x v="6"/>
    <x v="0"/>
  </r>
  <r>
    <n v="44386"/>
    <x v="293"/>
    <x v="3"/>
    <x v="0"/>
    <x v="3"/>
    <s v="Avery Hidden Tab Dividers for Binding Systems"/>
    <x v="636"/>
    <n v="6"/>
    <n v="4.6500000000000004"/>
    <x v="6"/>
    <x v="0"/>
  </r>
  <r>
    <n v="44386"/>
    <x v="293"/>
    <x v="3"/>
    <x v="1"/>
    <x v="11"/>
    <s v="Bush Heritage Pine Collection 5-Shelf Bookcase, Albany Pine Finish, *Special Order"/>
    <x v="637"/>
    <n v="1"/>
    <n v="7.05"/>
    <x v="6"/>
    <x v="0"/>
  </r>
  <r>
    <n v="44386"/>
    <x v="293"/>
    <x v="3"/>
    <x v="0"/>
    <x v="4"/>
    <s v="Prang Drawing Pencil Set"/>
    <x v="638"/>
    <n v="2"/>
    <n v="2.2200000000000002"/>
    <x v="6"/>
    <x v="0"/>
  </r>
  <r>
    <n v="44386"/>
    <x v="293"/>
    <x v="3"/>
    <x v="0"/>
    <x v="0"/>
    <s v="Xerox 1967"/>
    <x v="331"/>
    <n v="5"/>
    <n v="15.55"/>
    <x v="6"/>
    <x v="0"/>
  </r>
  <r>
    <n v="44388"/>
    <x v="174"/>
    <x v="23"/>
    <x v="0"/>
    <x v="0"/>
    <s v="Easy-staple paper"/>
    <x v="639"/>
    <n v="5"/>
    <n v="83.28"/>
    <x v="6"/>
    <x v="0"/>
  </r>
  <r>
    <n v="44388"/>
    <x v="174"/>
    <x v="23"/>
    <x v="2"/>
    <x v="6"/>
    <s v="Cisco SPA508G"/>
    <x v="640"/>
    <n v="3"/>
    <n v="57.41"/>
    <x v="6"/>
    <x v="0"/>
  </r>
  <r>
    <n v="44388"/>
    <x v="174"/>
    <x v="23"/>
    <x v="1"/>
    <x v="5"/>
    <s v="Global Commerce Series High-Back Swivel/Tilt Chairs"/>
    <x v="641"/>
    <n v="3"/>
    <n v="213.74"/>
    <x v="6"/>
    <x v="0"/>
  </r>
  <r>
    <n v="44388"/>
    <x v="174"/>
    <x v="23"/>
    <x v="1"/>
    <x v="8"/>
    <s v="9-3/4 Diameter Round Wall Clock"/>
    <x v="642"/>
    <n v="9"/>
    <n v="52.13"/>
    <x v="6"/>
    <x v="0"/>
  </r>
  <r>
    <n v="44388"/>
    <x v="174"/>
    <x v="23"/>
    <x v="0"/>
    <x v="1"/>
    <s v="Avery 514"/>
    <x v="221"/>
    <n v="5"/>
    <n v="7.06"/>
    <x v="6"/>
    <x v="0"/>
  </r>
  <r>
    <n v="44388"/>
    <x v="46"/>
    <x v="0"/>
    <x v="2"/>
    <x v="6"/>
    <s v="Polycom VVX 310 VoIP phone"/>
    <x v="643"/>
    <n v="4"/>
    <n v="43.2"/>
    <x v="6"/>
    <x v="0"/>
  </r>
  <r>
    <n v="44388"/>
    <x v="46"/>
    <x v="0"/>
    <x v="0"/>
    <x v="0"/>
    <s v="Xerox 200"/>
    <x v="320"/>
    <n v="2"/>
    <n v="3.63"/>
    <x v="6"/>
    <x v="0"/>
  </r>
  <r>
    <n v="44388"/>
    <x v="294"/>
    <x v="20"/>
    <x v="0"/>
    <x v="0"/>
    <s v="Xerox 1881"/>
    <x v="644"/>
    <n v="4"/>
    <n v="23.09"/>
    <x v="6"/>
    <x v="0"/>
  </r>
  <r>
    <n v="44388"/>
    <x v="294"/>
    <x v="20"/>
    <x v="0"/>
    <x v="3"/>
    <s v="Newell 3-Hole Punched Plastic Slotted Magazine Holders for Binders"/>
    <x v="645"/>
    <n v="5"/>
    <n v="6.4"/>
    <x v="6"/>
    <x v="0"/>
  </r>
  <r>
    <n v="44388"/>
    <x v="295"/>
    <x v="20"/>
    <x v="2"/>
    <x v="6"/>
    <s v="Cisco SPA112 2 Port Phone Adapter"/>
    <x v="646"/>
    <n v="3"/>
    <n v="47.81"/>
    <x v="6"/>
    <x v="0"/>
  </r>
  <r>
    <n v="44389"/>
    <x v="296"/>
    <x v="3"/>
    <x v="0"/>
    <x v="3"/>
    <s v="Tuff Stuff Recycled Round Ring Binders"/>
    <x v="647"/>
    <n v="2"/>
    <n v="2.8"/>
    <x v="6"/>
    <x v="0"/>
  </r>
  <r>
    <n v="44389"/>
    <x v="296"/>
    <x v="3"/>
    <x v="1"/>
    <x v="13"/>
    <s v="Hon 5100 Series Wood Tables"/>
    <x v="648"/>
    <n v="3"/>
    <n v="-17.46"/>
    <x v="6"/>
    <x v="0"/>
  </r>
  <r>
    <n v="44389"/>
    <x v="151"/>
    <x v="3"/>
    <x v="0"/>
    <x v="2"/>
    <s v="Fellowes Super Stor/Drawer"/>
    <x v="649"/>
    <n v="9"/>
    <n v="44.96"/>
    <x v="6"/>
    <x v="0"/>
  </r>
  <r>
    <n v="44389"/>
    <x v="151"/>
    <x v="3"/>
    <x v="2"/>
    <x v="6"/>
    <s v="GE DSL Phone Line Filter"/>
    <x v="650"/>
    <n v="8"/>
    <n v="28.79"/>
    <x v="6"/>
    <x v="0"/>
  </r>
  <r>
    <n v="44389"/>
    <x v="68"/>
    <x v="22"/>
    <x v="1"/>
    <x v="5"/>
    <s v="Safco Chair Connectors, 6/Carton"/>
    <x v="651"/>
    <n v="4"/>
    <n v="13.85"/>
    <x v="6"/>
    <x v="0"/>
  </r>
  <r>
    <n v="44389"/>
    <x v="68"/>
    <x v="22"/>
    <x v="0"/>
    <x v="3"/>
    <s v="Self-Adhesive Ring Binder Labels"/>
    <x v="652"/>
    <n v="4"/>
    <n v="3.8"/>
    <x v="6"/>
    <x v="0"/>
  </r>
  <r>
    <n v="44389"/>
    <x v="297"/>
    <x v="1"/>
    <x v="0"/>
    <x v="0"/>
    <s v="Xerox 1949"/>
    <x v="653"/>
    <n v="9"/>
    <n v="13"/>
    <x v="6"/>
    <x v="0"/>
  </r>
  <r>
    <n v="44389"/>
    <x v="297"/>
    <x v="1"/>
    <x v="2"/>
    <x v="9"/>
    <s v="Verbatim 25 GB 6x Blu-ray Single Layer Recordable Disc, 1/Pack"/>
    <x v="654"/>
    <n v="4"/>
    <n v="3.28"/>
    <x v="6"/>
    <x v="0"/>
  </r>
  <r>
    <n v="44389"/>
    <x v="298"/>
    <x v="0"/>
    <x v="1"/>
    <x v="5"/>
    <s v="Hon Deluxe Fabric Upholstered Stacking Chairs"/>
    <x v="655"/>
    <n v="3"/>
    <n v="-14.64"/>
    <x v="6"/>
    <x v="0"/>
  </r>
  <r>
    <n v="44389"/>
    <x v="298"/>
    <x v="0"/>
    <x v="0"/>
    <x v="7"/>
    <s v="Stockwell Push Pins"/>
    <x v="656"/>
    <n v="2"/>
    <n v="0.56999999999999995"/>
    <x v="6"/>
    <x v="0"/>
  </r>
  <r>
    <n v="44389"/>
    <x v="298"/>
    <x v="0"/>
    <x v="0"/>
    <x v="4"/>
    <s v="Fluorescent Highlighters by Dixon"/>
    <x v="657"/>
    <n v="7"/>
    <n v="3.9"/>
    <x v="6"/>
    <x v="0"/>
  </r>
  <r>
    <n v="44389"/>
    <x v="298"/>
    <x v="0"/>
    <x v="0"/>
    <x v="0"/>
    <s v="Xerox 195"/>
    <x v="658"/>
    <n v="3"/>
    <n v="5.61"/>
    <x v="6"/>
    <x v="0"/>
  </r>
  <r>
    <n v="44390"/>
    <x v="271"/>
    <x v="3"/>
    <x v="1"/>
    <x v="13"/>
    <s v="Bevis Round Conference Table Top &amp; Single Column Base"/>
    <x v="659"/>
    <n v="3"/>
    <n v="4.3899999999999997"/>
    <x v="6"/>
    <x v="0"/>
  </r>
  <r>
    <n v="44391"/>
    <x v="299"/>
    <x v="1"/>
    <x v="0"/>
    <x v="3"/>
    <s v="Acco D-Ring Binder w/DublLock"/>
    <x v="660"/>
    <n v="7"/>
    <n v="-46.39"/>
    <x v="6"/>
    <x v="0"/>
  </r>
  <r>
    <n v="44391"/>
    <x v="299"/>
    <x v="1"/>
    <x v="2"/>
    <x v="6"/>
    <s v="I Need's 3d Hello Kitty Hybrid Silicone Case Cover for HTC One X 4g with 3d Hello Kitty Stylus Pen Green/pink"/>
    <x v="661"/>
    <n v="4"/>
    <n v="3.83"/>
    <x v="6"/>
    <x v="0"/>
  </r>
  <r>
    <n v="44391"/>
    <x v="300"/>
    <x v="12"/>
    <x v="0"/>
    <x v="2"/>
    <s v="Eldon Fold 'N Roll Cart System"/>
    <x v="662"/>
    <n v="5"/>
    <n v="6.29"/>
    <x v="6"/>
    <x v="0"/>
  </r>
  <r>
    <n v="44391"/>
    <x v="43"/>
    <x v="2"/>
    <x v="2"/>
    <x v="6"/>
    <s v="Griffin GC36547 PowerJolt SE Lightning Charger"/>
    <x v="663"/>
    <n v="1"/>
    <n v="-2.25"/>
    <x v="6"/>
    <x v="0"/>
  </r>
  <r>
    <n v="44391"/>
    <x v="43"/>
    <x v="2"/>
    <x v="2"/>
    <x v="6"/>
    <s v="iOttie HLCRIO102 Car Mount"/>
    <x v="664"/>
    <n v="2"/>
    <n v="-13.99"/>
    <x v="6"/>
    <x v="0"/>
  </r>
  <r>
    <n v="44391"/>
    <x v="43"/>
    <x v="2"/>
    <x v="1"/>
    <x v="8"/>
    <s v="Tensor Track Tree Floor Lamp"/>
    <x v="665"/>
    <n v="2"/>
    <n v="1.2"/>
    <x v="6"/>
    <x v="0"/>
  </r>
  <r>
    <n v="44391"/>
    <x v="43"/>
    <x v="2"/>
    <x v="0"/>
    <x v="4"/>
    <s v="BOSTON Ranger #55 Pencil Sharpener, Black"/>
    <x v="666"/>
    <n v="2"/>
    <n v="4.68"/>
    <x v="6"/>
    <x v="0"/>
  </r>
  <r>
    <n v="44391"/>
    <x v="301"/>
    <x v="7"/>
    <x v="0"/>
    <x v="12"/>
    <s v="Belkin 7 Outlet SurgeMaster II"/>
    <x v="667"/>
    <n v="1"/>
    <n v="11.05"/>
    <x v="6"/>
    <x v="0"/>
  </r>
  <r>
    <n v="44391"/>
    <x v="302"/>
    <x v="20"/>
    <x v="0"/>
    <x v="4"/>
    <s v="Newell 315"/>
    <x v="150"/>
    <n v="3"/>
    <n v="4.49"/>
    <x v="6"/>
    <x v="0"/>
  </r>
  <r>
    <n v="44392"/>
    <x v="197"/>
    <x v="19"/>
    <x v="2"/>
    <x v="9"/>
    <s v="Maxell 4.7GB DVD-R 5/Pack"/>
    <x v="668"/>
    <n v="3"/>
    <n v="1.31"/>
    <x v="6"/>
    <x v="0"/>
  </r>
  <r>
    <n v="44392"/>
    <x v="197"/>
    <x v="19"/>
    <x v="0"/>
    <x v="7"/>
    <s v="Advantus Push Pins"/>
    <x v="13"/>
    <n v="3"/>
    <n v="2.68"/>
    <x v="6"/>
    <x v="0"/>
  </r>
  <r>
    <n v="44395"/>
    <x v="303"/>
    <x v="12"/>
    <x v="1"/>
    <x v="5"/>
    <s v="Office Star - Ergonomically Designed Knee Chair"/>
    <x v="669"/>
    <n v="4"/>
    <n v="-25.91"/>
    <x v="6"/>
    <x v="0"/>
  </r>
  <r>
    <n v="44395"/>
    <x v="304"/>
    <x v="20"/>
    <x v="0"/>
    <x v="3"/>
    <s v="Cardinal Slant-D Ring Binder, Heavy Gauge Vinyl"/>
    <x v="670"/>
    <n v="2"/>
    <n v="4.5199999999999996"/>
    <x v="6"/>
    <x v="0"/>
  </r>
  <r>
    <n v="44396"/>
    <x v="305"/>
    <x v="37"/>
    <x v="2"/>
    <x v="6"/>
    <s v="Polycom VVX 310 VoIP phone"/>
    <x v="671"/>
    <n v="2"/>
    <n v="93.59"/>
    <x v="6"/>
    <x v="0"/>
  </r>
  <r>
    <n v="44396"/>
    <x v="305"/>
    <x v="37"/>
    <x v="1"/>
    <x v="13"/>
    <s v="Barricks 18&quot; x 48&quot; Non-Folding Utility Table with Bottom Storage Shelf"/>
    <x v="672"/>
    <n v="1"/>
    <n v="-4.03"/>
    <x v="6"/>
    <x v="0"/>
  </r>
  <r>
    <n v="44396"/>
    <x v="305"/>
    <x v="37"/>
    <x v="0"/>
    <x v="3"/>
    <s v="Avery 3 1/2&quot; Diskette Storage Pages, 10/Pack"/>
    <x v="673"/>
    <n v="2"/>
    <n v="9.6"/>
    <x v="6"/>
    <x v="0"/>
  </r>
  <r>
    <n v="44396"/>
    <x v="305"/>
    <x v="37"/>
    <x v="0"/>
    <x v="3"/>
    <s v="Acco Hanging Data Binders"/>
    <x v="674"/>
    <n v="1"/>
    <n v="1.83"/>
    <x v="6"/>
    <x v="0"/>
  </r>
  <r>
    <n v="44396"/>
    <x v="306"/>
    <x v="35"/>
    <x v="0"/>
    <x v="3"/>
    <s v="Acco Pressboard Covers with Storage Hooks, 14 7/8&quot; x 11&quot;, Dark Blue"/>
    <x v="675"/>
    <n v="2"/>
    <n v="2.21"/>
    <x v="6"/>
    <x v="0"/>
  </r>
  <r>
    <n v="44397"/>
    <x v="307"/>
    <x v="0"/>
    <x v="0"/>
    <x v="2"/>
    <s v="Letter Size Cart"/>
    <x v="676"/>
    <n v="3"/>
    <n v="38.57"/>
    <x v="6"/>
    <x v="0"/>
  </r>
  <r>
    <n v="44397"/>
    <x v="307"/>
    <x v="0"/>
    <x v="1"/>
    <x v="8"/>
    <s v="Westinghouse Clip-On Gooseneck Lamps"/>
    <x v="677"/>
    <n v="5"/>
    <n v="-14.23"/>
    <x v="6"/>
    <x v="0"/>
  </r>
  <r>
    <n v="44397"/>
    <x v="307"/>
    <x v="0"/>
    <x v="1"/>
    <x v="5"/>
    <s v="HON 5400 Series Task Chairs for Big and Tall"/>
    <x v="678"/>
    <n v="2"/>
    <n v="-140.19999999999999"/>
    <x v="6"/>
    <x v="0"/>
  </r>
  <r>
    <n v="44397"/>
    <x v="308"/>
    <x v="10"/>
    <x v="0"/>
    <x v="2"/>
    <s v="Fellowes Neat Ideas Storage Cubes"/>
    <x v="679"/>
    <n v="1"/>
    <n v="-5.2"/>
    <x v="6"/>
    <x v="0"/>
  </r>
  <r>
    <n v="44397"/>
    <x v="308"/>
    <x v="10"/>
    <x v="0"/>
    <x v="3"/>
    <s v="Ibico Plastic Spiral Binding Combs"/>
    <x v="680"/>
    <n v="3"/>
    <n v="-21.89"/>
    <x v="6"/>
    <x v="0"/>
  </r>
  <r>
    <n v="44397"/>
    <x v="309"/>
    <x v="3"/>
    <x v="0"/>
    <x v="0"/>
    <s v="Xerox 189"/>
    <x v="681"/>
    <n v="1"/>
    <n v="50.33"/>
    <x v="6"/>
    <x v="0"/>
  </r>
  <r>
    <n v="44397"/>
    <x v="309"/>
    <x v="3"/>
    <x v="0"/>
    <x v="3"/>
    <s v="Wilson Jones Custom Binder Spines &amp; Labels"/>
    <x v="682"/>
    <n v="2"/>
    <n v="3.16"/>
    <x v="6"/>
    <x v="0"/>
  </r>
  <r>
    <n v="44397"/>
    <x v="309"/>
    <x v="3"/>
    <x v="0"/>
    <x v="0"/>
    <s v="Xerox 1897"/>
    <x v="611"/>
    <n v="4"/>
    <n v="9.76"/>
    <x v="6"/>
    <x v="0"/>
  </r>
  <r>
    <n v="44397"/>
    <x v="309"/>
    <x v="3"/>
    <x v="1"/>
    <x v="8"/>
    <s v="Nu-Dell Leatherette Frames"/>
    <x v="683"/>
    <n v="3"/>
    <n v="15.49"/>
    <x v="6"/>
    <x v="0"/>
  </r>
  <r>
    <n v="44397"/>
    <x v="310"/>
    <x v="3"/>
    <x v="0"/>
    <x v="3"/>
    <s v="Clear Mylar Reinforcing Strips"/>
    <x v="684"/>
    <n v="6"/>
    <n v="30.28"/>
    <x v="6"/>
    <x v="0"/>
  </r>
  <r>
    <n v="44397"/>
    <x v="310"/>
    <x v="3"/>
    <x v="0"/>
    <x v="0"/>
    <s v="Wirebound Message Books, Two 4 1/4&quot; x 5&quot; Forms per Page"/>
    <x v="685"/>
    <n v="3"/>
    <n v="10.73"/>
    <x v="6"/>
    <x v="0"/>
  </r>
  <r>
    <n v="44397"/>
    <x v="104"/>
    <x v="3"/>
    <x v="2"/>
    <x v="9"/>
    <s v="Maxell 74 Minute CD-R Spindle, 50/Pack"/>
    <x v="686"/>
    <n v="2"/>
    <n v="15.1"/>
    <x v="6"/>
    <x v="0"/>
  </r>
  <r>
    <n v="44397"/>
    <x v="104"/>
    <x v="3"/>
    <x v="0"/>
    <x v="0"/>
    <s v="Xerox 1965"/>
    <x v="687"/>
    <n v="2"/>
    <n v="5.86"/>
    <x v="6"/>
    <x v="0"/>
  </r>
  <r>
    <n v="44397"/>
    <x v="104"/>
    <x v="3"/>
    <x v="0"/>
    <x v="4"/>
    <s v="Newell 348"/>
    <x v="342"/>
    <n v="4"/>
    <n v="3.8"/>
    <x v="6"/>
    <x v="0"/>
  </r>
  <r>
    <n v="44397"/>
    <x v="104"/>
    <x v="3"/>
    <x v="0"/>
    <x v="2"/>
    <s v="Hot File 7-Pocket, Floor Stand"/>
    <x v="688"/>
    <n v="3"/>
    <n v="160.62"/>
    <x v="6"/>
    <x v="0"/>
  </r>
  <r>
    <n v="44398"/>
    <x v="311"/>
    <x v="3"/>
    <x v="0"/>
    <x v="4"/>
    <s v="Newell 334"/>
    <x v="689"/>
    <n v="5"/>
    <n v="25.79"/>
    <x v="6"/>
    <x v="0"/>
  </r>
  <r>
    <n v="44398"/>
    <x v="311"/>
    <x v="3"/>
    <x v="1"/>
    <x v="5"/>
    <s v="Global Troy Executive Leather Low-Back Tilter"/>
    <x v="690"/>
    <n v="2"/>
    <n v="50.1"/>
    <x v="6"/>
    <x v="0"/>
  </r>
  <r>
    <n v="44398"/>
    <x v="311"/>
    <x v="3"/>
    <x v="1"/>
    <x v="13"/>
    <s v="Hon 30&quot; x 60&quot; Table with Locking Drawer"/>
    <x v="691"/>
    <n v="1"/>
    <n v="27.28"/>
    <x v="6"/>
    <x v="0"/>
  </r>
  <r>
    <n v="44398"/>
    <x v="312"/>
    <x v="0"/>
    <x v="0"/>
    <x v="12"/>
    <s v="Acco 6 Outlet Guardian Basic Surge Suppressor"/>
    <x v="214"/>
    <n v="3"/>
    <n v="-12.98"/>
    <x v="6"/>
    <x v="0"/>
  </r>
  <r>
    <n v="44398"/>
    <x v="312"/>
    <x v="0"/>
    <x v="0"/>
    <x v="10"/>
    <s v="Inter-Office Recycled Envelopes, Brown Kraft, Button-String,10&quot; x 13&quot; , 100/Box"/>
    <x v="692"/>
    <n v="5"/>
    <n v="29.67"/>
    <x v="6"/>
    <x v="0"/>
  </r>
  <r>
    <n v="44398"/>
    <x v="312"/>
    <x v="0"/>
    <x v="1"/>
    <x v="5"/>
    <s v="Hon Every-Day Series Multi-Task Chairs"/>
    <x v="693"/>
    <n v="5"/>
    <n v="-93.99"/>
    <x v="6"/>
    <x v="0"/>
  </r>
  <r>
    <n v="44398"/>
    <x v="312"/>
    <x v="0"/>
    <x v="0"/>
    <x v="3"/>
    <s v="Acco Economy Flexible Poly Round Ring Binder"/>
    <x v="694"/>
    <n v="1"/>
    <n v="-1.83"/>
    <x v="6"/>
    <x v="0"/>
  </r>
  <r>
    <n v="44398"/>
    <x v="190"/>
    <x v="40"/>
    <x v="2"/>
    <x v="6"/>
    <s v="Griffin GC17055 Auxiliary Audio Cable"/>
    <x v="695"/>
    <n v="2"/>
    <n v="10.07"/>
    <x v="6"/>
    <x v="0"/>
  </r>
  <r>
    <n v="44399"/>
    <x v="313"/>
    <x v="20"/>
    <x v="0"/>
    <x v="4"/>
    <s v="Premium Writing Pencils, Soft, #2 by Central Association for the Blind"/>
    <x v="696"/>
    <n v="2"/>
    <n v="1.67"/>
    <x v="6"/>
    <x v="0"/>
  </r>
  <r>
    <n v="44399"/>
    <x v="313"/>
    <x v="20"/>
    <x v="2"/>
    <x v="9"/>
    <s v="Logitech G602 Wireless Gaming Mouse"/>
    <x v="281"/>
    <n v="2"/>
    <n v="57.59"/>
    <x v="6"/>
    <x v="0"/>
  </r>
  <r>
    <n v="44399"/>
    <x v="201"/>
    <x v="3"/>
    <x v="0"/>
    <x v="4"/>
    <s v="Newell 32"/>
    <x v="697"/>
    <n v="4"/>
    <n v="3.23"/>
    <x v="6"/>
    <x v="0"/>
  </r>
  <r>
    <n v="44399"/>
    <x v="201"/>
    <x v="3"/>
    <x v="1"/>
    <x v="5"/>
    <s v="Global Comet Stacking Armless Chair"/>
    <x v="698"/>
    <n v="3"/>
    <n v="71.77"/>
    <x v="6"/>
    <x v="0"/>
  </r>
  <r>
    <n v="44399"/>
    <x v="201"/>
    <x v="3"/>
    <x v="0"/>
    <x v="2"/>
    <s v="Eldon Mobile Mega Data Cart  Mega Stackable  Add-On Trays"/>
    <x v="699"/>
    <n v="10"/>
    <n v="68.59"/>
    <x v="6"/>
    <x v="0"/>
  </r>
  <r>
    <n v="44399"/>
    <x v="201"/>
    <x v="3"/>
    <x v="1"/>
    <x v="13"/>
    <s v="Safco Drafting Table"/>
    <x v="529"/>
    <n v="3"/>
    <n v="19.16"/>
    <x v="6"/>
    <x v="0"/>
  </r>
  <r>
    <n v="44399"/>
    <x v="314"/>
    <x v="3"/>
    <x v="0"/>
    <x v="4"/>
    <s v="Crayola Colored Pencils"/>
    <x v="184"/>
    <n v="6"/>
    <n v="6.49"/>
    <x v="6"/>
    <x v="0"/>
  </r>
  <r>
    <n v="44399"/>
    <x v="315"/>
    <x v="0"/>
    <x v="0"/>
    <x v="2"/>
    <s v="Fellowes Bases and Tops For Staxonsteel/High-Stak Systems"/>
    <x v="700"/>
    <n v="1"/>
    <n v="1.33"/>
    <x v="6"/>
    <x v="0"/>
  </r>
  <r>
    <n v="44400"/>
    <x v="316"/>
    <x v="12"/>
    <x v="0"/>
    <x v="3"/>
    <s v="Wilson Jones Custom Binder Spines &amp; Labels"/>
    <x v="701"/>
    <n v="5"/>
    <n v="-5.71"/>
    <x v="6"/>
    <x v="0"/>
  </r>
  <r>
    <n v="44400"/>
    <x v="316"/>
    <x v="12"/>
    <x v="2"/>
    <x v="9"/>
    <s v="NETGEAR AC1750 Dual Band GigabitÂ Smart WiFi Router"/>
    <x v="702"/>
    <n v="8"/>
    <n v="179.19"/>
    <x v="6"/>
    <x v="0"/>
  </r>
  <r>
    <n v="44400"/>
    <x v="316"/>
    <x v="12"/>
    <x v="0"/>
    <x v="4"/>
    <s v="Newell 324"/>
    <x v="703"/>
    <n v="1"/>
    <n v="0.92"/>
    <x v="6"/>
    <x v="0"/>
  </r>
  <r>
    <n v="44400"/>
    <x v="316"/>
    <x v="12"/>
    <x v="2"/>
    <x v="9"/>
    <s v="Microsoft Natural Keyboard Elite"/>
    <x v="704"/>
    <n v="10"/>
    <n v="-29.94"/>
    <x v="6"/>
    <x v="0"/>
  </r>
  <r>
    <n v="44400"/>
    <x v="199"/>
    <x v="20"/>
    <x v="2"/>
    <x v="9"/>
    <s v="Case Logic 2.4GHz Wireless Keyboard"/>
    <x v="287"/>
    <n v="2"/>
    <n v="8"/>
    <x v="6"/>
    <x v="0"/>
  </r>
  <r>
    <n v="44400"/>
    <x v="317"/>
    <x v="3"/>
    <x v="2"/>
    <x v="6"/>
    <s v="VTech DS6151"/>
    <x v="234"/>
    <n v="6"/>
    <n v="60.48"/>
    <x v="6"/>
    <x v="0"/>
  </r>
  <r>
    <n v="44400"/>
    <x v="317"/>
    <x v="3"/>
    <x v="0"/>
    <x v="14"/>
    <s v="Acme Softgrip Scissors"/>
    <x v="705"/>
    <n v="5"/>
    <n v="11.8"/>
    <x v="6"/>
    <x v="0"/>
  </r>
  <r>
    <n v="44400"/>
    <x v="317"/>
    <x v="3"/>
    <x v="2"/>
    <x v="6"/>
    <s v="AT&amp;T CL2909"/>
    <x v="250"/>
    <n v="3"/>
    <n v="37.799999999999997"/>
    <x v="6"/>
    <x v="0"/>
  </r>
  <r>
    <n v="44400"/>
    <x v="317"/>
    <x v="3"/>
    <x v="2"/>
    <x v="9"/>
    <s v="ImationÂ 8gb Micro Traveldrive Usb 2.0Â Flash Drive"/>
    <x v="706"/>
    <n v="3"/>
    <n v="4.95"/>
    <x v="6"/>
    <x v="0"/>
  </r>
  <r>
    <n v="44402"/>
    <x v="318"/>
    <x v="3"/>
    <x v="0"/>
    <x v="2"/>
    <s v="Fellowes Personal Hanging Folder Files, Navy"/>
    <x v="707"/>
    <n v="4"/>
    <n v="15.04"/>
    <x v="6"/>
    <x v="0"/>
  </r>
  <r>
    <n v="44402"/>
    <x v="318"/>
    <x v="3"/>
    <x v="0"/>
    <x v="14"/>
    <s v="High Speed Automatic Electric Letter Opener"/>
    <x v="708"/>
    <n v="5"/>
    <n v="327.51"/>
    <x v="6"/>
    <x v="0"/>
  </r>
  <r>
    <n v="44402"/>
    <x v="318"/>
    <x v="3"/>
    <x v="1"/>
    <x v="8"/>
    <s v="Staple-based wall hangings"/>
    <x v="709"/>
    <n v="8"/>
    <n v="34.28"/>
    <x v="6"/>
    <x v="0"/>
  </r>
  <r>
    <n v="44402"/>
    <x v="58"/>
    <x v="3"/>
    <x v="0"/>
    <x v="0"/>
    <s v="Xerox 1966"/>
    <x v="710"/>
    <n v="1"/>
    <n v="3.18"/>
    <x v="6"/>
    <x v="0"/>
  </r>
  <r>
    <n v="44402"/>
    <x v="58"/>
    <x v="3"/>
    <x v="0"/>
    <x v="14"/>
    <s v="Acme Kleen Earth Office Shears"/>
    <x v="711"/>
    <n v="4"/>
    <n v="4.5"/>
    <x v="6"/>
    <x v="0"/>
  </r>
  <r>
    <n v="44403"/>
    <x v="319"/>
    <x v="1"/>
    <x v="0"/>
    <x v="2"/>
    <s v="Belkin 19&quot; Vented Equipment Shelf, Black"/>
    <x v="712"/>
    <n v="3"/>
    <n v="-29.34"/>
    <x v="6"/>
    <x v="0"/>
  </r>
  <r>
    <n v="44403"/>
    <x v="111"/>
    <x v="17"/>
    <x v="2"/>
    <x v="6"/>
    <s v="Apple iPhone 5S"/>
    <x v="713"/>
    <n v="2"/>
    <n v="114"/>
    <x v="6"/>
    <x v="0"/>
  </r>
  <r>
    <n v="44403"/>
    <x v="111"/>
    <x v="17"/>
    <x v="1"/>
    <x v="5"/>
    <s v="Hon 2090 Â“Pillow SoftÂ” Series Mid Back Swivel/Tilt Chairs"/>
    <x v="714"/>
    <n v="3"/>
    <n v="-109.58"/>
    <x v="6"/>
    <x v="0"/>
  </r>
  <r>
    <n v="44403"/>
    <x v="111"/>
    <x v="17"/>
    <x v="1"/>
    <x v="8"/>
    <s v="Tensor Computer Mounted Lamp"/>
    <x v="715"/>
    <n v="9"/>
    <n v="36.18"/>
    <x v="6"/>
    <x v="0"/>
  </r>
  <r>
    <n v="44403"/>
    <x v="111"/>
    <x v="17"/>
    <x v="2"/>
    <x v="9"/>
    <s v="Logitech Illuminated Ultrathin Keyboard with Backlighting"/>
    <x v="716"/>
    <n v="3"/>
    <n v="70.099999999999994"/>
    <x v="6"/>
    <x v="0"/>
  </r>
  <r>
    <n v="44403"/>
    <x v="4"/>
    <x v="27"/>
    <x v="2"/>
    <x v="9"/>
    <s v="Memorex Micro Travel Drive 16 GB"/>
    <x v="717"/>
    <n v="7"/>
    <n v="34.700000000000003"/>
    <x v="6"/>
    <x v="0"/>
  </r>
  <r>
    <n v="44403"/>
    <x v="320"/>
    <x v="4"/>
    <x v="1"/>
    <x v="5"/>
    <s v="Metal Folding Chairs, Beige, 4/Carton"/>
    <x v="718"/>
    <n v="2"/>
    <n v="18.329999999999998"/>
    <x v="6"/>
    <x v="0"/>
  </r>
  <r>
    <n v="44403"/>
    <x v="320"/>
    <x v="4"/>
    <x v="0"/>
    <x v="1"/>
    <s v="Avery 485"/>
    <x v="719"/>
    <n v="13"/>
    <n v="76.56"/>
    <x v="6"/>
    <x v="0"/>
  </r>
  <r>
    <n v="44403"/>
    <x v="320"/>
    <x v="4"/>
    <x v="1"/>
    <x v="8"/>
    <s v="DAX Cubicle Frames, 8-1/2 x 11"/>
    <x v="720"/>
    <n v="3"/>
    <n v="9.26"/>
    <x v="6"/>
    <x v="0"/>
  </r>
  <r>
    <n v="44403"/>
    <x v="321"/>
    <x v="0"/>
    <x v="0"/>
    <x v="3"/>
    <s v="GBC DocuBind P400 Electric Binding System"/>
    <x v="721"/>
    <n v="8"/>
    <n v="-3701.89"/>
    <x v="6"/>
    <x v="0"/>
  </r>
  <r>
    <n v="44403"/>
    <x v="321"/>
    <x v="0"/>
    <x v="1"/>
    <x v="8"/>
    <s v="DAX Clear Channel Poster Frame"/>
    <x v="722"/>
    <n v="3"/>
    <n v="-10.06"/>
    <x v="6"/>
    <x v="0"/>
  </r>
  <r>
    <n v="44403"/>
    <x v="321"/>
    <x v="0"/>
    <x v="0"/>
    <x v="3"/>
    <s v="GBC Premium Transparent Covers with Diagonal Lined Pattern"/>
    <x v="723"/>
    <n v="4"/>
    <n v="-26.85"/>
    <x v="6"/>
    <x v="0"/>
  </r>
  <r>
    <n v="44403"/>
    <x v="321"/>
    <x v="0"/>
    <x v="2"/>
    <x v="9"/>
    <s v="Microsoft Natural Keyboard Elite"/>
    <x v="724"/>
    <n v="9"/>
    <n v="-26.95"/>
    <x v="6"/>
    <x v="0"/>
  </r>
  <r>
    <n v="44403"/>
    <x v="321"/>
    <x v="0"/>
    <x v="0"/>
    <x v="3"/>
    <s v="GBC Instant Index System for Binding Systems"/>
    <x v="725"/>
    <n v="5"/>
    <n v="-13.32"/>
    <x v="6"/>
    <x v="0"/>
  </r>
  <r>
    <n v="44403"/>
    <x v="321"/>
    <x v="0"/>
    <x v="0"/>
    <x v="12"/>
    <s v="Acco 6 Outlet Guardian Standard Surge Suppressor"/>
    <x v="726"/>
    <n v="2"/>
    <n v="-12.09"/>
    <x v="6"/>
    <x v="0"/>
  </r>
  <r>
    <n v="44404"/>
    <x v="60"/>
    <x v="3"/>
    <x v="2"/>
    <x v="9"/>
    <s v="WD My Passport Ultra 2TB Portable External Hard Drive"/>
    <x v="727"/>
    <n v="2"/>
    <n v="38.08"/>
    <x v="6"/>
    <x v="0"/>
  </r>
  <r>
    <n v="44404"/>
    <x v="322"/>
    <x v="20"/>
    <x v="0"/>
    <x v="0"/>
    <s v="Xerox 1956"/>
    <x v="728"/>
    <n v="11"/>
    <n v="32.229999999999997"/>
    <x v="6"/>
    <x v="0"/>
  </r>
  <r>
    <n v="44404"/>
    <x v="323"/>
    <x v="3"/>
    <x v="0"/>
    <x v="2"/>
    <s v="SAFCO Commercial Wire Shelving, Black"/>
    <x v="729"/>
    <n v="2"/>
    <n v="0"/>
    <x v="6"/>
    <x v="0"/>
  </r>
  <r>
    <n v="44405"/>
    <x v="74"/>
    <x v="16"/>
    <x v="0"/>
    <x v="7"/>
    <s v="OIC Colored Binder Clips, Assorted Sizes"/>
    <x v="730"/>
    <n v="5"/>
    <n v="5.19"/>
    <x v="6"/>
    <x v="0"/>
  </r>
  <r>
    <n v="44405"/>
    <x v="74"/>
    <x v="16"/>
    <x v="1"/>
    <x v="8"/>
    <s v="DataProducts Ampli Magnifier Task Lamp, Black,"/>
    <x v="731"/>
    <n v="6"/>
    <n v="12.99"/>
    <x v="6"/>
    <x v="0"/>
  </r>
  <r>
    <n v="44405"/>
    <x v="74"/>
    <x v="16"/>
    <x v="0"/>
    <x v="10"/>
    <s v="#10- 4 1/8&quot; x 9 1/2&quot; Recycled Envelopes"/>
    <x v="732"/>
    <n v="7"/>
    <n v="16.52"/>
    <x v="6"/>
    <x v="0"/>
  </r>
  <r>
    <n v="44407"/>
    <x v="324"/>
    <x v="22"/>
    <x v="1"/>
    <x v="11"/>
    <s v="Rush Hierlooms Collection 1&quot; Thick Stackable Bookcases"/>
    <x v="733"/>
    <n v="8"/>
    <n v="259.89"/>
    <x v="6"/>
    <x v="0"/>
  </r>
  <r>
    <n v="44409"/>
    <x v="302"/>
    <x v="25"/>
    <x v="0"/>
    <x v="1"/>
    <s v="Self-Adhesive Address Labels for Typewriters by Universal"/>
    <x v="734"/>
    <n v="3"/>
    <n v="5.92"/>
    <x v="7"/>
    <x v="0"/>
  </r>
  <r>
    <n v="44409"/>
    <x v="302"/>
    <x v="25"/>
    <x v="1"/>
    <x v="8"/>
    <s v="9-3/4 Diameter Round Wall Clock"/>
    <x v="735"/>
    <n v="4"/>
    <n v="12.14"/>
    <x v="7"/>
    <x v="0"/>
  </r>
  <r>
    <n v="44409"/>
    <x v="302"/>
    <x v="25"/>
    <x v="0"/>
    <x v="12"/>
    <s v="Honeywell Quietcare HEPA Air Cleaner"/>
    <x v="736"/>
    <n v="1"/>
    <n v="10.220000000000001"/>
    <x v="7"/>
    <x v="0"/>
  </r>
  <r>
    <n v="44409"/>
    <x v="302"/>
    <x v="25"/>
    <x v="0"/>
    <x v="0"/>
    <s v="Xerox 1916"/>
    <x v="737"/>
    <n v="2"/>
    <n v="29.36"/>
    <x v="7"/>
    <x v="0"/>
  </r>
  <r>
    <n v="44409"/>
    <x v="325"/>
    <x v="3"/>
    <x v="0"/>
    <x v="3"/>
    <s v="Wilson Jones data.warehouse D-Ring Binders with DublLock"/>
    <x v="738"/>
    <n v="3"/>
    <n v="6.91"/>
    <x v="7"/>
    <x v="0"/>
  </r>
  <r>
    <n v="44409"/>
    <x v="326"/>
    <x v="2"/>
    <x v="0"/>
    <x v="7"/>
    <s v="Acco Clips to Go Binder Clips, 24 Clips in Two Sizes"/>
    <x v="739"/>
    <n v="2"/>
    <n v="1.92"/>
    <x v="7"/>
    <x v="0"/>
  </r>
  <r>
    <n v="44410"/>
    <x v="327"/>
    <x v="24"/>
    <x v="0"/>
    <x v="3"/>
    <s v="Wilson Jones 14 Line Acrylic Coated Pressboard Data Binders"/>
    <x v="292"/>
    <n v="5"/>
    <n v="12.55"/>
    <x v="7"/>
    <x v="0"/>
  </r>
  <r>
    <n v="44410"/>
    <x v="327"/>
    <x v="24"/>
    <x v="2"/>
    <x v="9"/>
    <s v="Memorex Micro Travel Drive 4 GB"/>
    <x v="740"/>
    <n v="2"/>
    <n v="9.1199999999999992"/>
    <x v="7"/>
    <x v="0"/>
  </r>
  <r>
    <n v="44410"/>
    <x v="327"/>
    <x v="24"/>
    <x v="0"/>
    <x v="2"/>
    <s v="Smead Adjustable Mobile File Trolley with Lockable Top"/>
    <x v="741"/>
    <n v="2"/>
    <n v="226.36"/>
    <x v="7"/>
    <x v="0"/>
  </r>
  <r>
    <n v="44411"/>
    <x v="206"/>
    <x v="26"/>
    <x v="1"/>
    <x v="13"/>
    <s v="BoxOffice By Design Rectangular and Half-Moon Meeting Room Tables"/>
    <x v="742"/>
    <n v="2"/>
    <n v="-161.88"/>
    <x v="7"/>
    <x v="0"/>
  </r>
  <r>
    <n v="44411"/>
    <x v="206"/>
    <x v="26"/>
    <x v="0"/>
    <x v="12"/>
    <s v="Bravo II Megaboss 12-Amp Hard Body Upright, Replacement Belts, 2 Belts per Pack"/>
    <x v="743"/>
    <n v="1"/>
    <n v="0.28999999999999998"/>
    <x v="7"/>
    <x v="0"/>
  </r>
  <r>
    <n v="44411"/>
    <x v="328"/>
    <x v="20"/>
    <x v="0"/>
    <x v="0"/>
    <s v="Xerox 1884"/>
    <x v="418"/>
    <n v="2"/>
    <n v="18.78"/>
    <x v="7"/>
    <x v="0"/>
  </r>
  <r>
    <n v="44411"/>
    <x v="328"/>
    <x v="20"/>
    <x v="0"/>
    <x v="14"/>
    <s v="Acme Box Cutter Scissors"/>
    <x v="744"/>
    <n v="10"/>
    <n v="26.6"/>
    <x v="7"/>
    <x v="0"/>
  </r>
  <r>
    <n v="44411"/>
    <x v="328"/>
    <x v="20"/>
    <x v="0"/>
    <x v="2"/>
    <s v="Staple magnet"/>
    <x v="107"/>
    <n v="2"/>
    <n v="5.77"/>
    <x v="7"/>
    <x v="0"/>
  </r>
  <r>
    <n v="44411"/>
    <x v="292"/>
    <x v="12"/>
    <x v="0"/>
    <x v="0"/>
    <s v="White Computer Printout Paper by Universal"/>
    <x v="745"/>
    <n v="3"/>
    <n v="33.72"/>
    <x v="7"/>
    <x v="0"/>
  </r>
  <r>
    <n v="44412"/>
    <x v="329"/>
    <x v="27"/>
    <x v="0"/>
    <x v="12"/>
    <s v="Hoover WindTunnel Plus Canister Vacuum"/>
    <x v="746"/>
    <n v="3"/>
    <n v="305.13"/>
    <x v="7"/>
    <x v="0"/>
  </r>
  <r>
    <n v="44412"/>
    <x v="329"/>
    <x v="27"/>
    <x v="0"/>
    <x v="0"/>
    <s v="Xerox 1934"/>
    <x v="591"/>
    <n v="8"/>
    <n v="219.44"/>
    <x v="7"/>
    <x v="0"/>
  </r>
  <r>
    <n v="44412"/>
    <x v="329"/>
    <x v="27"/>
    <x v="0"/>
    <x v="4"/>
    <s v="Newell 329"/>
    <x v="747"/>
    <n v="5"/>
    <n v="4.26"/>
    <x v="7"/>
    <x v="0"/>
  </r>
  <r>
    <n v="44412"/>
    <x v="329"/>
    <x v="27"/>
    <x v="2"/>
    <x v="6"/>
    <s v="Panasonic KX T7731-B Digital phone"/>
    <x v="316"/>
    <n v="5"/>
    <n v="35"/>
    <x v="7"/>
    <x v="0"/>
  </r>
  <r>
    <n v="44412"/>
    <x v="329"/>
    <x v="27"/>
    <x v="0"/>
    <x v="2"/>
    <s v="Safco Wire Cube Shelving System, For Use as 4 or 5 14&quot; Cubes, Black"/>
    <x v="748"/>
    <n v="5"/>
    <n v="7.95"/>
    <x v="7"/>
    <x v="0"/>
  </r>
  <r>
    <n v="44412"/>
    <x v="329"/>
    <x v="27"/>
    <x v="0"/>
    <x v="3"/>
    <s v="Ibico Standard Transparent Covers"/>
    <x v="749"/>
    <n v="1"/>
    <n v="4.78"/>
    <x v="7"/>
    <x v="0"/>
  </r>
  <r>
    <n v="44412"/>
    <x v="44"/>
    <x v="41"/>
    <x v="0"/>
    <x v="12"/>
    <s v="Eureka The Boss Cordless Rechargeable Stick Vac"/>
    <x v="750"/>
    <n v="2"/>
    <n v="27.53"/>
    <x v="7"/>
    <x v="0"/>
  </r>
  <r>
    <n v="44412"/>
    <x v="44"/>
    <x v="41"/>
    <x v="0"/>
    <x v="0"/>
    <s v="Southworth 25% Cotton Premium Laser Paper and Envelopes"/>
    <x v="751"/>
    <n v="13"/>
    <n v="124.68"/>
    <x v="7"/>
    <x v="0"/>
  </r>
  <r>
    <n v="44412"/>
    <x v="44"/>
    <x v="41"/>
    <x v="2"/>
    <x v="9"/>
    <s v="Maxell 4.7GB DVD-R"/>
    <x v="752"/>
    <n v="9"/>
    <n v="104.72"/>
    <x v="7"/>
    <x v="0"/>
  </r>
  <r>
    <n v="44413"/>
    <x v="330"/>
    <x v="3"/>
    <x v="0"/>
    <x v="0"/>
    <s v="Adams Phone Message Book, Professional, 400 Message Capacity, 5 3/6Â” x 11Â”"/>
    <x v="753"/>
    <n v="3"/>
    <n v="9.84"/>
    <x v="7"/>
    <x v="0"/>
  </r>
  <r>
    <n v="44413"/>
    <x v="330"/>
    <x v="3"/>
    <x v="0"/>
    <x v="0"/>
    <s v="Xerox 1913"/>
    <x v="754"/>
    <n v="2"/>
    <n v="53.26"/>
    <x v="7"/>
    <x v="0"/>
  </r>
  <r>
    <n v="44413"/>
    <x v="330"/>
    <x v="3"/>
    <x v="1"/>
    <x v="5"/>
    <s v="Global Value Steno Chair, Gray"/>
    <x v="755"/>
    <n v="7"/>
    <n v="21.26"/>
    <x v="7"/>
    <x v="0"/>
  </r>
  <r>
    <n v="44413"/>
    <x v="331"/>
    <x v="3"/>
    <x v="2"/>
    <x v="9"/>
    <s v="Logitech Desktop MK120 Mouse and keyboard Combo"/>
    <x v="756"/>
    <n v="1"/>
    <n v="1.64"/>
    <x v="7"/>
    <x v="0"/>
  </r>
  <r>
    <n v="44413"/>
    <x v="331"/>
    <x v="3"/>
    <x v="0"/>
    <x v="2"/>
    <s v="Akro Stacking Bins"/>
    <x v="757"/>
    <n v="2"/>
    <n v="0.63"/>
    <x v="7"/>
    <x v="0"/>
  </r>
  <r>
    <n v="44413"/>
    <x v="331"/>
    <x v="3"/>
    <x v="0"/>
    <x v="4"/>
    <s v="Boston KS Multi-Size Manual Pencil Sharpener"/>
    <x v="758"/>
    <n v="2"/>
    <n v="12.87"/>
    <x v="7"/>
    <x v="0"/>
  </r>
  <r>
    <n v="44413"/>
    <x v="332"/>
    <x v="37"/>
    <x v="0"/>
    <x v="12"/>
    <s v="Fellowes Advanced Computer Series Surge Protectors"/>
    <x v="759"/>
    <n v="3"/>
    <n v="22.25"/>
    <x v="7"/>
    <x v="0"/>
  </r>
  <r>
    <n v="44413"/>
    <x v="332"/>
    <x v="37"/>
    <x v="0"/>
    <x v="4"/>
    <s v="Binney &amp; Smith inkTank Erasable Pocket Highlighter, Chisel Tip, Yellow"/>
    <x v="760"/>
    <n v="2"/>
    <n v="2.0099999999999998"/>
    <x v="7"/>
    <x v="0"/>
  </r>
  <r>
    <n v="44413"/>
    <x v="332"/>
    <x v="37"/>
    <x v="1"/>
    <x v="5"/>
    <s v="Hon GuestStacker Chair"/>
    <x v="761"/>
    <n v="5"/>
    <n v="294.67"/>
    <x v="7"/>
    <x v="0"/>
  </r>
  <r>
    <n v="44413"/>
    <x v="153"/>
    <x v="20"/>
    <x v="2"/>
    <x v="6"/>
    <s v="Plantronics CS 50-USB -Â headsetÂ - Convertible, Monaural"/>
    <x v="762"/>
    <n v="1"/>
    <n v="36.72"/>
    <x v="7"/>
    <x v="0"/>
  </r>
  <r>
    <n v="44413"/>
    <x v="153"/>
    <x v="20"/>
    <x v="0"/>
    <x v="4"/>
    <s v="Binney &amp; Smith inkTank Erasable Pocket Highlighter, Chisel Tip, Yellow"/>
    <x v="763"/>
    <n v="7"/>
    <n v="7.02"/>
    <x v="7"/>
    <x v="0"/>
  </r>
  <r>
    <n v="44413"/>
    <x v="333"/>
    <x v="0"/>
    <x v="1"/>
    <x v="13"/>
    <s v="SAFCO PlanMaster Heigh-Adjustable Drafting Table Base, 43w x 30d x 30-37h, Black"/>
    <x v="764"/>
    <n v="2"/>
    <n v="41.93"/>
    <x v="7"/>
    <x v="0"/>
  </r>
  <r>
    <n v="44414"/>
    <x v="334"/>
    <x v="9"/>
    <x v="2"/>
    <x v="9"/>
    <s v="Maxell 74 Minute CD-R Spindle, 50/Pack"/>
    <x v="765"/>
    <n v="3"/>
    <n v="22.65"/>
    <x v="7"/>
    <x v="0"/>
  </r>
  <r>
    <n v="44414"/>
    <x v="335"/>
    <x v="20"/>
    <x v="2"/>
    <x v="9"/>
    <s v="Logitech G700s Rechargeable Gaming Mouse"/>
    <x v="766"/>
    <n v="2"/>
    <n v="83.99"/>
    <x v="7"/>
    <x v="0"/>
  </r>
  <r>
    <n v="44416"/>
    <x v="336"/>
    <x v="3"/>
    <x v="0"/>
    <x v="12"/>
    <s v="Fellowes Superior 10 Outlet Split Surge Protector"/>
    <x v="767"/>
    <n v="2"/>
    <n v="22.07"/>
    <x v="7"/>
    <x v="0"/>
  </r>
  <r>
    <n v="44416"/>
    <x v="336"/>
    <x v="3"/>
    <x v="2"/>
    <x v="16"/>
    <s v="Sharp AL-1530CS Digital Copier"/>
    <x v="768"/>
    <n v="3"/>
    <n v="434.99"/>
    <x v="7"/>
    <x v="0"/>
  </r>
  <r>
    <n v="44416"/>
    <x v="336"/>
    <x v="3"/>
    <x v="2"/>
    <x v="6"/>
    <s v="AT&amp;T 1070 Corded Phone"/>
    <x v="769"/>
    <n v="5"/>
    <n v="55.75"/>
    <x v="7"/>
    <x v="0"/>
  </r>
  <r>
    <n v="44416"/>
    <x v="336"/>
    <x v="3"/>
    <x v="1"/>
    <x v="8"/>
    <s v="Dana Halogen Swing-Arm Architect Lamp"/>
    <x v="770"/>
    <n v="8"/>
    <n v="91.77"/>
    <x v="7"/>
    <x v="0"/>
  </r>
  <r>
    <n v="44416"/>
    <x v="337"/>
    <x v="12"/>
    <x v="1"/>
    <x v="8"/>
    <s v="Eldon Delta Triangular Chair Mat, 52&quot; x 58&quot;, Clear"/>
    <x v="771"/>
    <n v="4"/>
    <n v="-3.03"/>
    <x v="7"/>
    <x v="0"/>
  </r>
  <r>
    <n v="44416"/>
    <x v="337"/>
    <x v="12"/>
    <x v="2"/>
    <x v="9"/>
    <s v="SanDisk Ultra 64 GB MicroSDHC Class 10 Memory Card"/>
    <x v="772"/>
    <n v="3"/>
    <n v="-10.8"/>
    <x v="7"/>
    <x v="0"/>
  </r>
  <r>
    <n v="44416"/>
    <x v="51"/>
    <x v="3"/>
    <x v="0"/>
    <x v="2"/>
    <s v="Advantus Rolling Drawer Organizers"/>
    <x v="773"/>
    <n v="11"/>
    <n v="110.05"/>
    <x v="7"/>
    <x v="0"/>
  </r>
  <r>
    <n v="44416"/>
    <x v="338"/>
    <x v="14"/>
    <x v="2"/>
    <x v="16"/>
    <s v="Sharp 1540cs Digital Laser Copier"/>
    <x v="774"/>
    <n v="1"/>
    <n v="275"/>
    <x v="7"/>
    <x v="0"/>
  </r>
  <r>
    <n v="44416"/>
    <x v="338"/>
    <x v="14"/>
    <x v="0"/>
    <x v="12"/>
    <s v="Acco Smartsocket Table Surge Protector, 6 Color-Coded Adapter Outlets"/>
    <x v="775"/>
    <n v="3"/>
    <n v="37.229999999999997"/>
    <x v="7"/>
    <x v="0"/>
  </r>
  <r>
    <n v="44416"/>
    <x v="338"/>
    <x v="14"/>
    <x v="0"/>
    <x v="10"/>
    <s v="Globe Weis Peel &amp; Seel First Class Envelopes"/>
    <x v="776"/>
    <n v="3"/>
    <n v="17.25"/>
    <x v="7"/>
    <x v="0"/>
  </r>
  <r>
    <n v="44416"/>
    <x v="338"/>
    <x v="14"/>
    <x v="1"/>
    <x v="8"/>
    <s v="Nu-Dell Float Frame 11 x 14 1/2"/>
    <x v="777"/>
    <n v="6"/>
    <n v="22.63"/>
    <x v="7"/>
    <x v="0"/>
  </r>
  <r>
    <n v="44416"/>
    <x v="338"/>
    <x v="14"/>
    <x v="2"/>
    <x v="6"/>
    <s v="Motorola Droid Maxx"/>
    <x v="778"/>
    <n v="2"/>
    <n v="83.99"/>
    <x v="7"/>
    <x v="0"/>
  </r>
  <r>
    <n v="44416"/>
    <x v="339"/>
    <x v="16"/>
    <x v="1"/>
    <x v="11"/>
    <s v="O'Sullivan 2-Shelf Heavy-Duty Bookcases"/>
    <x v="779"/>
    <n v="4"/>
    <n v="-7.77"/>
    <x v="7"/>
    <x v="0"/>
  </r>
  <r>
    <n v="44417"/>
    <x v="340"/>
    <x v="16"/>
    <x v="2"/>
    <x v="6"/>
    <s v="AT&amp;T 1070 Corded Phone"/>
    <x v="780"/>
    <n v="2"/>
    <n v="22.3"/>
    <x v="7"/>
    <x v="0"/>
  </r>
  <r>
    <n v="44417"/>
    <x v="340"/>
    <x v="16"/>
    <x v="0"/>
    <x v="0"/>
    <s v="Xerox 21"/>
    <x v="143"/>
    <n v="3"/>
    <n v="5.44"/>
    <x v="7"/>
    <x v="0"/>
  </r>
  <r>
    <n v="44417"/>
    <x v="341"/>
    <x v="3"/>
    <x v="0"/>
    <x v="1"/>
    <s v="Avery 494"/>
    <x v="673"/>
    <n v="8"/>
    <n v="9.6"/>
    <x v="7"/>
    <x v="0"/>
  </r>
  <r>
    <n v="44417"/>
    <x v="342"/>
    <x v="22"/>
    <x v="2"/>
    <x v="6"/>
    <s v="Cisco Unified IP Phone 7945G VoIP phone"/>
    <x v="781"/>
    <n v="4"/>
    <n v="68.2"/>
    <x v="7"/>
    <x v="0"/>
  </r>
  <r>
    <n v="44417"/>
    <x v="342"/>
    <x v="22"/>
    <x v="2"/>
    <x v="6"/>
    <s v="Jawbone MINI JAMBOX Wireless Bluetooth Speaker"/>
    <x v="782"/>
    <n v="2"/>
    <n v="-43.83"/>
    <x v="7"/>
    <x v="0"/>
  </r>
  <r>
    <n v="44417"/>
    <x v="343"/>
    <x v="22"/>
    <x v="0"/>
    <x v="3"/>
    <s v="Ibico Ibimaster 300 Manual Binding System"/>
    <x v="783"/>
    <n v="7"/>
    <n v="643.98"/>
    <x v="7"/>
    <x v="0"/>
  </r>
  <r>
    <n v="44417"/>
    <x v="344"/>
    <x v="3"/>
    <x v="0"/>
    <x v="0"/>
    <s v="Great White Multi-Use Recycled Paper (20Lb. and 84 Bright)"/>
    <x v="784"/>
    <n v="1"/>
    <n v="2.69"/>
    <x v="7"/>
    <x v="0"/>
  </r>
  <r>
    <n v="44417"/>
    <x v="310"/>
    <x v="12"/>
    <x v="0"/>
    <x v="7"/>
    <s v="Super Bands, 12/Pack"/>
    <x v="785"/>
    <n v="3"/>
    <n v="-0.95"/>
    <x v="7"/>
    <x v="0"/>
  </r>
  <r>
    <n v="44417"/>
    <x v="310"/>
    <x v="12"/>
    <x v="0"/>
    <x v="3"/>
    <s v="Avery Hole Reinforcements"/>
    <x v="786"/>
    <n v="5"/>
    <n v="-6.54"/>
    <x v="7"/>
    <x v="0"/>
  </r>
  <r>
    <n v="44419"/>
    <x v="193"/>
    <x v="22"/>
    <x v="1"/>
    <x v="8"/>
    <s v="Eldon Image Series Desk Accessories, Ebony"/>
    <x v="79"/>
    <n v="1"/>
    <n v="5.43"/>
    <x v="7"/>
    <x v="0"/>
  </r>
  <r>
    <n v="44419"/>
    <x v="193"/>
    <x v="22"/>
    <x v="0"/>
    <x v="4"/>
    <s v="Sanford 52201 APSCO Electric Pencil Sharpener"/>
    <x v="787"/>
    <n v="1"/>
    <n v="10.65"/>
    <x v="7"/>
    <x v="0"/>
  </r>
  <r>
    <n v="44419"/>
    <x v="193"/>
    <x v="22"/>
    <x v="0"/>
    <x v="7"/>
    <s v="Vinyl Coated Wire Paper Clips in Organizer Box, 800/Box"/>
    <x v="44"/>
    <n v="2"/>
    <n v="10.79"/>
    <x v="7"/>
    <x v="0"/>
  </r>
  <r>
    <n v="44419"/>
    <x v="318"/>
    <x v="20"/>
    <x v="0"/>
    <x v="2"/>
    <s v="Tennsco Single-Tier Lockers"/>
    <x v="788"/>
    <n v="1"/>
    <n v="18.77"/>
    <x v="7"/>
    <x v="0"/>
  </r>
  <r>
    <n v="44420"/>
    <x v="345"/>
    <x v="23"/>
    <x v="0"/>
    <x v="3"/>
    <s v="Performers Binder/Pad Holder, Black"/>
    <x v="789"/>
    <n v="7"/>
    <n v="98.11"/>
    <x v="7"/>
    <x v="0"/>
  </r>
  <r>
    <n v="44420"/>
    <x v="346"/>
    <x v="3"/>
    <x v="2"/>
    <x v="6"/>
    <s v="BlackBerry Q10"/>
    <x v="790"/>
    <n v="8"/>
    <n v="50.4"/>
    <x v="7"/>
    <x v="0"/>
  </r>
  <r>
    <n v="44420"/>
    <x v="346"/>
    <x v="3"/>
    <x v="1"/>
    <x v="8"/>
    <s v="Seth Thomas 14&quot; Day/Date Wall Clock"/>
    <x v="791"/>
    <n v="3"/>
    <n v="31.61"/>
    <x v="7"/>
    <x v="0"/>
  </r>
  <r>
    <n v="44420"/>
    <x v="347"/>
    <x v="16"/>
    <x v="0"/>
    <x v="0"/>
    <s v="Xerox 229"/>
    <x v="792"/>
    <n v="6"/>
    <n v="10.89"/>
    <x v="7"/>
    <x v="0"/>
  </r>
  <r>
    <n v="44420"/>
    <x v="347"/>
    <x v="16"/>
    <x v="0"/>
    <x v="4"/>
    <s v="Bulldog Vacuum Base Pencil Sharpener"/>
    <x v="793"/>
    <n v="5"/>
    <n v="4.2"/>
    <x v="7"/>
    <x v="0"/>
  </r>
  <r>
    <n v="44420"/>
    <x v="347"/>
    <x v="16"/>
    <x v="2"/>
    <x v="9"/>
    <s v="Maxell 4.7GB DVD-R"/>
    <x v="794"/>
    <n v="7"/>
    <n v="41.72"/>
    <x v="7"/>
    <x v="0"/>
  </r>
  <r>
    <n v="44420"/>
    <x v="347"/>
    <x v="16"/>
    <x v="0"/>
    <x v="12"/>
    <s v="Acco Smartsocket Color-Coded Six-Outlet AC Adapter Model Surge Protectors"/>
    <x v="795"/>
    <n v="6"/>
    <n v="15.84"/>
    <x v="7"/>
    <x v="0"/>
  </r>
  <r>
    <n v="44420"/>
    <x v="347"/>
    <x v="16"/>
    <x v="0"/>
    <x v="14"/>
    <s v="Acco Side-Punched Conventional Columnar Pads"/>
    <x v="796"/>
    <n v="2"/>
    <n v="-1.04"/>
    <x v="7"/>
    <x v="0"/>
  </r>
  <r>
    <n v="44420"/>
    <x v="347"/>
    <x v="16"/>
    <x v="0"/>
    <x v="1"/>
    <s v="Avery 501"/>
    <x v="797"/>
    <n v="1"/>
    <n v="1"/>
    <x v="7"/>
    <x v="0"/>
  </r>
  <r>
    <n v="44420"/>
    <x v="172"/>
    <x v="4"/>
    <x v="0"/>
    <x v="3"/>
    <s v="Acco Translucent Poly Ring Binders"/>
    <x v="798"/>
    <n v="3"/>
    <n v="6.74"/>
    <x v="7"/>
    <x v="0"/>
  </r>
  <r>
    <n v="44420"/>
    <x v="172"/>
    <x v="4"/>
    <x v="2"/>
    <x v="9"/>
    <s v="Maxell 74 Minute CD-R Spindle, 50/Pack"/>
    <x v="799"/>
    <n v="13"/>
    <n v="98.14"/>
    <x v="7"/>
    <x v="0"/>
  </r>
  <r>
    <n v="44423"/>
    <x v="348"/>
    <x v="0"/>
    <x v="0"/>
    <x v="3"/>
    <s v="GBC Durable Plastic Covers"/>
    <x v="800"/>
    <n v="8"/>
    <n v="-52.63"/>
    <x v="7"/>
    <x v="0"/>
  </r>
  <r>
    <n v="44423"/>
    <x v="349"/>
    <x v="37"/>
    <x v="0"/>
    <x v="3"/>
    <s v="Premium Transparent Presentation Covers by GBC"/>
    <x v="801"/>
    <n v="3"/>
    <n v="30.21"/>
    <x v="7"/>
    <x v="0"/>
  </r>
  <r>
    <n v="44423"/>
    <x v="349"/>
    <x v="16"/>
    <x v="0"/>
    <x v="0"/>
    <s v="Xerox 1955"/>
    <x v="802"/>
    <n v="5"/>
    <n v="29.69"/>
    <x v="7"/>
    <x v="0"/>
  </r>
  <r>
    <n v="44423"/>
    <x v="349"/>
    <x v="16"/>
    <x v="0"/>
    <x v="12"/>
    <s v="Fellowes Superior 10 Outlet Split Surge Protector"/>
    <x v="803"/>
    <n v="5"/>
    <n v="17.13"/>
    <x v="7"/>
    <x v="0"/>
  </r>
  <r>
    <n v="44423"/>
    <x v="12"/>
    <x v="3"/>
    <x v="0"/>
    <x v="12"/>
    <s v="Tripp Lite TLP810NET Broadband Surge for Modem/Fax"/>
    <x v="804"/>
    <n v="3"/>
    <n v="42.81"/>
    <x v="7"/>
    <x v="0"/>
  </r>
  <r>
    <n v="44423"/>
    <x v="12"/>
    <x v="3"/>
    <x v="0"/>
    <x v="0"/>
    <s v="Xerox 1925"/>
    <x v="805"/>
    <n v="3"/>
    <n v="41.82"/>
    <x v="7"/>
    <x v="0"/>
  </r>
  <r>
    <n v="44423"/>
    <x v="12"/>
    <x v="3"/>
    <x v="0"/>
    <x v="3"/>
    <s v="Avery Heavy-Duty EZD  Binder With Locking Rings"/>
    <x v="333"/>
    <n v="4"/>
    <n v="6.25"/>
    <x v="7"/>
    <x v="0"/>
  </r>
  <r>
    <n v="44423"/>
    <x v="12"/>
    <x v="3"/>
    <x v="0"/>
    <x v="3"/>
    <s v="GBC Durable Plastic Covers"/>
    <x v="806"/>
    <n v="3"/>
    <n v="15.09"/>
    <x v="7"/>
    <x v="0"/>
  </r>
  <r>
    <n v="44423"/>
    <x v="12"/>
    <x v="3"/>
    <x v="1"/>
    <x v="5"/>
    <s v="Novimex Fabric Task Chair"/>
    <x v="807"/>
    <n v="4"/>
    <n v="-12.2"/>
    <x v="7"/>
    <x v="0"/>
  </r>
  <r>
    <n v="44424"/>
    <x v="350"/>
    <x v="2"/>
    <x v="1"/>
    <x v="13"/>
    <s v="Chromcraft Rectangular Conference Tables"/>
    <x v="808"/>
    <n v="6"/>
    <n v="-227.49"/>
    <x v="7"/>
    <x v="0"/>
  </r>
  <r>
    <n v="44425"/>
    <x v="127"/>
    <x v="0"/>
    <x v="0"/>
    <x v="0"/>
    <s v="Xerox 203"/>
    <x v="143"/>
    <n v="3"/>
    <n v="5.44"/>
    <x v="7"/>
    <x v="0"/>
  </r>
  <r>
    <n v="44425"/>
    <x v="351"/>
    <x v="13"/>
    <x v="0"/>
    <x v="0"/>
    <s v="Xerox 1929"/>
    <x v="809"/>
    <n v="5"/>
    <n v="52.53"/>
    <x v="7"/>
    <x v="0"/>
  </r>
  <r>
    <n v="44425"/>
    <x v="351"/>
    <x v="13"/>
    <x v="0"/>
    <x v="3"/>
    <s v="Avery Non-Stick Binders"/>
    <x v="465"/>
    <n v="4"/>
    <n v="8.26"/>
    <x v="7"/>
    <x v="0"/>
  </r>
  <r>
    <n v="44425"/>
    <x v="351"/>
    <x v="13"/>
    <x v="0"/>
    <x v="7"/>
    <s v="Colored Push Pins"/>
    <x v="810"/>
    <n v="7"/>
    <n v="4.5599999999999996"/>
    <x v="7"/>
    <x v="0"/>
  </r>
  <r>
    <n v="44425"/>
    <x v="351"/>
    <x v="13"/>
    <x v="2"/>
    <x v="9"/>
    <s v="LogitechÂ Gaming G510s - Keyboard"/>
    <x v="811"/>
    <n v="4"/>
    <n v="122.39"/>
    <x v="7"/>
    <x v="0"/>
  </r>
  <r>
    <n v="44427"/>
    <x v="232"/>
    <x v="10"/>
    <x v="0"/>
    <x v="4"/>
    <s v="Turquoise Lead Holder with Pocket Clip"/>
    <x v="812"/>
    <n v="2"/>
    <n v="1.74"/>
    <x v="7"/>
    <x v="0"/>
  </r>
  <r>
    <n v="44427"/>
    <x v="282"/>
    <x v="10"/>
    <x v="0"/>
    <x v="3"/>
    <s v="GBC DocuBind P50 Personal Binding Machine"/>
    <x v="813"/>
    <n v="4"/>
    <n v="-58.86"/>
    <x v="7"/>
    <x v="0"/>
  </r>
  <r>
    <n v="44427"/>
    <x v="282"/>
    <x v="10"/>
    <x v="0"/>
    <x v="14"/>
    <s v="Acme Kleencut Forged Steel Scissors"/>
    <x v="814"/>
    <n v="2"/>
    <n v="1.1499999999999999"/>
    <x v="7"/>
    <x v="0"/>
  </r>
  <r>
    <n v="44427"/>
    <x v="352"/>
    <x v="13"/>
    <x v="1"/>
    <x v="11"/>
    <s v="Hon Metal Bookcases, Gray"/>
    <x v="815"/>
    <n v="9"/>
    <n v="172.48"/>
    <x v="7"/>
    <x v="0"/>
  </r>
  <r>
    <n v="44427"/>
    <x v="17"/>
    <x v="3"/>
    <x v="1"/>
    <x v="8"/>
    <s v="Deflect-o EconoMat Studded, No Bevel Mat for Low Pile Carpeting"/>
    <x v="816"/>
    <n v="7"/>
    <n v="26.03"/>
    <x v="7"/>
    <x v="0"/>
  </r>
  <r>
    <n v="44427"/>
    <x v="17"/>
    <x v="3"/>
    <x v="0"/>
    <x v="3"/>
    <s v="Satellite Sectional Post Binders"/>
    <x v="817"/>
    <n v="2"/>
    <n v="22.57"/>
    <x v="7"/>
    <x v="0"/>
  </r>
  <r>
    <n v="44427"/>
    <x v="183"/>
    <x v="4"/>
    <x v="0"/>
    <x v="2"/>
    <s v="Space Solutions HD Industrial Steel Shelving."/>
    <x v="818"/>
    <n v="3"/>
    <n v="10.35"/>
    <x v="7"/>
    <x v="0"/>
  </r>
  <r>
    <n v="44428"/>
    <x v="353"/>
    <x v="1"/>
    <x v="1"/>
    <x v="5"/>
    <s v="Global Leather and Oak Executive Chair, Black"/>
    <x v="819"/>
    <n v="2"/>
    <n v="-6.02"/>
    <x v="7"/>
    <x v="0"/>
  </r>
  <r>
    <n v="44428"/>
    <x v="317"/>
    <x v="6"/>
    <x v="1"/>
    <x v="5"/>
    <s v="Safco Chair Connectors, 6/Carton"/>
    <x v="820"/>
    <n v="13"/>
    <n v="145.07"/>
    <x v="7"/>
    <x v="0"/>
  </r>
  <r>
    <n v="44428"/>
    <x v="317"/>
    <x v="6"/>
    <x v="0"/>
    <x v="0"/>
    <s v="Riverleaf Stik-Withit Designer Note Cubes"/>
    <x v="821"/>
    <n v="2"/>
    <n v="9.26"/>
    <x v="7"/>
    <x v="0"/>
  </r>
  <r>
    <n v="44428"/>
    <x v="317"/>
    <x v="6"/>
    <x v="0"/>
    <x v="3"/>
    <s v="GBC DocuBind TL300 Electric Binding System"/>
    <x v="822"/>
    <n v="1"/>
    <n v="421.59"/>
    <x v="7"/>
    <x v="0"/>
  </r>
  <r>
    <n v="44430"/>
    <x v="354"/>
    <x v="10"/>
    <x v="0"/>
    <x v="4"/>
    <s v="Faber Castell Col-Erase Pencils"/>
    <x v="823"/>
    <n v="1"/>
    <n v="1.03"/>
    <x v="7"/>
    <x v="0"/>
  </r>
  <r>
    <n v="44430"/>
    <x v="355"/>
    <x v="16"/>
    <x v="0"/>
    <x v="14"/>
    <s v="Acme Serrated Blade Letter Opener"/>
    <x v="824"/>
    <n v="3"/>
    <n v="-1.81"/>
    <x v="7"/>
    <x v="0"/>
  </r>
  <r>
    <n v="44430"/>
    <x v="259"/>
    <x v="24"/>
    <x v="0"/>
    <x v="0"/>
    <s v="Xerox 1899"/>
    <x v="825"/>
    <n v="2"/>
    <n v="5.66"/>
    <x v="7"/>
    <x v="0"/>
  </r>
  <r>
    <n v="44431"/>
    <x v="356"/>
    <x v="20"/>
    <x v="0"/>
    <x v="0"/>
    <s v="Xerox 1994"/>
    <x v="499"/>
    <n v="4"/>
    <n v="12.44"/>
    <x v="7"/>
    <x v="0"/>
  </r>
  <r>
    <n v="44431"/>
    <x v="356"/>
    <x v="20"/>
    <x v="0"/>
    <x v="0"/>
    <s v="Personal Creations Ink Jet Cards and Labels"/>
    <x v="826"/>
    <n v="4"/>
    <n v="22.5"/>
    <x v="7"/>
    <x v="0"/>
  </r>
  <r>
    <n v="44431"/>
    <x v="357"/>
    <x v="3"/>
    <x v="0"/>
    <x v="3"/>
    <s v="GBC Linen Binding Covers"/>
    <x v="827"/>
    <n v="2"/>
    <n v="17.350000000000001"/>
    <x v="7"/>
    <x v="0"/>
  </r>
  <r>
    <n v="44431"/>
    <x v="358"/>
    <x v="26"/>
    <x v="0"/>
    <x v="0"/>
    <s v="Xerox 1976"/>
    <x v="143"/>
    <n v="3"/>
    <n v="5.44"/>
    <x v="7"/>
    <x v="0"/>
  </r>
  <r>
    <n v="44431"/>
    <x v="358"/>
    <x v="26"/>
    <x v="0"/>
    <x v="14"/>
    <s v="Acme Titanium Bonded Scissors"/>
    <x v="828"/>
    <n v="1"/>
    <n v="0.51"/>
    <x v="7"/>
    <x v="0"/>
  </r>
  <r>
    <n v="44431"/>
    <x v="358"/>
    <x v="26"/>
    <x v="1"/>
    <x v="8"/>
    <s v="Regeneration Desk Collection"/>
    <x v="829"/>
    <n v="3"/>
    <n v="1.27"/>
    <x v="7"/>
    <x v="0"/>
  </r>
  <r>
    <n v="44431"/>
    <x v="358"/>
    <x v="26"/>
    <x v="2"/>
    <x v="6"/>
    <s v="Cisco SPA525G2 IP Phone - Wireless"/>
    <x v="830"/>
    <n v="9"/>
    <n v="10.77"/>
    <x v="7"/>
    <x v="0"/>
  </r>
  <r>
    <n v="44431"/>
    <x v="358"/>
    <x v="26"/>
    <x v="0"/>
    <x v="0"/>
    <s v="Xerox 1931"/>
    <x v="792"/>
    <n v="6"/>
    <n v="10.89"/>
    <x v="7"/>
    <x v="0"/>
  </r>
  <r>
    <n v="44431"/>
    <x v="358"/>
    <x v="26"/>
    <x v="0"/>
    <x v="0"/>
    <s v="Xerox 1988"/>
    <x v="831"/>
    <n v="9"/>
    <n v="69.709999999999994"/>
    <x v="7"/>
    <x v="0"/>
  </r>
  <r>
    <n v="44431"/>
    <x v="234"/>
    <x v="14"/>
    <x v="0"/>
    <x v="0"/>
    <s v="Xerox 1993"/>
    <x v="5"/>
    <n v="3"/>
    <n v="9.5299999999999994"/>
    <x v="7"/>
    <x v="0"/>
  </r>
  <r>
    <n v="44432"/>
    <x v="357"/>
    <x v="35"/>
    <x v="0"/>
    <x v="3"/>
    <s v="SlimView Poly Binder, 3/8&quot;"/>
    <x v="832"/>
    <n v="2"/>
    <n v="2.69"/>
    <x v="7"/>
    <x v="0"/>
  </r>
  <r>
    <n v="44432"/>
    <x v="359"/>
    <x v="20"/>
    <x v="1"/>
    <x v="8"/>
    <s v="G.E. Longer-Life Indoor Recessed Floodlight Bulbs"/>
    <x v="833"/>
    <n v="2"/>
    <n v="6.37"/>
    <x v="7"/>
    <x v="0"/>
  </r>
  <r>
    <n v="44432"/>
    <x v="359"/>
    <x v="20"/>
    <x v="0"/>
    <x v="3"/>
    <s v="Wilson Jones 1&quot; Hanging DublLock Ring Binders"/>
    <x v="810"/>
    <n v="3"/>
    <n v="4.4400000000000004"/>
    <x v="7"/>
    <x v="0"/>
  </r>
  <r>
    <n v="44432"/>
    <x v="360"/>
    <x v="5"/>
    <x v="0"/>
    <x v="14"/>
    <s v="Acme Titanium Bonded Scissors"/>
    <x v="834"/>
    <n v="3"/>
    <n v="6.63"/>
    <x v="7"/>
    <x v="0"/>
  </r>
  <r>
    <n v="44433"/>
    <x v="361"/>
    <x v="10"/>
    <x v="0"/>
    <x v="7"/>
    <s v="OIC Colored Binder Clips, Assorted Sizes"/>
    <x v="835"/>
    <n v="14"/>
    <n v="14.53"/>
    <x v="7"/>
    <x v="0"/>
  </r>
  <r>
    <n v="44433"/>
    <x v="361"/>
    <x v="10"/>
    <x v="0"/>
    <x v="10"/>
    <s v="Redi-Strip #10 Envelopes, 4 1/8 x 9 1/2"/>
    <x v="836"/>
    <n v="2"/>
    <n v="1.65"/>
    <x v="7"/>
    <x v="0"/>
  </r>
  <r>
    <n v="44433"/>
    <x v="361"/>
    <x v="10"/>
    <x v="0"/>
    <x v="0"/>
    <s v="Xerox 1921"/>
    <x v="837"/>
    <n v="3"/>
    <n v="7.49"/>
    <x v="7"/>
    <x v="0"/>
  </r>
  <r>
    <n v="44433"/>
    <x v="361"/>
    <x v="10"/>
    <x v="0"/>
    <x v="10"/>
    <s v="Tyvek  Top-Opening Peel &amp; Seel Envelopes, Plain White"/>
    <x v="838"/>
    <n v="6"/>
    <n v="44.03"/>
    <x v="7"/>
    <x v="0"/>
  </r>
  <r>
    <n v="44433"/>
    <x v="362"/>
    <x v="3"/>
    <x v="1"/>
    <x v="8"/>
    <s v="Eldon 200 Class Desk Accessories, Smoke"/>
    <x v="839"/>
    <n v="1"/>
    <n v="2.64"/>
    <x v="7"/>
    <x v="0"/>
  </r>
  <r>
    <n v="44433"/>
    <x v="362"/>
    <x v="3"/>
    <x v="2"/>
    <x v="9"/>
    <s v="SanDisk Cruzer 32 GB USB Flash Drive"/>
    <x v="840"/>
    <n v="5"/>
    <n v="30.43"/>
    <x v="7"/>
    <x v="0"/>
  </r>
  <r>
    <n v="44433"/>
    <x v="362"/>
    <x v="3"/>
    <x v="0"/>
    <x v="0"/>
    <s v="Xerox 23"/>
    <x v="499"/>
    <n v="4"/>
    <n v="12.44"/>
    <x v="7"/>
    <x v="0"/>
  </r>
  <r>
    <n v="44433"/>
    <x v="362"/>
    <x v="3"/>
    <x v="0"/>
    <x v="2"/>
    <s v="Portable Personal File Box"/>
    <x v="841"/>
    <n v="4"/>
    <n v="13.19"/>
    <x v="7"/>
    <x v="0"/>
  </r>
  <r>
    <n v="44433"/>
    <x v="363"/>
    <x v="22"/>
    <x v="2"/>
    <x v="6"/>
    <s v="Polycom VVX 310 VoIP phone"/>
    <x v="842"/>
    <n v="7"/>
    <n v="75.599999999999994"/>
    <x v="7"/>
    <x v="0"/>
  </r>
  <r>
    <n v="44433"/>
    <x v="364"/>
    <x v="0"/>
    <x v="0"/>
    <x v="3"/>
    <s v="Wilson Jones Elliptical Ring 3 1/2&quot; Capacity Binders, 800 sheets"/>
    <x v="843"/>
    <n v="3"/>
    <n v="-39.799999999999997"/>
    <x v="7"/>
    <x v="0"/>
  </r>
  <r>
    <n v="44433"/>
    <x v="364"/>
    <x v="0"/>
    <x v="0"/>
    <x v="3"/>
    <s v="Square Ring Data Binders, Rigid 75 Pt. Covers, 11&quot; x 14-7/8&quot;"/>
    <x v="844"/>
    <n v="3"/>
    <n v="-19.809999999999999"/>
    <x v="7"/>
    <x v="0"/>
  </r>
  <r>
    <n v="44433"/>
    <x v="14"/>
    <x v="10"/>
    <x v="0"/>
    <x v="3"/>
    <s v="Wilson Jones Custom Binder Spines &amp; Labels"/>
    <x v="845"/>
    <n v="4"/>
    <n v="-4.57"/>
    <x v="7"/>
    <x v="0"/>
  </r>
  <r>
    <n v="44433"/>
    <x v="14"/>
    <x v="10"/>
    <x v="0"/>
    <x v="3"/>
    <s v="Insertable Tab Indexes For Data Binders"/>
    <x v="846"/>
    <n v="3"/>
    <n v="-2.29"/>
    <x v="7"/>
    <x v="0"/>
  </r>
  <r>
    <n v="44433"/>
    <x v="14"/>
    <x v="10"/>
    <x v="0"/>
    <x v="3"/>
    <s v="Cardinal Slant-D Ring Binder, Heavy Gauge Vinyl"/>
    <x v="371"/>
    <n v="8"/>
    <n v="-16.68"/>
    <x v="7"/>
    <x v="0"/>
  </r>
  <r>
    <n v="44434"/>
    <x v="365"/>
    <x v="3"/>
    <x v="2"/>
    <x v="9"/>
    <s v="SanDisk Ultra 32 GB MicroSDHC Class 10 Memory Card"/>
    <x v="847"/>
    <n v="8"/>
    <n v="22.98"/>
    <x v="7"/>
    <x v="0"/>
  </r>
  <r>
    <n v="44434"/>
    <x v="366"/>
    <x v="7"/>
    <x v="1"/>
    <x v="8"/>
    <s v="Acrylic Self-Standing Desk Frames"/>
    <x v="69"/>
    <n v="4"/>
    <n v="4.0599999999999996"/>
    <x v="7"/>
    <x v="0"/>
  </r>
  <r>
    <n v="44434"/>
    <x v="366"/>
    <x v="7"/>
    <x v="0"/>
    <x v="0"/>
    <s v="Xerox 1978"/>
    <x v="848"/>
    <n v="3"/>
    <n v="8.5"/>
    <x v="7"/>
    <x v="0"/>
  </r>
  <r>
    <n v="44434"/>
    <x v="366"/>
    <x v="7"/>
    <x v="0"/>
    <x v="0"/>
    <s v="Avoid Verbal Orders Carbonless Minifold Book"/>
    <x v="167"/>
    <n v="1"/>
    <n v="1.55"/>
    <x v="7"/>
    <x v="0"/>
  </r>
  <r>
    <n v="44434"/>
    <x v="367"/>
    <x v="7"/>
    <x v="0"/>
    <x v="4"/>
    <s v="Newell 340"/>
    <x v="406"/>
    <n v="3"/>
    <n v="2.5099999999999998"/>
    <x v="7"/>
    <x v="0"/>
  </r>
  <r>
    <n v="44434"/>
    <x v="367"/>
    <x v="7"/>
    <x v="2"/>
    <x v="9"/>
    <s v="Plantronics Audio 478 Stereo USB Headset"/>
    <x v="434"/>
    <n v="3"/>
    <n v="52.49"/>
    <x v="7"/>
    <x v="0"/>
  </r>
  <r>
    <n v="44435"/>
    <x v="368"/>
    <x v="3"/>
    <x v="0"/>
    <x v="4"/>
    <s v="Newell 341"/>
    <x v="507"/>
    <n v="2"/>
    <n v="2.48"/>
    <x v="7"/>
    <x v="0"/>
  </r>
  <r>
    <n v="44435"/>
    <x v="368"/>
    <x v="3"/>
    <x v="2"/>
    <x v="6"/>
    <s v="Cisco SPA 501G IP Phone"/>
    <x v="849"/>
    <n v="3"/>
    <n v="16.010000000000002"/>
    <x v="7"/>
    <x v="0"/>
  </r>
  <r>
    <n v="44435"/>
    <x v="368"/>
    <x v="3"/>
    <x v="0"/>
    <x v="3"/>
    <s v="Wilson Jones Hanging View Binder, White, 1&quot;"/>
    <x v="850"/>
    <n v="4"/>
    <n v="7.38"/>
    <x v="7"/>
    <x v="0"/>
  </r>
  <r>
    <n v="44435"/>
    <x v="369"/>
    <x v="6"/>
    <x v="2"/>
    <x v="6"/>
    <s v="GE 30522EE2"/>
    <x v="851"/>
    <n v="5"/>
    <n v="168.19"/>
    <x v="7"/>
    <x v="0"/>
  </r>
  <r>
    <n v="44435"/>
    <x v="369"/>
    <x v="6"/>
    <x v="1"/>
    <x v="8"/>
    <s v="Master Caster Door Stop, Large Neon Orange"/>
    <x v="852"/>
    <n v="4"/>
    <n v="12.52"/>
    <x v="7"/>
    <x v="0"/>
  </r>
  <r>
    <n v="44435"/>
    <x v="369"/>
    <x v="6"/>
    <x v="1"/>
    <x v="13"/>
    <s v="Bretford CR8500 Series Meeting Room Furniture"/>
    <x v="853"/>
    <n v="3"/>
    <n v="300.74"/>
    <x v="7"/>
    <x v="0"/>
  </r>
  <r>
    <n v="44435"/>
    <x v="13"/>
    <x v="6"/>
    <x v="0"/>
    <x v="0"/>
    <s v="Xerox 1898"/>
    <x v="518"/>
    <n v="2"/>
    <n v="6.41"/>
    <x v="7"/>
    <x v="0"/>
  </r>
  <r>
    <n v="44437"/>
    <x v="370"/>
    <x v="3"/>
    <x v="0"/>
    <x v="0"/>
    <s v="Xerox 1940"/>
    <x v="854"/>
    <n v="2"/>
    <n v="53.86"/>
    <x v="7"/>
    <x v="0"/>
  </r>
  <r>
    <n v="44437"/>
    <x v="370"/>
    <x v="3"/>
    <x v="0"/>
    <x v="0"/>
    <s v="Xerox 1986"/>
    <x v="518"/>
    <n v="2"/>
    <n v="6.41"/>
    <x v="7"/>
    <x v="0"/>
  </r>
  <r>
    <n v="44437"/>
    <x v="371"/>
    <x v="16"/>
    <x v="0"/>
    <x v="10"/>
    <s v="Jiffy Padded Mailers with Self-Seal Closure"/>
    <x v="855"/>
    <n v="2"/>
    <n v="10.81"/>
    <x v="7"/>
    <x v="0"/>
  </r>
  <r>
    <n v="44437"/>
    <x v="371"/>
    <x v="16"/>
    <x v="0"/>
    <x v="3"/>
    <s v="GBC DocuBind 200 Manual Binding Machine"/>
    <x v="856"/>
    <n v="4"/>
    <n v="-336.78"/>
    <x v="7"/>
    <x v="0"/>
  </r>
  <r>
    <n v="44437"/>
    <x v="371"/>
    <x v="16"/>
    <x v="1"/>
    <x v="13"/>
    <s v="Balt Solid Wood Rectangular Table"/>
    <x v="857"/>
    <n v="3"/>
    <n v="-110.76"/>
    <x v="7"/>
    <x v="0"/>
  </r>
  <r>
    <n v="44438"/>
    <x v="372"/>
    <x v="37"/>
    <x v="0"/>
    <x v="3"/>
    <s v="Wilson Jones Standard D-Ring Binders"/>
    <x v="858"/>
    <n v="5"/>
    <n v="11.89"/>
    <x v="7"/>
    <x v="0"/>
  </r>
  <r>
    <n v="44438"/>
    <x v="372"/>
    <x v="37"/>
    <x v="0"/>
    <x v="2"/>
    <s v="Fellowes Bankers Box Stor/Drawer Steel Plus"/>
    <x v="859"/>
    <n v="3"/>
    <n v="9.59"/>
    <x v="7"/>
    <x v="0"/>
  </r>
  <r>
    <n v="44439"/>
    <x v="373"/>
    <x v="31"/>
    <x v="2"/>
    <x v="9"/>
    <s v="KeyTronicÂ KT400U2 -Â KeyboardÂ - Black"/>
    <x v="860"/>
    <n v="9"/>
    <n v="18.5"/>
    <x v="7"/>
    <x v="0"/>
  </r>
  <r>
    <n v="44440"/>
    <x v="374"/>
    <x v="3"/>
    <x v="0"/>
    <x v="4"/>
    <s v="BOSTON Model 1800 Electric Pencil Sharpeners, Putty/Woodgrain"/>
    <x v="861"/>
    <n v="3"/>
    <n v="15.64"/>
    <x v="8"/>
    <x v="0"/>
  </r>
  <r>
    <n v="44440"/>
    <x v="304"/>
    <x v="0"/>
    <x v="0"/>
    <x v="3"/>
    <s v="Prestige Round Ring Binders"/>
    <x v="862"/>
    <n v="3"/>
    <n v="-6.02"/>
    <x v="8"/>
    <x v="0"/>
  </r>
  <r>
    <n v="44440"/>
    <x v="304"/>
    <x v="0"/>
    <x v="0"/>
    <x v="0"/>
    <s v="Xerox 216"/>
    <x v="792"/>
    <n v="6"/>
    <n v="10.89"/>
    <x v="8"/>
    <x v="0"/>
  </r>
  <r>
    <n v="44440"/>
    <x v="352"/>
    <x v="20"/>
    <x v="0"/>
    <x v="3"/>
    <s v="Wilson Jones Hanging Recycled Pressboard Data Binders"/>
    <x v="863"/>
    <n v="2"/>
    <n v="8.31"/>
    <x v="8"/>
    <x v="0"/>
  </r>
  <r>
    <n v="44440"/>
    <x v="352"/>
    <x v="20"/>
    <x v="2"/>
    <x v="9"/>
    <s v="WD My Passport Ultra 2TB Portable External Hard Drive"/>
    <x v="864"/>
    <n v="3"/>
    <n v="57.12"/>
    <x v="8"/>
    <x v="0"/>
  </r>
  <r>
    <n v="44441"/>
    <x v="176"/>
    <x v="20"/>
    <x v="0"/>
    <x v="12"/>
    <s v="Holmes Cool Mist Humidifier for the Whole House with 8-Gallon Output per Day, Extended Life Filter"/>
    <x v="29"/>
    <n v="1"/>
    <n v="8.9600000000000009"/>
    <x v="8"/>
    <x v="0"/>
  </r>
  <r>
    <n v="44441"/>
    <x v="176"/>
    <x v="20"/>
    <x v="1"/>
    <x v="8"/>
    <s v="Tenex Carpeted, Granite-Look or Clear Contemporary Contour Shape Chair Mats"/>
    <x v="865"/>
    <n v="1"/>
    <n v="4.95"/>
    <x v="8"/>
    <x v="0"/>
  </r>
  <r>
    <n v="44441"/>
    <x v="68"/>
    <x v="20"/>
    <x v="0"/>
    <x v="4"/>
    <s v="SANFORD Major Accent Highlighters"/>
    <x v="866"/>
    <n v="3"/>
    <n v="8.07"/>
    <x v="8"/>
    <x v="0"/>
  </r>
  <r>
    <n v="44441"/>
    <x v="375"/>
    <x v="20"/>
    <x v="0"/>
    <x v="4"/>
    <s v="Newell 324"/>
    <x v="867"/>
    <n v="5"/>
    <n v="16.170000000000002"/>
    <x v="8"/>
    <x v="0"/>
  </r>
  <r>
    <n v="44441"/>
    <x v="375"/>
    <x v="20"/>
    <x v="0"/>
    <x v="0"/>
    <s v="Easy-staple paper"/>
    <x v="98"/>
    <n v="3"/>
    <n v="7.02"/>
    <x v="8"/>
    <x v="0"/>
  </r>
  <r>
    <n v="44441"/>
    <x v="107"/>
    <x v="1"/>
    <x v="2"/>
    <x v="9"/>
    <s v="Logitech Wireless Performance Mouse MX for PC and Mac"/>
    <x v="868"/>
    <n v="3"/>
    <n v="53.99"/>
    <x v="8"/>
    <x v="0"/>
  </r>
  <r>
    <n v="44441"/>
    <x v="340"/>
    <x v="0"/>
    <x v="2"/>
    <x v="15"/>
    <s v="Epson TM-T88V Direct Thermal Printer - Monochrome - Desktop"/>
    <x v="869"/>
    <n v="3"/>
    <n v="-121.27"/>
    <x v="8"/>
    <x v="0"/>
  </r>
  <r>
    <n v="44441"/>
    <x v="42"/>
    <x v="13"/>
    <x v="0"/>
    <x v="3"/>
    <s v="GBC DocuBind TL300 Electric Binding System"/>
    <x v="870"/>
    <n v="2"/>
    <n v="843.17"/>
    <x v="8"/>
    <x v="0"/>
  </r>
  <r>
    <n v="44441"/>
    <x v="240"/>
    <x v="1"/>
    <x v="2"/>
    <x v="9"/>
    <s v="LogitechÂ Gaming G510s - Keyboard"/>
    <x v="871"/>
    <n v="7"/>
    <n v="95.19"/>
    <x v="8"/>
    <x v="0"/>
  </r>
  <r>
    <n v="44442"/>
    <x v="156"/>
    <x v="20"/>
    <x v="0"/>
    <x v="1"/>
    <s v="Avery 514"/>
    <x v="221"/>
    <n v="5"/>
    <n v="7.06"/>
    <x v="8"/>
    <x v="0"/>
  </r>
  <r>
    <n v="44442"/>
    <x v="376"/>
    <x v="0"/>
    <x v="0"/>
    <x v="3"/>
    <s v="GBC VeloBinder Strips"/>
    <x v="872"/>
    <n v="5"/>
    <n v="-11.52"/>
    <x v="8"/>
    <x v="0"/>
  </r>
  <r>
    <n v="44444"/>
    <x v="377"/>
    <x v="10"/>
    <x v="0"/>
    <x v="2"/>
    <s v="Economy Rollaway Files"/>
    <x v="873"/>
    <n v="2"/>
    <n v="19.82"/>
    <x v="8"/>
    <x v="0"/>
  </r>
  <r>
    <n v="44444"/>
    <x v="378"/>
    <x v="16"/>
    <x v="1"/>
    <x v="8"/>
    <s v="Telescoping Adjustable Floor Lamp"/>
    <x v="665"/>
    <n v="2"/>
    <n v="2"/>
    <x v="8"/>
    <x v="0"/>
  </r>
  <r>
    <n v="44445"/>
    <x v="379"/>
    <x v="3"/>
    <x v="1"/>
    <x v="8"/>
    <s v="Eldon Expressions Wood and Plastic Desk Accessories, Cherry Wood"/>
    <x v="874"/>
    <n v="6"/>
    <n v="12.15"/>
    <x v="8"/>
    <x v="0"/>
  </r>
  <r>
    <n v="44445"/>
    <x v="379"/>
    <x v="3"/>
    <x v="0"/>
    <x v="1"/>
    <s v="Avery 516"/>
    <x v="875"/>
    <n v="8"/>
    <n v="27.49"/>
    <x v="8"/>
    <x v="0"/>
  </r>
  <r>
    <n v="44446"/>
    <x v="191"/>
    <x v="2"/>
    <x v="0"/>
    <x v="2"/>
    <s v="Carina 42&quot;Hx23 3/4&quot;W Media Storage Unit"/>
    <x v="876"/>
    <n v="1"/>
    <n v="-14.58"/>
    <x v="8"/>
    <x v="0"/>
  </r>
  <r>
    <n v="44446"/>
    <x v="191"/>
    <x v="2"/>
    <x v="2"/>
    <x v="6"/>
    <s v="invisibleSHIELD by ZAGG Smudge-Free Screen Protector"/>
    <x v="877"/>
    <n v="3"/>
    <n v="4.32"/>
    <x v="8"/>
    <x v="0"/>
  </r>
  <r>
    <n v="44446"/>
    <x v="191"/>
    <x v="2"/>
    <x v="1"/>
    <x v="8"/>
    <s v="DAX Natural Wood-Tone Poster Frame"/>
    <x v="878"/>
    <n v="2"/>
    <n v="8.4700000000000006"/>
    <x v="8"/>
    <x v="0"/>
  </r>
  <r>
    <n v="44446"/>
    <x v="191"/>
    <x v="2"/>
    <x v="2"/>
    <x v="15"/>
    <s v="StarTech.com 10/100 VDSL2 Ethernet Extender Kit"/>
    <x v="879"/>
    <n v="4"/>
    <n v="-559.36"/>
    <x v="8"/>
    <x v="0"/>
  </r>
  <r>
    <n v="44446"/>
    <x v="23"/>
    <x v="39"/>
    <x v="1"/>
    <x v="8"/>
    <s v="Executive Impressions 13&quot; Clairmont Wall Clock"/>
    <x v="880"/>
    <n v="3"/>
    <n v="23.65"/>
    <x v="8"/>
    <x v="0"/>
  </r>
  <r>
    <n v="44446"/>
    <x v="23"/>
    <x v="39"/>
    <x v="0"/>
    <x v="3"/>
    <s v="GBC Laser Imprintable Binding System Covers, Desert Sand"/>
    <x v="881"/>
    <n v="3"/>
    <n v="20.12"/>
    <x v="8"/>
    <x v="0"/>
  </r>
  <r>
    <n v="44446"/>
    <x v="23"/>
    <x v="39"/>
    <x v="0"/>
    <x v="0"/>
    <s v="Xerox 2000"/>
    <x v="115"/>
    <n v="2"/>
    <n v="6.22"/>
    <x v="8"/>
    <x v="0"/>
  </r>
  <r>
    <n v="44446"/>
    <x v="23"/>
    <x v="39"/>
    <x v="1"/>
    <x v="8"/>
    <s v="3M Polarizing Task Lamp with Clamp Arm, Light Gray"/>
    <x v="882"/>
    <n v="6"/>
    <n v="213.69"/>
    <x v="8"/>
    <x v="0"/>
  </r>
  <r>
    <n v="44446"/>
    <x v="23"/>
    <x v="39"/>
    <x v="2"/>
    <x v="6"/>
    <s v="Plantronics CordlessÂ Phone HeadsetÂ with In-line Volume - M214C"/>
    <x v="681"/>
    <n v="3"/>
    <n v="28.31"/>
    <x v="8"/>
    <x v="0"/>
  </r>
  <r>
    <n v="44446"/>
    <x v="380"/>
    <x v="20"/>
    <x v="2"/>
    <x v="6"/>
    <s v="AT&amp;T EL51110 DECT"/>
    <x v="883"/>
    <n v="3"/>
    <n v="109.61"/>
    <x v="8"/>
    <x v="0"/>
  </r>
  <r>
    <n v="44446"/>
    <x v="381"/>
    <x v="0"/>
    <x v="2"/>
    <x v="6"/>
    <s v="Panasonic KX TS3282B Corded phone"/>
    <x v="884"/>
    <n v="3"/>
    <n v="14.76"/>
    <x v="8"/>
    <x v="0"/>
  </r>
  <r>
    <n v="44446"/>
    <x v="381"/>
    <x v="0"/>
    <x v="0"/>
    <x v="3"/>
    <s v="Angle-D Binders with Locking Rings, Label Holders"/>
    <x v="885"/>
    <n v="2"/>
    <n v="-4.82"/>
    <x v="8"/>
    <x v="0"/>
  </r>
  <r>
    <n v="44446"/>
    <x v="381"/>
    <x v="0"/>
    <x v="1"/>
    <x v="13"/>
    <s v="Riverside Furniture Oval Coffee Table, Oval End Table, End Table with Drawer"/>
    <x v="886"/>
    <n v="1"/>
    <n v="-22.95"/>
    <x v="8"/>
    <x v="0"/>
  </r>
  <r>
    <n v="44446"/>
    <x v="381"/>
    <x v="0"/>
    <x v="2"/>
    <x v="9"/>
    <s v="Belkin Standard 104 key USB Keyboard"/>
    <x v="887"/>
    <n v="4"/>
    <n v="-2.92"/>
    <x v="8"/>
    <x v="0"/>
  </r>
  <r>
    <n v="44446"/>
    <x v="381"/>
    <x v="0"/>
    <x v="0"/>
    <x v="4"/>
    <s v="Dixon Ticonderoga Core-Lock Colored Pencils"/>
    <x v="888"/>
    <n v="3"/>
    <n v="3.55"/>
    <x v="8"/>
    <x v="0"/>
  </r>
  <r>
    <n v="44446"/>
    <x v="81"/>
    <x v="39"/>
    <x v="1"/>
    <x v="13"/>
    <s v="KI Adjustable-Height Table"/>
    <x v="889"/>
    <n v="5"/>
    <n v="111.77"/>
    <x v="8"/>
    <x v="0"/>
  </r>
  <r>
    <n v="44446"/>
    <x v="81"/>
    <x v="39"/>
    <x v="0"/>
    <x v="3"/>
    <s v="Avery Recycled Flexi-View Covers for Binding Systems"/>
    <x v="890"/>
    <n v="2"/>
    <n v="15.39"/>
    <x v="8"/>
    <x v="0"/>
  </r>
  <r>
    <n v="44446"/>
    <x v="81"/>
    <x v="39"/>
    <x v="1"/>
    <x v="5"/>
    <s v="Padded Folding Chairs, Black, 4/Carton"/>
    <x v="891"/>
    <n v="2"/>
    <n v="45.35"/>
    <x v="8"/>
    <x v="0"/>
  </r>
  <r>
    <n v="44446"/>
    <x v="81"/>
    <x v="39"/>
    <x v="0"/>
    <x v="2"/>
    <s v="Akro-Mils 12-Gallon Tote"/>
    <x v="892"/>
    <n v="2"/>
    <n v="5.76"/>
    <x v="8"/>
    <x v="0"/>
  </r>
  <r>
    <n v="44446"/>
    <x v="382"/>
    <x v="3"/>
    <x v="0"/>
    <x v="14"/>
    <s v="Acme Design Line 8&quot; Stainless Steel Bent Scissors w/Champagne Handles, 3-1/8&quot; Cut"/>
    <x v="680"/>
    <n v="4"/>
    <n v="7.39"/>
    <x v="8"/>
    <x v="0"/>
  </r>
  <r>
    <n v="44446"/>
    <x v="382"/>
    <x v="3"/>
    <x v="0"/>
    <x v="0"/>
    <s v="Message Book, Wirebound, Four 5 1/2&quot; X 4&quot; Forms/Pg., 200 Dupl. Sets/Book"/>
    <x v="893"/>
    <n v="2"/>
    <n v="9.66"/>
    <x v="8"/>
    <x v="0"/>
  </r>
  <r>
    <n v="44446"/>
    <x v="382"/>
    <x v="3"/>
    <x v="0"/>
    <x v="3"/>
    <s v="Avery Legal 4-Ring Binder"/>
    <x v="894"/>
    <n v="5"/>
    <n v="31.47"/>
    <x v="8"/>
    <x v="0"/>
  </r>
  <r>
    <n v="44446"/>
    <x v="228"/>
    <x v="1"/>
    <x v="0"/>
    <x v="7"/>
    <s v="Acco Hot Clips Clips to Go"/>
    <x v="895"/>
    <n v="5"/>
    <n v="4.1100000000000003"/>
    <x v="8"/>
    <x v="0"/>
  </r>
  <r>
    <n v="44446"/>
    <x v="228"/>
    <x v="1"/>
    <x v="0"/>
    <x v="3"/>
    <s v="Avery Heavy-Duty EZD View Binder with Locking Rings"/>
    <x v="896"/>
    <n v="3"/>
    <n v="-6.51"/>
    <x v="8"/>
    <x v="0"/>
  </r>
  <r>
    <n v="44446"/>
    <x v="228"/>
    <x v="1"/>
    <x v="0"/>
    <x v="3"/>
    <s v="Ibico Hi-Tech Manual Binding System"/>
    <x v="897"/>
    <n v="5"/>
    <n v="-533.73"/>
    <x v="8"/>
    <x v="0"/>
  </r>
  <r>
    <n v="44447"/>
    <x v="383"/>
    <x v="0"/>
    <x v="0"/>
    <x v="4"/>
    <s v="BIC Brite Liner Highlighters"/>
    <x v="20"/>
    <n v="3"/>
    <n v="2.73"/>
    <x v="8"/>
    <x v="0"/>
  </r>
  <r>
    <n v="44447"/>
    <x v="383"/>
    <x v="0"/>
    <x v="2"/>
    <x v="15"/>
    <s v="Lexmark MX611dhe Monochrome Laser Printer"/>
    <x v="898"/>
    <n v="8"/>
    <n v="-1359.99"/>
    <x v="8"/>
    <x v="0"/>
  </r>
  <r>
    <n v="44447"/>
    <x v="383"/>
    <x v="0"/>
    <x v="0"/>
    <x v="2"/>
    <s v="Space Solutions HD Industrial Steel Shelving."/>
    <x v="899"/>
    <n v="3"/>
    <n v="-58.63"/>
    <x v="8"/>
    <x v="0"/>
  </r>
  <r>
    <n v="44447"/>
    <x v="383"/>
    <x v="0"/>
    <x v="1"/>
    <x v="5"/>
    <s v="SAFCO Arco Folding Chair"/>
    <x v="900"/>
    <n v="9"/>
    <n v="-24.86"/>
    <x v="8"/>
    <x v="0"/>
  </r>
  <r>
    <n v="44447"/>
    <x v="383"/>
    <x v="0"/>
    <x v="0"/>
    <x v="4"/>
    <s v="Sanford Liquid Accent Highlighters"/>
    <x v="890"/>
    <n v="6"/>
    <n v="6.81"/>
    <x v="8"/>
    <x v="0"/>
  </r>
  <r>
    <n v="44447"/>
    <x v="383"/>
    <x v="0"/>
    <x v="0"/>
    <x v="12"/>
    <s v="Kensington 7 Outlet MasterPiece Power Center"/>
    <x v="901"/>
    <n v="5"/>
    <n v="-453.85"/>
    <x v="8"/>
    <x v="0"/>
  </r>
  <r>
    <n v="44447"/>
    <x v="383"/>
    <x v="0"/>
    <x v="2"/>
    <x v="6"/>
    <s v="JBL Micro Wireless Portable Bluetooth Speaker"/>
    <x v="902"/>
    <n v="3"/>
    <n v="9"/>
    <x v="8"/>
    <x v="0"/>
  </r>
  <r>
    <n v="44447"/>
    <x v="333"/>
    <x v="3"/>
    <x v="2"/>
    <x v="9"/>
    <s v="Logitech Wireless Touch Keyboard K400"/>
    <x v="903"/>
    <n v="2"/>
    <n v="8.5"/>
    <x v="8"/>
    <x v="0"/>
  </r>
  <r>
    <n v="44447"/>
    <x v="384"/>
    <x v="0"/>
    <x v="0"/>
    <x v="3"/>
    <s v="GBC ProClick Punch Binding System"/>
    <x v="904"/>
    <n v="4"/>
    <n v="-79.34"/>
    <x v="8"/>
    <x v="0"/>
  </r>
  <r>
    <n v="44447"/>
    <x v="385"/>
    <x v="4"/>
    <x v="2"/>
    <x v="9"/>
    <s v="Memorex Froggy Flash Drive 4 GB"/>
    <x v="905"/>
    <n v="3"/>
    <n v="12.86"/>
    <x v="8"/>
    <x v="0"/>
  </r>
  <r>
    <n v="44447"/>
    <x v="385"/>
    <x v="4"/>
    <x v="2"/>
    <x v="9"/>
    <s v="Maxell 74 Minute CD-R Spindle, 50/Pack"/>
    <x v="906"/>
    <n v="4"/>
    <n v="30.2"/>
    <x v="8"/>
    <x v="0"/>
  </r>
  <r>
    <n v="44447"/>
    <x v="285"/>
    <x v="3"/>
    <x v="0"/>
    <x v="12"/>
    <s v="Holmes Replacement Filter for HEPA Air Cleaner, Medium Room"/>
    <x v="907"/>
    <n v="5"/>
    <n v="24.36"/>
    <x v="8"/>
    <x v="0"/>
  </r>
  <r>
    <n v="44447"/>
    <x v="285"/>
    <x v="3"/>
    <x v="0"/>
    <x v="2"/>
    <s v="Pizazz Global Quick File"/>
    <x v="908"/>
    <n v="1"/>
    <n v="4.1900000000000004"/>
    <x v="8"/>
    <x v="0"/>
  </r>
  <r>
    <n v="44447"/>
    <x v="285"/>
    <x v="3"/>
    <x v="0"/>
    <x v="7"/>
    <s v="Ideal Clamps"/>
    <x v="909"/>
    <n v="2"/>
    <n v="1.97"/>
    <x v="8"/>
    <x v="0"/>
  </r>
  <r>
    <n v="44447"/>
    <x v="207"/>
    <x v="6"/>
    <x v="0"/>
    <x v="7"/>
    <s v="Advantus Plastic Paper Clips"/>
    <x v="706"/>
    <n v="9"/>
    <n v="21.6"/>
    <x v="8"/>
    <x v="0"/>
  </r>
  <r>
    <n v="44447"/>
    <x v="207"/>
    <x v="6"/>
    <x v="2"/>
    <x v="15"/>
    <s v="Epson WorkForce WF-2530 All-in-One Printer, Copier Scanner"/>
    <x v="910"/>
    <n v="3"/>
    <n v="90.29"/>
    <x v="8"/>
    <x v="0"/>
  </r>
  <r>
    <n v="44447"/>
    <x v="386"/>
    <x v="20"/>
    <x v="0"/>
    <x v="12"/>
    <s v="Black &amp; Decker Filter for Double Action Dustbuster Cordless Vac BLDV7210"/>
    <x v="723"/>
    <n v="2"/>
    <n v="4.2"/>
    <x v="8"/>
    <x v="0"/>
  </r>
  <r>
    <n v="44447"/>
    <x v="387"/>
    <x v="22"/>
    <x v="0"/>
    <x v="4"/>
    <s v="Prang Colored Pencils"/>
    <x v="911"/>
    <n v="2"/>
    <n v="2.65"/>
    <x v="8"/>
    <x v="0"/>
  </r>
  <r>
    <n v="44447"/>
    <x v="387"/>
    <x v="22"/>
    <x v="1"/>
    <x v="5"/>
    <s v="Hon Deluxe Fabric Upholstered Stacking Chairs, Rounded Back"/>
    <x v="912"/>
    <n v="5"/>
    <n v="121.99"/>
    <x v="8"/>
    <x v="0"/>
  </r>
  <r>
    <n v="44447"/>
    <x v="387"/>
    <x v="22"/>
    <x v="0"/>
    <x v="4"/>
    <s v="Hunt PowerHouse Electric Pencil Sharpener, Blue"/>
    <x v="913"/>
    <n v="8"/>
    <n v="91.15"/>
    <x v="8"/>
    <x v="0"/>
  </r>
  <r>
    <n v="44447"/>
    <x v="387"/>
    <x v="22"/>
    <x v="0"/>
    <x v="2"/>
    <s v="Carina Double Wide Media Storage Towers in Natural &amp; Black"/>
    <x v="914"/>
    <n v="6"/>
    <n v="19.440000000000001"/>
    <x v="8"/>
    <x v="0"/>
  </r>
  <r>
    <n v="44447"/>
    <x v="388"/>
    <x v="0"/>
    <x v="0"/>
    <x v="0"/>
    <s v="Geographics Note Cards, Blank, White, 8 1/2&quot; x 11&quot;"/>
    <x v="558"/>
    <n v="2"/>
    <n v="6.27"/>
    <x v="8"/>
    <x v="0"/>
  </r>
  <r>
    <n v="44447"/>
    <x v="388"/>
    <x v="0"/>
    <x v="1"/>
    <x v="5"/>
    <s v="SAFCO Arco Folding Chair"/>
    <x v="915"/>
    <n v="5"/>
    <n v="-13.81"/>
    <x v="8"/>
    <x v="0"/>
  </r>
  <r>
    <n v="44447"/>
    <x v="388"/>
    <x v="0"/>
    <x v="0"/>
    <x v="0"/>
    <s v="Snap-A-Way Black Print Carbonless Ruled Speed Letter, Triplicate"/>
    <x v="916"/>
    <n v="6"/>
    <n v="61.46"/>
    <x v="8"/>
    <x v="0"/>
  </r>
  <r>
    <n v="44447"/>
    <x v="367"/>
    <x v="20"/>
    <x v="1"/>
    <x v="5"/>
    <s v="Global Super Steno Chair"/>
    <x v="917"/>
    <n v="2"/>
    <n v="13.44"/>
    <x v="8"/>
    <x v="0"/>
  </r>
  <r>
    <n v="44447"/>
    <x v="367"/>
    <x v="20"/>
    <x v="0"/>
    <x v="4"/>
    <s v="Nontoxic Chalk"/>
    <x v="567"/>
    <n v="2"/>
    <n v="1.69"/>
    <x v="8"/>
    <x v="0"/>
  </r>
  <r>
    <n v="44447"/>
    <x v="18"/>
    <x v="3"/>
    <x v="0"/>
    <x v="3"/>
    <s v="Acco PRESSTEX Data Binder with Storage Hooks, Light Blue, 9 1/2&quot; X 11&quot;"/>
    <x v="918"/>
    <n v="2"/>
    <n v="3.01"/>
    <x v="8"/>
    <x v="0"/>
  </r>
  <r>
    <n v="44448"/>
    <x v="389"/>
    <x v="14"/>
    <x v="0"/>
    <x v="1"/>
    <s v="Alphabetical Labels for Top Tab Filing"/>
    <x v="919"/>
    <n v="7"/>
    <n v="51.8"/>
    <x v="8"/>
    <x v="0"/>
  </r>
  <r>
    <n v="44448"/>
    <x v="390"/>
    <x v="32"/>
    <x v="0"/>
    <x v="0"/>
    <s v="Xerox 1913"/>
    <x v="920"/>
    <n v="3"/>
    <n v="79.89"/>
    <x v="8"/>
    <x v="0"/>
  </r>
  <r>
    <n v="44448"/>
    <x v="390"/>
    <x v="32"/>
    <x v="1"/>
    <x v="5"/>
    <s v="Global Italian Leather Office Chair"/>
    <x v="921"/>
    <n v="6"/>
    <n v="212.19"/>
    <x v="8"/>
    <x v="0"/>
  </r>
  <r>
    <n v="44448"/>
    <x v="390"/>
    <x v="32"/>
    <x v="0"/>
    <x v="0"/>
    <s v="Advantus Motivational Note Cards"/>
    <x v="922"/>
    <n v="2"/>
    <n v="12.84"/>
    <x v="8"/>
    <x v="0"/>
  </r>
  <r>
    <n v="44448"/>
    <x v="390"/>
    <x v="32"/>
    <x v="0"/>
    <x v="2"/>
    <s v="Tennsco 6- and 18-Compartment Lockers"/>
    <x v="27"/>
    <n v="5"/>
    <n v="238.65"/>
    <x v="8"/>
    <x v="0"/>
  </r>
  <r>
    <n v="44448"/>
    <x v="391"/>
    <x v="2"/>
    <x v="0"/>
    <x v="0"/>
    <s v="Xerox 210"/>
    <x v="143"/>
    <n v="3"/>
    <n v="5.44"/>
    <x v="8"/>
    <x v="0"/>
  </r>
  <r>
    <n v="44448"/>
    <x v="391"/>
    <x v="2"/>
    <x v="2"/>
    <x v="9"/>
    <s v="Rosewill 107 Normal Keys USB Wired Standard Keyboard"/>
    <x v="923"/>
    <n v="6"/>
    <n v="-4.8499999999999996"/>
    <x v="8"/>
    <x v="0"/>
  </r>
  <r>
    <n v="44448"/>
    <x v="391"/>
    <x v="2"/>
    <x v="1"/>
    <x v="8"/>
    <s v="Master Caster Door Stop, Large Neon Orange"/>
    <x v="124"/>
    <n v="3"/>
    <n v="5.0199999999999996"/>
    <x v="8"/>
    <x v="0"/>
  </r>
  <r>
    <n v="44448"/>
    <x v="391"/>
    <x v="2"/>
    <x v="2"/>
    <x v="6"/>
    <s v="Polycom SoundPoint IP 450 VoIP phone"/>
    <x v="924"/>
    <n v="1"/>
    <n v="-31.62"/>
    <x v="8"/>
    <x v="0"/>
  </r>
  <r>
    <n v="44448"/>
    <x v="392"/>
    <x v="25"/>
    <x v="2"/>
    <x v="15"/>
    <s v="3D Systems Cube Printer, 2nd Generation, White"/>
    <x v="925"/>
    <n v="2"/>
    <n v="-572"/>
    <x v="8"/>
    <x v="0"/>
  </r>
  <r>
    <n v="44448"/>
    <x v="155"/>
    <x v="10"/>
    <x v="1"/>
    <x v="8"/>
    <s v="Nu-Dell Executive Frame"/>
    <x v="926"/>
    <n v="6"/>
    <n v="12.89"/>
    <x v="8"/>
    <x v="0"/>
  </r>
  <r>
    <n v="44448"/>
    <x v="155"/>
    <x v="10"/>
    <x v="0"/>
    <x v="4"/>
    <s v="Newell 320"/>
    <x v="927"/>
    <n v="9"/>
    <n v="2.7"/>
    <x v="8"/>
    <x v="0"/>
  </r>
  <r>
    <n v="44448"/>
    <x v="393"/>
    <x v="1"/>
    <x v="0"/>
    <x v="0"/>
    <s v="Ampad Poly Cover Wirebound Steno Book, 6&quot; x 9&quot; Assorted Colors, Gregg Ruled"/>
    <x v="389"/>
    <n v="3"/>
    <n v="3.41"/>
    <x v="8"/>
    <x v="0"/>
  </r>
  <r>
    <n v="44449"/>
    <x v="163"/>
    <x v="6"/>
    <x v="0"/>
    <x v="3"/>
    <s v="Tuff Stuff Recycled Round Ring Binders"/>
    <x v="99"/>
    <n v="2"/>
    <n v="4.72"/>
    <x v="8"/>
    <x v="0"/>
  </r>
  <r>
    <n v="44449"/>
    <x v="68"/>
    <x v="11"/>
    <x v="0"/>
    <x v="10"/>
    <s v="Peel &amp; Seel Envelopes"/>
    <x v="928"/>
    <n v="7"/>
    <n v="7.6"/>
    <x v="8"/>
    <x v="0"/>
  </r>
  <r>
    <n v="44449"/>
    <x v="68"/>
    <x v="11"/>
    <x v="1"/>
    <x v="5"/>
    <s v="GuestStacker Chair with Chrome Finish Legs"/>
    <x v="366"/>
    <n v="5"/>
    <n v="148.69999999999999"/>
    <x v="8"/>
    <x v="0"/>
  </r>
  <r>
    <n v="44449"/>
    <x v="394"/>
    <x v="23"/>
    <x v="0"/>
    <x v="12"/>
    <s v="Kensington 6 Outlet Guardian Standard Surge Protector"/>
    <x v="929"/>
    <n v="4"/>
    <n v="22.12"/>
    <x v="8"/>
    <x v="0"/>
  </r>
  <r>
    <n v="44449"/>
    <x v="394"/>
    <x v="23"/>
    <x v="1"/>
    <x v="8"/>
    <s v="Dana Fluorescent Magnifying Lamp, White, 36&quot;"/>
    <x v="930"/>
    <n v="5"/>
    <n v="76.47"/>
    <x v="8"/>
    <x v="0"/>
  </r>
  <r>
    <n v="44450"/>
    <x v="395"/>
    <x v="3"/>
    <x v="1"/>
    <x v="8"/>
    <s v="Deflect-o DuraMat Lighweight, Studded, Beveled Mat for Low Pile Carpeting"/>
    <x v="931"/>
    <n v="3"/>
    <n v="21.75"/>
    <x v="8"/>
    <x v="0"/>
  </r>
  <r>
    <n v="44451"/>
    <x v="26"/>
    <x v="20"/>
    <x v="2"/>
    <x v="15"/>
    <s v="Epson WorkForce WF-2530 All-in-One Printer, Copier Scanner"/>
    <x v="932"/>
    <n v="1"/>
    <n v="30.1"/>
    <x v="8"/>
    <x v="0"/>
  </r>
  <r>
    <n v="44451"/>
    <x v="396"/>
    <x v="25"/>
    <x v="0"/>
    <x v="0"/>
    <s v="Xerox 220"/>
    <x v="320"/>
    <n v="2"/>
    <n v="3.63"/>
    <x v="8"/>
    <x v="0"/>
  </r>
  <r>
    <n v="44451"/>
    <x v="396"/>
    <x v="25"/>
    <x v="0"/>
    <x v="12"/>
    <s v="Fellowes 8 Outlet Superior Workstation Surge Protector"/>
    <x v="933"/>
    <n v="5"/>
    <n v="18.77"/>
    <x v="8"/>
    <x v="0"/>
  </r>
  <r>
    <n v="44451"/>
    <x v="396"/>
    <x v="25"/>
    <x v="2"/>
    <x v="9"/>
    <s v="SanDisk Cruzer 32 GB USB Flash Drive"/>
    <x v="934"/>
    <n v="1"/>
    <n v="2.2799999999999998"/>
    <x v="8"/>
    <x v="0"/>
  </r>
  <r>
    <n v="44451"/>
    <x v="397"/>
    <x v="0"/>
    <x v="0"/>
    <x v="3"/>
    <s v="Wilson Jones Impact Binders"/>
    <x v="193"/>
    <n v="5"/>
    <n v="-8.0299999999999994"/>
    <x v="8"/>
    <x v="0"/>
  </r>
  <r>
    <n v="44451"/>
    <x v="192"/>
    <x v="10"/>
    <x v="0"/>
    <x v="3"/>
    <s v="Premier Elliptical Ring Binder, Black"/>
    <x v="935"/>
    <n v="7"/>
    <n v="-46.88"/>
    <x v="8"/>
    <x v="0"/>
  </r>
  <r>
    <n v="44451"/>
    <x v="398"/>
    <x v="42"/>
    <x v="0"/>
    <x v="14"/>
    <s v="Compact Automatic Electric Letter Opener"/>
    <x v="936"/>
    <n v="3"/>
    <n v="7.16"/>
    <x v="8"/>
    <x v="0"/>
  </r>
  <r>
    <n v="44451"/>
    <x v="398"/>
    <x v="42"/>
    <x v="2"/>
    <x v="9"/>
    <s v="SanDisk Cruzer 16 GB USB Flash Drive"/>
    <x v="937"/>
    <n v="5"/>
    <n v="10.91"/>
    <x v="8"/>
    <x v="0"/>
  </r>
  <r>
    <n v="44451"/>
    <x v="398"/>
    <x v="42"/>
    <x v="0"/>
    <x v="3"/>
    <s v="GBC DocuBind P100 Manual Binding Machine"/>
    <x v="938"/>
    <n v="2"/>
    <n v="149.38"/>
    <x v="8"/>
    <x v="0"/>
  </r>
  <r>
    <n v="44451"/>
    <x v="398"/>
    <x v="42"/>
    <x v="1"/>
    <x v="8"/>
    <s v="Seth Thomas 8 1/2&quot; Cubicle Clock"/>
    <x v="939"/>
    <n v="2"/>
    <n v="12.98"/>
    <x v="8"/>
    <x v="0"/>
  </r>
  <r>
    <n v="44451"/>
    <x v="399"/>
    <x v="20"/>
    <x v="1"/>
    <x v="5"/>
    <s v="HON 5400 Series Task Chairs for Big and Tall"/>
    <x v="940"/>
    <n v="6"/>
    <n v="420.59"/>
    <x v="8"/>
    <x v="0"/>
  </r>
  <r>
    <n v="44452"/>
    <x v="400"/>
    <x v="25"/>
    <x v="0"/>
    <x v="3"/>
    <s v="GBC Instant Index System for Binding Systems"/>
    <x v="941"/>
    <n v="7"/>
    <n v="-12.43"/>
    <x v="8"/>
    <x v="0"/>
  </r>
  <r>
    <n v="44452"/>
    <x v="401"/>
    <x v="2"/>
    <x v="0"/>
    <x v="0"/>
    <s v="Xerox 1985"/>
    <x v="143"/>
    <n v="3"/>
    <n v="5.44"/>
    <x v="8"/>
    <x v="0"/>
  </r>
  <r>
    <n v="44452"/>
    <x v="401"/>
    <x v="2"/>
    <x v="2"/>
    <x v="9"/>
    <s v="Hypercom P1300 Pinpad"/>
    <x v="942"/>
    <n v="5"/>
    <n v="53.55"/>
    <x v="8"/>
    <x v="0"/>
  </r>
  <r>
    <n v="44452"/>
    <x v="284"/>
    <x v="20"/>
    <x v="0"/>
    <x v="4"/>
    <s v="Newell 322"/>
    <x v="943"/>
    <n v="3"/>
    <n v="1.47"/>
    <x v="8"/>
    <x v="0"/>
  </r>
  <r>
    <n v="44452"/>
    <x v="402"/>
    <x v="12"/>
    <x v="0"/>
    <x v="2"/>
    <s v="Eldon File Chest Portable File"/>
    <x v="944"/>
    <n v="5"/>
    <n v="5.96"/>
    <x v="8"/>
    <x v="0"/>
  </r>
  <r>
    <n v="44452"/>
    <x v="288"/>
    <x v="0"/>
    <x v="1"/>
    <x v="5"/>
    <s v="Padded Folding Chairs, Black, 4/Carton"/>
    <x v="945"/>
    <n v="6"/>
    <n v="-9.7200000000000006"/>
    <x v="8"/>
    <x v="0"/>
  </r>
  <r>
    <n v="44452"/>
    <x v="352"/>
    <x v="10"/>
    <x v="0"/>
    <x v="3"/>
    <s v="Acco Suede Grain Vinyl Round Ring Binder"/>
    <x v="359"/>
    <n v="3"/>
    <n v="-2"/>
    <x v="8"/>
    <x v="0"/>
  </r>
  <r>
    <n v="44452"/>
    <x v="218"/>
    <x v="22"/>
    <x v="0"/>
    <x v="7"/>
    <s v="OIC Thumb-Tacks"/>
    <x v="946"/>
    <n v="5"/>
    <n v="2.68"/>
    <x v="8"/>
    <x v="0"/>
  </r>
  <r>
    <n v="44452"/>
    <x v="218"/>
    <x v="22"/>
    <x v="1"/>
    <x v="8"/>
    <s v="C-Line Cubicle Keepers Polyproplyene Holder With Velcro Backings"/>
    <x v="947"/>
    <n v="3"/>
    <n v="5.53"/>
    <x v="8"/>
    <x v="0"/>
  </r>
  <r>
    <n v="44452"/>
    <x v="218"/>
    <x v="22"/>
    <x v="0"/>
    <x v="14"/>
    <s v="Acme Value Line Scissors"/>
    <x v="948"/>
    <n v="2"/>
    <n v="2.19"/>
    <x v="8"/>
    <x v="0"/>
  </r>
  <r>
    <n v="44452"/>
    <x v="218"/>
    <x v="22"/>
    <x v="2"/>
    <x v="9"/>
    <s v="Logitech Wireless Performance Mouse MX for PC and Mac"/>
    <x v="766"/>
    <n v="2"/>
    <n v="75.989999999999995"/>
    <x v="8"/>
    <x v="0"/>
  </r>
  <r>
    <n v="44452"/>
    <x v="218"/>
    <x v="22"/>
    <x v="2"/>
    <x v="9"/>
    <s v="Memorex Mini Travel Drive 64 GB USB 2.0 Flash Drive"/>
    <x v="949"/>
    <n v="4"/>
    <n v="60.88"/>
    <x v="8"/>
    <x v="0"/>
  </r>
  <r>
    <n v="44452"/>
    <x v="218"/>
    <x v="22"/>
    <x v="2"/>
    <x v="9"/>
    <s v="WD My Passport Ultra 500GB Portable External Hard Drive"/>
    <x v="950"/>
    <n v="2"/>
    <n v="20.059999999999999"/>
    <x v="8"/>
    <x v="0"/>
  </r>
  <r>
    <n v="44452"/>
    <x v="218"/>
    <x v="22"/>
    <x v="0"/>
    <x v="0"/>
    <s v="Xerox 1942"/>
    <x v="732"/>
    <n v="1"/>
    <n v="24.47"/>
    <x v="8"/>
    <x v="0"/>
  </r>
  <r>
    <n v="44452"/>
    <x v="218"/>
    <x v="22"/>
    <x v="0"/>
    <x v="12"/>
    <s v="Holmes Replacement Filter for HEPA Air Cleaner, Medium Room"/>
    <x v="951"/>
    <n v="2"/>
    <n v="9.74"/>
    <x v="8"/>
    <x v="0"/>
  </r>
  <r>
    <n v="44453"/>
    <x v="403"/>
    <x v="1"/>
    <x v="0"/>
    <x v="12"/>
    <s v="Kensington 7 Outlet MasterPiece HOMEOFFICE Power Control Center"/>
    <x v="952"/>
    <n v="2"/>
    <n v="-131.12"/>
    <x v="8"/>
    <x v="0"/>
  </r>
  <r>
    <n v="44453"/>
    <x v="403"/>
    <x v="1"/>
    <x v="0"/>
    <x v="1"/>
    <s v="Avery 51"/>
    <x v="953"/>
    <n v="4"/>
    <n v="6.55"/>
    <x v="8"/>
    <x v="0"/>
  </r>
  <r>
    <n v="44453"/>
    <x v="404"/>
    <x v="20"/>
    <x v="0"/>
    <x v="2"/>
    <s v="Fellowes Officeware Wire Shelving"/>
    <x v="954"/>
    <n v="5"/>
    <n v="8.98"/>
    <x v="8"/>
    <x v="0"/>
  </r>
  <r>
    <n v="44453"/>
    <x v="404"/>
    <x v="20"/>
    <x v="0"/>
    <x v="10"/>
    <s v="Colored Envelopes"/>
    <x v="955"/>
    <n v="3"/>
    <n v="5.09"/>
    <x v="8"/>
    <x v="0"/>
  </r>
  <r>
    <n v="44453"/>
    <x v="273"/>
    <x v="16"/>
    <x v="0"/>
    <x v="12"/>
    <s v="Sanitaire Vibra Groomer IR Commercial Upright Vacuum, Replacement Belts"/>
    <x v="956"/>
    <n v="5"/>
    <n v="1.3"/>
    <x v="8"/>
    <x v="0"/>
  </r>
  <r>
    <n v="44453"/>
    <x v="273"/>
    <x v="16"/>
    <x v="1"/>
    <x v="8"/>
    <s v="Advantus Panel Wall Acrylic Frame"/>
    <x v="957"/>
    <n v="3"/>
    <n v="3.77"/>
    <x v="8"/>
    <x v="0"/>
  </r>
  <r>
    <n v="44453"/>
    <x v="405"/>
    <x v="4"/>
    <x v="1"/>
    <x v="8"/>
    <s v="Seth Thomas 14&quot; Day/Date Wall Clock"/>
    <x v="958"/>
    <n v="5"/>
    <n v="52.69"/>
    <x v="8"/>
    <x v="0"/>
  </r>
  <r>
    <n v="44453"/>
    <x v="405"/>
    <x v="4"/>
    <x v="0"/>
    <x v="3"/>
    <s v="Avery Poly Binder Pockets"/>
    <x v="959"/>
    <n v="2"/>
    <n v="3.44"/>
    <x v="8"/>
    <x v="0"/>
  </r>
  <r>
    <n v="44453"/>
    <x v="406"/>
    <x v="20"/>
    <x v="1"/>
    <x v="13"/>
    <s v="KI Adjustable-Height Table"/>
    <x v="960"/>
    <n v="9"/>
    <n v="-108.33"/>
    <x v="8"/>
    <x v="0"/>
  </r>
  <r>
    <n v="44453"/>
    <x v="406"/>
    <x v="20"/>
    <x v="0"/>
    <x v="10"/>
    <s v="Staple envelope"/>
    <x v="961"/>
    <n v="7"/>
    <n v="31.49"/>
    <x v="8"/>
    <x v="0"/>
  </r>
  <r>
    <n v="44453"/>
    <x v="406"/>
    <x v="20"/>
    <x v="2"/>
    <x v="15"/>
    <s v="Ativa V4110MDD Micro-Cut Shredder"/>
    <x v="962"/>
    <n v="4"/>
    <n v="1371.98"/>
    <x v="8"/>
    <x v="0"/>
  </r>
  <r>
    <n v="44453"/>
    <x v="406"/>
    <x v="20"/>
    <x v="0"/>
    <x v="12"/>
    <s v="Honeywell Enviracaire Portable HEPA Air Cleaner for 17' x 22' Room"/>
    <x v="963"/>
    <n v="2"/>
    <n v="198.43"/>
    <x v="8"/>
    <x v="0"/>
  </r>
  <r>
    <n v="44453"/>
    <x v="406"/>
    <x v="20"/>
    <x v="2"/>
    <x v="6"/>
    <s v="Spigen Samsung Galaxy S5 Case Wallet"/>
    <x v="964"/>
    <n v="1"/>
    <n v="4.42"/>
    <x v="8"/>
    <x v="0"/>
  </r>
  <r>
    <n v="44453"/>
    <x v="406"/>
    <x v="20"/>
    <x v="2"/>
    <x v="6"/>
    <s v="Vtech CS6719"/>
    <x v="341"/>
    <n v="3"/>
    <n v="80.63"/>
    <x v="8"/>
    <x v="0"/>
  </r>
  <r>
    <n v="44453"/>
    <x v="406"/>
    <x v="20"/>
    <x v="0"/>
    <x v="0"/>
    <s v="Xerox 198"/>
    <x v="965"/>
    <n v="9"/>
    <n v="21.07"/>
    <x v="8"/>
    <x v="0"/>
  </r>
  <r>
    <n v="44453"/>
    <x v="134"/>
    <x v="0"/>
    <x v="0"/>
    <x v="7"/>
    <s v="Revere Boxed Rubber Bands by Revere"/>
    <x v="218"/>
    <n v="4"/>
    <n v="-1.36"/>
    <x v="8"/>
    <x v="0"/>
  </r>
  <r>
    <n v="44453"/>
    <x v="134"/>
    <x v="0"/>
    <x v="0"/>
    <x v="0"/>
    <s v="Xerox 1900"/>
    <x v="966"/>
    <n v="2"/>
    <n v="2.14"/>
    <x v="8"/>
    <x v="0"/>
  </r>
  <r>
    <n v="44453"/>
    <x v="134"/>
    <x v="0"/>
    <x v="1"/>
    <x v="8"/>
    <s v="Stacking Trays by OIC"/>
    <x v="967"/>
    <n v="5"/>
    <n v="-6.72"/>
    <x v="8"/>
    <x v="0"/>
  </r>
  <r>
    <n v="44453"/>
    <x v="134"/>
    <x v="0"/>
    <x v="0"/>
    <x v="3"/>
    <s v="Trimflex Flexible Post Binders"/>
    <x v="968"/>
    <n v="2"/>
    <n v="-13.68"/>
    <x v="8"/>
    <x v="0"/>
  </r>
  <r>
    <n v="44454"/>
    <x v="407"/>
    <x v="2"/>
    <x v="1"/>
    <x v="8"/>
    <s v="Seth Thomas 16&quot; Steel Case Clock"/>
    <x v="969"/>
    <n v="4"/>
    <n v="16.89"/>
    <x v="8"/>
    <x v="0"/>
  </r>
  <r>
    <n v="44454"/>
    <x v="116"/>
    <x v="20"/>
    <x v="0"/>
    <x v="0"/>
    <s v="Easy-staple paper"/>
    <x v="98"/>
    <n v="3"/>
    <n v="7.02"/>
    <x v="8"/>
    <x v="0"/>
  </r>
  <r>
    <n v="44454"/>
    <x v="116"/>
    <x v="20"/>
    <x v="1"/>
    <x v="8"/>
    <s v="Master Caster Door Stop, Large Neon Orange"/>
    <x v="93"/>
    <n v="2"/>
    <n v="6.26"/>
    <x v="8"/>
    <x v="0"/>
  </r>
  <r>
    <n v="44455"/>
    <x v="211"/>
    <x v="20"/>
    <x v="0"/>
    <x v="3"/>
    <s v="Avery Trapezoid Extra Heavy Duty 4&quot; Binders"/>
    <x v="970"/>
    <n v="1"/>
    <n v="12.58"/>
    <x v="8"/>
    <x v="0"/>
  </r>
  <r>
    <n v="44456"/>
    <x v="408"/>
    <x v="2"/>
    <x v="0"/>
    <x v="3"/>
    <s v="Acco Pressboard Covers with Storage Hooks, 14 7/8&quot; x 11&quot;, Light Blue"/>
    <x v="971"/>
    <n v="4"/>
    <n v="-4.12"/>
    <x v="8"/>
    <x v="0"/>
  </r>
  <r>
    <n v="44456"/>
    <x v="388"/>
    <x v="25"/>
    <x v="2"/>
    <x v="9"/>
    <s v="Logitech Trackman Marble Mouse"/>
    <x v="972"/>
    <n v="2"/>
    <n v="13.2"/>
    <x v="8"/>
    <x v="0"/>
  </r>
  <r>
    <n v="44456"/>
    <x v="388"/>
    <x v="25"/>
    <x v="0"/>
    <x v="0"/>
    <s v="Xerox 1924"/>
    <x v="973"/>
    <n v="1"/>
    <n v="1.68"/>
    <x v="8"/>
    <x v="0"/>
  </r>
  <r>
    <n v="44456"/>
    <x v="84"/>
    <x v="22"/>
    <x v="0"/>
    <x v="2"/>
    <s v="Eldon Gobal File Keepers"/>
    <x v="974"/>
    <n v="2"/>
    <n v="1.21"/>
    <x v="8"/>
    <x v="0"/>
  </r>
  <r>
    <n v="44456"/>
    <x v="84"/>
    <x v="22"/>
    <x v="0"/>
    <x v="2"/>
    <s v="Eldon ProFile File 'N Store Portable File Tub Letter/Legal Size Black"/>
    <x v="975"/>
    <n v="3"/>
    <n v="16.22"/>
    <x v="8"/>
    <x v="0"/>
  </r>
  <r>
    <n v="44456"/>
    <x v="84"/>
    <x v="22"/>
    <x v="1"/>
    <x v="8"/>
    <s v="Executive Impressions 12&quot; Wall Clock"/>
    <x v="976"/>
    <n v="2"/>
    <n v="13.43"/>
    <x v="8"/>
    <x v="0"/>
  </r>
  <r>
    <n v="44456"/>
    <x v="84"/>
    <x v="22"/>
    <x v="0"/>
    <x v="3"/>
    <s v="GBC Prestige Therm-A-Bind Covers"/>
    <x v="977"/>
    <n v="5"/>
    <n v="46.32"/>
    <x v="8"/>
    <x v="0"/>
  </r>
  <r>
    <n v="44456"/>
    <x v="245"/>
    <x v="3"/>
    <x v="0"/>
    <x v="10"/>
    <s v="Tyvek Interoffice Envelopes, 9 1/2&quot; x 12 1/2&quot;, 100/Box"/>
    <x v="978"/>
    <n v="3"/>
    <n v="85.98"/>
    <x v="8"/>
    <x v="0"/>
  </r>
  <r>
    <n v="44456"/>
    <x v="409"/>
    <x v="11"/>
    <x v="0"/>
    <x v="4"/>
    <s v="Newell 313"/>
    <x v="607"/>
    <n v="2"/>
    <n v="0.46"/>
    <x v="8"/>
    <x v="0"/>
  </r>
  <r>
    <n v="44456"/>
    <x v="409"/>
    <x v="11"/>
    <x v="0"/>
    <x v="4"/>
    <s v="Boston 16701 Slimline Battery Pencil Sharpener"/>
    <x v="979"/>
    <n v="3"/>
    <n v="4.78"/>
    <x v="8"/>
    <x v="0"/>
  </r>
  <r>
    <n v="44456"/>
    <x v="409"/>
    <x v="11"/>
    <x v="0"/>
    <x v="0"/>
    <s v="Riverleaf Stik-Withit Designer Note Cubes"/>
    <x v="980"/>
    <n v="5"/>
    <n v="13.08"/>
    <x v="8"/>
    <x v="0"/>
  </r>
  <r>
    <n v="44456"/>
    <x v="409"/>
    <x v="11"/>
    <x v="2"/>
    <x v="15"/>
    <s v="Plantronics Single Ear Headset"/>
    <x v="660"/>
    <n v="5"/>
    <n v="-21.95"/>
    <x v="8"/>
    <x v="0"/>
  </r>
  <r>
    <n v="44456"/>
    <x v="409"/>
    <x v="11"/>
    <x v="0"/>
    <x v="0"/>
    <s v="Xerox 1960"/>
    <x v="981"/>
    <n v="6"/>
    <n v="46.47"/>
    <x v="8"/>
    <x v="0"/>
  </r>
  <r>
    <n v="44456"/>
    <x v="409"/>
    <x v="11"/>
    <x v="2"/>
    <x v="9"/>
    <s v="Verbatim 25 GB 6x Blu-ray Single Layer Recordable Disc, 3/Pack"/>
    <x v="662"/>
    <n v="10"/>
    <n v="16.78"/>
    <x v="8"/>
    <x v="0"/>
  </r>
  <r>
    <n v="44458"/>
    <x v="191"/>
    <x v="0"/>
    <x v="2"/>
    <x v="15"/>
    <s v="Lexmark MX611dhe Monochrome Laser Printer"/>
    <x v="982"/>
    <n v="3"/>
    <n v="-510"/>
    <x v="8"/>
    <x v="0"/>
  </r>
  <r>
    <n v="44458"/>
    <x v="191"/>
    <x v="0"/>
    <x v="2"/>
    <x v="15"/>
    <s v="Xerox WorkCentre 6505DN Laser Multifunction Printer"/>
    <x v="983"/>
    <n v="7"/>
    <n v="-252"/>
    <x v="8"/>
    <x v="0"/>
  </r>
  <r>
    <n v="44458"/>
    <x v="410"/>
    <x v="3"/>
    <x v="0"/>
    <x v="7"/>
    <s v="OIC Binder Clips"/>
    <x v="959"/>
    <n v="2"/>
    <n v="3.58"/>
    <x v="8"/>
    <x v="0"/>
  </r>
  <r>
    <n v="44458"/>
    <x v="154"/>
    <x v="25"/>
    <x v="0"/>
    <x v="2"/>
    <s v="Project Tote Personal File"/>
    <x v="984"/>
    <n v="6"/>
    <n v="7.58"/>
    <x v="8"/>
    <x v="0"/>
  </r>
  <r>
    <n v="44458"/>
    <x v="154"/>
    <x v="25"/>
    <x v="2"/>
    <x v="15"/>
    <s v="HP Designjet T520 Inkjet Large Format Printer - 24&quot; Color"/>
    <x v="985"/>
    <n v="3"/>
    <n v="-944.99"/>
    <x v="8"/>
    <x v="0"/>
  </r>
  <r>
    <n v="44458"/>
    <x v="183"/>
    <x v="20"/>
    <x v="1"/>
    <x v="5"/>
    <s v="Hon Olson Stacker Stools"/>
    <x v="986"/>
    <n v="7"/>
    <n v="177.42"/>
    <x v="8"/>
    <x v="0"/>
  </r>
  <r>
    <n v="44458"/>
    <x v="411"/>
    <x v="22"/>
    <x v="0"/>
    <x v="2"/>
    <s v="Decoflex Hanging Personal Folder File, Blue"/>
    <x v="860"/>
    <n v="6"/>
    <n v="24.98"/>
    <x v="8"/>
    <x v="0"/>
  </r>
  <r>
    <n v="44458"/>
    <x v="412"/>
    <x v="3"/>
    <x v="0"/>
    <x v="7"/>
    <s v="Revere Boxed Rubber Bands by Revere"/>
    <x v="987"/>
    <n v="3"/>
    <n v="0.11"/>
    <x v="8"/>
    <x v="0"/>
  </r>
  <r>
    <n v="44458"/>
    <x v="37"/>
    <x v="12"/>
    <x v="1"/>
    <x v="13"/>
    <s v="Hon 2111 Invitation Series Straight Table"/>
    <x v="988"/>
    <n v="1"/>
    <n v="-45.83"/>
    <x v="8"/>
    <x v="0"/>
  </r>
  <r>
    <n v="44459"/>
    <x v="413"/>
    <x v="1"/>
    <x v="1"/>
    <x v="13"/>
    <s v="Bevis 44 x 96 Conference Tables"/>
    <x v="989"/>
    <n v="6"/>
    <n v="-407.68"/>
    <x v="8"/>
    <x v="0"/>
  </r>
  <r>
    <n v="44459"/>
    <x v="414"/>
    <x v="3"/>
    <x v="0"/>
    <x v="1"/>
    <s v="Avery 499"/>
    <x v="967"/>
    <n v="2"/>
    <n v="4.58"/>
    <x v="8"/>
    <x v="0"/>
  </r>
  <r>
    <n v="44459"/>
    <x v="414"/>
    <x v="3"/>
    <x v="0"/>
    <x v="0"/>
    <s v="Wirebound Message Book, 4 per Page"/>
    <x v="990"/>
    <n v="4"/>
    <n v="10.64"/>
    <x v="8"/>
    <x v="0"/>
  </r>
  <r>
    <n v="44459"/>
    <x v="159"/>
    <x v="16"/>
    <x v="0"/>
    <x v="4"/>
    <s v="Nontoxic Chalk"/>
    <x v="991"/>
    <n v="2"/>
    <n v="0.99"/>
    <x v="8"/>
    <x v="0"/>
  </r>
  <r>
    <n v="44459"/>
    <x v="415"/>
    <x v="3"/>
    <x v="0"/>
    <x v="12"/>
    <s v="Staple holder"/>
    <x v="56"/>
    <n v="4"/>
    <n v="11.86"/>
    <x v="8"/>
    <x v="0"/>
  </r>
  <r>
    <n v="44459"/>
    <x v="415"/>
    <x v="3"/>
    <x v="0"/>
    <x v="3"/>
    <s v="Ibico Plastic and Wire Spiral Binding Combs"/>
    <x v="992"/>
    <n v="3"/>
    <n v="6.58"/>
    <x v="8"/>
    <x v="0"/>
  </r>
  <r>
    <n v="44459"/>
    <x v="416"/>
    <x v="36"/>
    <x v="1"/>
    <x v="8"/>
    <s v="C-Line Cubicle Keepers Polyproplyene Holder w/Velcro Back, 8-1/2x11, 25/Bx"/>
    <x v="993"/>
    <n v="3"/>
    <n v="50.91"/>
    <x v="8"/>
    <x v="0"/>
  </r>
  <r>
    <n v="44459"/>
    <x v="416"/>
    <x v="36"/>
    <x v="1"/>
    <x v="11"/>
    <s v="O'Sullivan Living Dimensions 2-Shelf Bookcases"/>
    <x v="994"/>
    <n v="3"/>
    <n v="36.29"/>
    <x v="8"/>
    <x v="0"/>
  </r>
  <r>
    <n v="44459"/>
    <x v="416"/>
    <x v="36"/>
    <x v="2"/>
    <x v="9"/>
    <s v="Logitech 910-002974 M325 Wireless Mouse for Web Scrolling"/>
    <x v="995"/>
    <n v="2"/>
    <n v="26.39"/>
    <x v="8"/>
    <x v="0"/>
  </r>
  <r>
    <n v="44459"/>
    <x v="417"/>
    <x v="1"/>
    <x v="1"/>
    <x v="11"/>
    <s v="Bush Heritage Pine Collection 5-Shelf Bookcase, Albany Pine Finish, *Special Order"/>
    <x v="996"/>
    <n v="5"/>
    <n v="-70.489999999999995"/>
    <x v="8"/>
    <x v="0"/>
  </r>
  <r>
    <n v="44459"/>
    <x v="417"/>
    <x v="1"/>
    <x v="2"/>
    <x v="6"/>
    <s v="QVS USB Car Charger 2-Port 2.1Amp for iPod/iPhone/iPad/iPad 2/iPad 3"/>
    <x v="997"/>
    <n v="2"/>
    <n v="3.48"/>
    <x v="8"/>
    <x v="0"/>
  </r>
  <r>
    <n v="44459"/>
    <x v="418"/>
    <x v="3"/>
    <x v="0"/>
    <x v="0"/>
    <s v="Xerox 1900"/>
    <x v="507"/>
    <n v="2"/>
    <n v="3.85"/>
    <x v="8"/>
    <x v="0"/>
  </r>
  <r>
    <n v="44459"/>
    <x v="363"/>
    <x v="20"/>
    <x v="2"/>
    <x v="6"/>
    <s v="Ooma Telo VoIP Home Phone System"/>
    <x v="308"/>
    <n v="5"/>
    <n v="157.49"/>
    <x v="8"/>
    <x v="0"/>
  </r>
  <r>
    <n v="44459"/>
    <x v="363"/>
    <x v="20"/>
    <x v="1"/>
    <x v="5"/>
    <s v="Global Leather Executive Chair"/>
    <x v="998"/>
    <n v="2"/>
    <n v="140.4"/>
    <x v="8"/>
    <x v="0"/>
  </r>
  <r>
    <n v="44459"/>
    <x v="363"/>
    <x v="20"/>
    <x v="1"/>
    <x v="11"/>
    <s v="DMI Eclipse Executive Suite Bookcases"/>
    <x v="690"/>
    <n v="2"/>
    <n v="-10.02"/>
    <x v="8"/>
    <x v="0"/>
  </r>
  <r>
    <n v="44459"/>
    <x v="363"/>
    <x v="20"/>
    <x v="0"/>
    <x v="1"/>
    <s v="Avery 485"/>
    <x v="999"/>
    <n v="6"/>
    <n v="35.33"/>
    <x v="8"/>
    <x v="0"/>
  </r>
  <r>
    <n v="44459"/>
    <x v="363"/>
    <x v="20"/>
    <x v="0"/>
    <x v="12"/>
    <s v="Euro-Pro Shark Turbo Vacuum"/>
    <x v="1000"/>
    <n v="1"/>
    <n v="8.0500000000000007"/>
    <x v="8"/>
    <x v="0"/>
  </r>
  <r>
    <n v="44459"/>
    <x v="363"/>
    <x v="20"/>
    <x v="2"/>
    <x v="6"/>
    <s v="Panasonic KX-TG9541B DECT 6.0 Digital 2-Line Expandable Cordless Phone With Digital Answering System"/>
    <x v="1001"/>
    <n v="9"/>
    <n v="661.46"/>
    <x v="8"/>
    <x v="0"/>
  </r>
  <r>
    <n v="44460"/>
    <x v="419"/>
    <x v="22"/>
    <x v="2"/>
    <x v="6"/>
    <s v="Nortel Meridian M3904 Professional Digital phone"/>
    <x v="1002"/>
    <n v="2"/>
    <n v="27.72"/>
    <x v="8"/>
    <x v="0"/>
  </r>
  <r>
    <n v="44460"/>
    <x v="419"/>
    <x v="22"/>
    <x v="2"/>
    <x v="16"/>
    <s v="Canon PC1080F Personal Copier"/>
    <x v="408"/>
    <n v="3"/>
    <n v="701.99"/>
    <x v="8"/>
    <x v="0"/>
  </r>
  <r>
    <n v="44460"/>
    <x v="291"/>
    <x v="40"/>
    <x v="0"/>
    <x v="12"/>
    <s v="Fellowes Basic Home/Office Series Surge Protectors"/>
    <x v="1003"/>
    <n v="2"/>
    <n v="7.53"/>
    <x v="8"/>
    <x v="0"/>
  </r>
  <r>
    <n v="44460"/>
    <x v="291"/>
    <x v="40"/>
    <x v="0"/>
    <x v="12"/>
    <s v="Acco 6 Outlet Guardian Standard Surge Suppressor"/>
    <x v="1004"/>
    <n v="3"/>
    <n v="10.88"/>
    <x v="8"/>
    <x v="0"/>
  </r>
  <r>
    <n v="44460"/>
    <x v="291"/>
    <x v="40"/>
    <x v="0"/>
    <x v="0"/>
    <s v="Xerox 224"/>
    <x v="710"/>
    <n v="1"/>
    <n v="3.11"/>
    <x v="8"/>
    <x v="0"/>
  </r>
  <r>
    <n v="44460"/>
    <x v="221"/>
    <x v="3"/>
    <x v="0"/>
    <x v="10"/>
    <s v="Staple envelope"/>
    <x v="515"/>
    <n v="2"/>
    <n v="7.31"/>
    <x v="8"/>
    <x v="0"/>
  </r>
  <r>
    <n v="44460"/>
    <x v="221"/>
    <x v="3"/>
    <x v="0"/>
    <x v="10"/>
    <s v="#10 White Business Envelopes,4 1/8 x 9 1/2"/>
    <x v="1005"/>
    <n v="5"/>
    <n v="36.82"/>
    <x v="8"/>
    <x v="0"/>
  </r>
  <r>
    <n v="44460"/>
    <x v="221"/>
    <x v="3"/>
    <x v="0"/>
    <x v="4"/>
    <s v="Newell 34"/>
    <x v="144"/>
    <n v="3"/>
    <n v="15.48"/>
    <x v="8"/>
    <x v="0"/>
  </r>
  <r>
    <n v="44460"/>
    <x v="221"/>
    <x v="3"/>
    <x v="0"/>
    <x v="0"/>
    <s v="Xerox 1971"/>
    <x v="448"/>
    <n v="9"/>
    <n v="17.329999999999998"/>
    <x v="8"/>
    <x v="0"/>
  </r>
  <r>
    <n v="44460"/>
    <x v="221"/>
    <x v="3"/>
    <x v="2"/>
    <x v="6"/>
    <s v="Polycom CX300 Desktop Phone USB VoIP phone"/>
    <x v="868"/>
    <n v="2"/>
    <n v="24"/>
    <x v="8"/>
    <x v="0"/>
  </r>
  <r>
    <n v="44460"/>
    <x v="221"/>
    <x v="3"/>
    <x v="0"/>
    <x v="0"/>
    <s v="Wirebound Four 2-3/4 x 5 Forms per Page, 400 Sets per Book"/>
    <x v="1006"/>
    <n v="3"/>
    <n v="9.48"/>
    <x v="8"/>
    <x v="0"/>
  </r>
  <r>
    <n v="44460"/>
    <x v="338"/>
    <x v="2"/>
    <x v="0"/>
    <x v="0"/>
    <s v="While You Were Out Pads, 50 per Pad, 4 x 5 1/4, Green Cycle"/>
    <x v="1007"/>
    <n v="3"/>
    <n v="4.12"/>
    <x v="8"/>
    <x v="0"/>
  </r>
  <r>
    <n v="44460"/>
    <x v="338"/>
    <x v="2"/>
    <x v="0"/>
    <x v="1"/>
    <s v="Staple-on labels"/>
    <x v="1008"/>
    <n v="9"/>
    <n v="7.02"/>
    <x v="8"/>
    <x v="0"/>
  </r>
  <r>
    <n v="44460"/>
    <x v="179"/>
    <x v="0"/>
    <x v="1"/>
    <x v="8"/>
    <s v="Dana Swing-Arm Lamps"/>
    <x v="1009"/>
    <n v="2"/>
    <n v="-7.48"/>
    <x v="8"/>
    <x v="0"/>
  </r>
  <r>
    <n v="44460"/>
    <x v="420"/>
    <x v="2"/>
    <x v="0"/>
    <x v="3"/>
    <s v="Angle-D Binders with Locking Rings, Label Holders"/>
    <x v="1010"/>
    <n v="3"/>
    <n v="-5.04"/>
    <x v="8"/>
    <x v="0"/>
  </r>
  <r>
    <n v="44460"/>
    <x v="421"/>
    <x v="20"/>
    <x v="0"/>
    <x v="4"/>
    <s v="Boston 16801 Nautilus Battery Pencil Sharpener"/>
    <x v="1011"/>
    <n v="3"/>
    <n v="17.170000000000002"/>
    <x v="8"/>
    <x v="0"/>
  </r>
  <r>
    <n v="44461"/>
    <x v="389"/>
    <x v="16"/>
    <x v="0"/>
    <x v="1"/>
    <s v="Avery File Folder Labels"/>
    <x v="1012"/>
    <n v="2"/>
    <n v="1.67"/>
    <x v="8"/>
    <x v="0"/>
  </r>
  <r>
    <n v="44461"/>
    <x v="422"/>
    <x v="1"/>
    <x v="0"/>
    <x v="2"/>
    <s v="SAFCO Commercial Wire Shelving, Black"/>
    <x v="1013"/>
    <n v="3"/>
    <n v="-82.88"/>
    <x v="8"/>
    <x v="0"/>
  </r>
  <r>
    <n v="44461"/>
    <x v="145"/>
    <x v="3"/>
    <x v="0"/>
    <x v="2"/>
    <s v="File Shuttle II and Handi-File, Black"/>
    <x v="1014"/>
    <n v="5"/>
    <n v="42.36"/>
    <x v="8"/>
    <x v="0"/>
  </r>
  <r>
    <n v="44461"/>
    <x v="145"/>
    <x v="3"/>
    <x v="0"/>
    <x v="2"/>
    <s v="Tennsco Commercial Shelving"/>
    <x v="1015"/>
    <n v="2"/>
    <n v="0.41"/>
    <x v="8"/>
    <x v="0"/>
  </r>
  <r>
    <n v="44461"/>
    <x v="423"/>
    <x v="20"/>
    <x v="1"/>
    <x v="8"/>
    <s v="Computer Room Manger, 14&quot;"/>
    <x v="1016"/>
    <n v="3"/>
    <n v="35.08"/>
    <x v="8"/>
    <x v="0"/>
  </r>
  <r>
    <n v="44461"/>
    <x v="423"/>
    <x v="20"/>
    <x v="0"/>
    <x v="3"/>
    <s v="Cardinal Holdit Business Card Pockets"/>
    <x v="444"/>
    <n v="1"/>
    <n v="1.39"/>
    <x v="8"/>
    <x v="0"/>
  </r>
  <r>
    <n v="44461"/>
    <x v="423"/>
    <x v="20"/>
    <x v="0"/>
    <x v="4"/>
    <s v="Avery Hi-Liter GlideStik Fluorescent Highlighter, Yellow Ink"/>
    <x v="1017"/>
    <n v="4"/>
    <n v="5.74"/>
    <x v="8"/>
    <x v="0"/>
  </r>
  <r>
    <n v="44461"/>
    <x v="423"/>
    <x v="20"/>
    <x v="1"/>
    <x v="5"/>
    <s v="Office Star - Mid Back Dual function Ergonomic High Back Chair with 2-Way Adjustable Arms"/>
    <x v="1018"/>
    <n v="4"/>
    <n v="83.71"/>
    <x v="8"/>
    <x v="0"/>
  </r>
  <r>
    <n v="44462"/>
    <x v="291"/>
    <x v="3"/>
    <x v="1"/>
    <x v="11"/>
    <s v="Rush Hierlooms Collection 1&quot; Thick Stackable Bookcases"/>
    <x v="1019"/>
    <n v="3"/>
    <n v="20.52"/>
    <x v="8"/>
    <x v="0"/>
  </r>
  <r>
    <n v="44462"/>
    <x v="291"/>
    <x v="3"/>
    <x v="2"/>
    <x v="6"/>
    <s v="netTALK DUO VoIP Telephone Service"/>
    <x v="473"/>
    <n v="2"/>
    <n v="31.49"/>
    <x v="8"/>
    <x v="0"/>
  </r>
  <r>
    <n v="44462"/>
    <x v="43"/>
    <x v="20"/>
    <x v="0"/>
    <x v="3"/>
    <s v="Avery Arch Ring Binders"/>
    <x v="1020"/>
    <n v="3"/>
    <n v="47.06"/>
    <x v="8"/>
    <x v="0"/>
  </r>
  <r>
    <n v="44462"/>
    <x v="42"/>
    <x v="28"/>
    <x v="0"/>
    <x v="0"/>
    <s v="Xerox 217"/>
    <x v="331"/>
    <n v="5"/>
    <n v="15.55"/>
    <x v="8"/>
    <x v="0"/>
  </r>
  <r>
    <n v="44462"/>
    <x v="42"/>
    <x v="28"/>
    <x v="0"/>
    <x v="2"/>
    <s v="Carina Double Wide Media Storage Towers in Natural &amp; Black"/>
    <x v="1021"/>
    <n v="5"/>
    <n v="16.2"/>
    <x v="8"/>
    <x v="0"/>
  </r>
  <r>
    <n v="44462"/>
    <x v="42"/>
    <x v="28"/>
    <x v="0"/>
    <x v="3"/>
    <s v="Ibico EPK-21 Electric Binding System"/>
    <x v="1022"/>
    <n v="5"/>
    <n v="4630.4799999999996"/>
    <x v="8"/>
    <x v="0"/>
  </r>
  <r>
    <n v="44462"/>
    <x v="42"/>
    <x v="28"/>
    <x v="0"/>
    <x v="3"/>
    <s v="GBC Instant Report Kit"/>
    <x v="1023"/>
    <n v="2"/>
    <n v="6.47"/>
    <x v="8"/>
    <x v="0"/>
  </r>
  <r>
    <n v="44462"/>
    <x v="412"/>
    <x v="10"/>
    <x v="0"/>
    <x v="0"/>
    <s v="EcoTones Memo Sheets"/>
    <x v="1024"/>
    <n v="9"/>
    <n v="10.08"/>
    <x v="8"/>
    <x v="0"/>
  </r>
  <r>
    <n v="44462"/>
    <x v="424"/>
    <x v="7"/>
    <x v="0"/>
    <x v="3"/>
    <s v="Wilson Jones Suede Grain Vinyl Binders"/>
    <x v="997"/>
    <n v="4"/>
    <n v="5.45"/>
    <x v="8"/>
    <x v="0"/>
  </r>
  <r>
    <n v="44462"/>
    <x v="425"/>
    <x v="20"/>
    <x v="0"/>
    <x v="3"/>
    <s v="Avery Binding System Hidden Tab Executive Style Index Sets"/>
    <x v="1025"/>
    <n v="4"/>
    <n v="6.92"/>
    <x v="8"/>
    <x v="0"/>
  </r>
  <r>
    <n v="44462"/>
    <x v="426"/>
    <x v="7"/>
    <x v="0"/>
    <x v="4"/>
    <s v="Newell 351"/>
    <x v="1026"/>
    <n v="3"/>
    <n v="2.85"/>
    <x v="8"/>
    <x v="0"/>
  </r>
  <r>
    <n v="44462"/>
    <x v="426"/>
    <x v="7"/>
    <x v="0"/>
    <x v="3"/>
    <s v="Ibico Covers for Plastic or Wire Binding Elements"/>
    <x v="1027"/>
    <n v="3"/>
    <n v="15.53"/>
    <x v="8"/>
    <x v="0"/>
  </r>
  <r>
    <n v="44463"/>
    <x v="427"/>
    <x v="3"/>
    <x v="0"/>
    <x v="2"/>
    <s v="Gould Plastics 9-Pocket Panel Bin, 18-3/8w x 5-1/4d x 20-1/2h, Black"/>
    <x v="1028"/>
    <n v="4"/>
    <n v="8.48"/>
    <x v="8"/>
    <x v="0"/>
  </r>
  <r>
    <n v="44464"/>
    <x v="428"/>
    <x v="0"/>
    <x v="0"/>
    <x v="0"/>
    <s v="Xerox 1954"/>
    <x v="1029"/>
    <n v="8"/>
    <n v="10.56"/>
    <x v="8"/>
    <x v="0"/>
  </r>
  <r>
    <n v="44464"/>
    <x v="428"/>
    <x v="0"/>
    <x v="1"/>
    <x v="11"/>
    <s v="O'Sullivan Living Dimensions 5-Shelf Bookcases"/>
    <x v="1030"/>
    <n v="2"/>
    <n v="-97.23"/>
    <x v="8"/>
    <x v="0"/>
  </r>
  <r>
    <n v="44464"/>
    <x v="428"/>
    <x v="0"/>
    <x v="0"/>
    <x v="3"/>
    <s v="Avery Self-Adhesive Photo Pockets for Polaroid Photos"/>
    <x v="1031"/>
    <n v="2"/>
    <n v="-4.3600000000000003"/>
    <x v="8"/>
    <x v="0"/>
  </r>
  <r>
    <n v="44464"/>
    <x v="428"/>
    <x v="0"/>
    <x v="0"/>
    <x v="10"/>
    <s v="Poly String Tie Envelopes"/>
    <x v="1032"/>
    <n v="2"/>
    <n v="1.1000000000000001"/>
    <x v="8"/>
    <x v="0"/>
  </r>
  <r>
    <n v="44464"/>
    <x v="429"/>
    <x v="26"/>
    <x v="0"/>
    <x v="4"/>
    <s v="Dixon Ticonderoga Core-Lock Colored Pencils"/>
    <x v="1033"/>
    <n v="2"/>
    <n v="2.37"/>
    <x v="8"/>
    <x v="0"/>
  </r>
  <r>
    <n v="44465"/>
    <x v="388"/>
    <x v="3"/>
    <x v="1"/>
    <x v="5"/>
    <s v="Leather Task Chair, Black"/>
    <x v="1034"/>
    <n v="2"/>
    <n v="0"/>
    <x v="8"/>
    <x v="0"/>
  </r>
  <r>
    <n v="44465"/>
    <x v="418"/>
    <x v="0"/>
    <x v="0"/>
    <x v="3"/>
    <s v="Acco 3-Hole Punch"/>
    <x v="1035"/>
    <n v="1"/>
    <n v="-1.4"/>
    <x v="8"/>
    <x v="0"/>
  </r>
  <r>
    <n v="44465"/>
    <x v="430"/>
    <x v="2"/>
    <x v="0"/>
    <x v="12"/>
    <s v="Belkin 8 Outlet SurgeMaster II Gold Surge Protector"/>
    <x v="1036"/>
    <n v="3"/>
    <n v="14.4"/>
    <x v="8"/>
    <x v="0"/>
  </r>
  <r>
    <n v="44465"/>
    <x v="431"/>
    <x v="22"/>
    <x v="0"/>
    <x v="2"/>
    <s v="Dual Level, Single-Width Filing Carts"/>
    <x v="1037"/>
    <n v="2"/>
    <n v="80.63"/>
    <x v="8"/>
    <x v="0"/>
  </r>
  <r>
    <n v="44465"/>
    <x v="432"/>
    <x v="3"/>
    <x v="1"/>
    <x v="5"/>
    <s v="Hon Deluxe Fabric Upholstered Stacking Chairs, Rounded Back"/>
    <x v="528"/>
    <n v="3"/>
    <n v="73.19"/>
    <x v="8"/>
    <x v="0"/>
  </r>
  <r>
    <n v="44465"/>
    <x v="432"/>
    <x v="3"/>
    <x v="0"/>
    <x v="0"/>
    <s v="Xerox 217"/>
    <x v="5"/>
    <n v="3"/>
    <n v="9.33"/>
    <x v="8"/>
    <x v="0"/>
  </r>
  <r>
    <n v="44465"/>
    <x v="71"/>
    <x v="2"/>
    <x v="0"/>
    <x v="3"/>
    <s v="Avery Durable Slant Ring Binders, No Labels"/>
    <x v="1038"/>
    <n v="5"/>
    <n v="-4.58"/>
    <x v="8"/>
    <x v="0"/>
  </r>
  <r>
    <n v="44465"/>
    <x v="71"/>
    <x v="2"/>
    <x v="1"/>
    <x v="8"/>
    <s v="DAX Black Cherry Wood-Tone Poster Frame"/>
    <x v="1039"/>
    <n v="1"/>
    <n v="4.7699999999999996"/>
    <x v="8"/>
    <x v="0"/>
  </r>
  <r>
    <n v="44465"/>
    <x v="71"/>
    <x v="2"/>
    <x v="0"/>
    <x v="12"/>
    <s v="Acco Six-Outlet Power Strip, 4' Cord Length"/>
    <x v="1040"/>
    <n v="6"/>
    <n v="3.1"/>
    <x v="8"/>
    <x v="0"/>
  </r>
  <r>
    <n v="44465"/>
    <x v="163"/>
    <x v="10"/>
    <x v="0"/>
    <x v="12"/>
    <s v="Hoover Commercial Lightweight Upright Vacuum"/>
    <x v="1041"/>
    <n v="6"/>
    <n v="1.25"/>
    <x v="8"/>
    <x v="0"/>
  </r>
  <r>
    <n v="44465"/>
    <x v="163"/>
    <x v="10"/>
    <x v="2"/>
    <x v="9"/>
    <s v="Maxell CD-R Discs"/>
    <x v="374"/>
    <n v="2"/>
    <n v="0.47"/>
    <x v="8"/>
    <x v="0"/>
  </r>
  <r>
    <n v="44465"/>
    <x v="163"/>
    <x v="10"/>
    <x v="0"/>
    <x v="0"/>
    <s v="Message Book, Wirebound, Four 5 1/2&quot; X 4&quot; Forms/Pg., 200 Dupl. Sets/Book"/>
    <x v="119"/>
    <n v="4"/>
    <n v="11.1"/>
    <x v="8"/>
    <x v="0"/>
  </r>
  <r>
    <n v="44465"/>
    <x v="13"/>
    <x v="1"/>
    <x v="2"/>
    <x v="9"/>
    <s v="Maxell Pro 80 Minute CD-R, 10/Pack"/>
    <x v="1042"/>
    <n v="11"/>
    <n v="38.46"/>
    <x v="8"/>
    <x v="0"/>
  </r>
  <r>
    <n v="44466"/>
    <x v="93"/>
    <x v="23"/>
    <x v="1"/>
    <x v="8"/>
    <s v="Deflect-o SuperTray Unbreakable Stackable Tray, Letter, Black"/>
    <x v="1043"/>
    <n v="3"/>
    <n v="37.64"/>
    <x v="8"/>
    <x v="0"/>
  </r>
  <r>
    <n v="44466"/>
    <x v="433"/>
    <x v="3"/>
    <x v="1"/>
    <x v="5"/>
    <s v="DMI Arturo Collection Mission-style Design Wood Chair"/>
    <x v="1044"/>
    <n v="5"/>
    <n v="45.29"/>
    <x v="8"/>
    <x v="0"/>
  </r>
  <r>
    <n v="44466"/>
    <x v="433"/>
    <x v="3"/>
    <x v="0"/>
    <x v="0"/>
    <s v="Xerox 1919"/>
    <x v="1045"/>
    <n v="2"/>
    <n v="40.17"/>
    <x v="8"/>
    <x v="0"/>
  </r>
  <r>
    <n v="44467"/>
    <x v="434"/>
    <x v="32"/>
    <x v="0"/>
    <x v="2"/>
    <s v="Decoflex Hanging Personal Folder File, Blue"/>
    <x v="1046"/>
    <n v="3"/>
    <n v="12.49"/>
    <x v="8"/>
    <x v="0"/>
  </r>
  <r>
    <n v="44467"/>
    <x v="435"/>
    <x v="25"/>
    <x v="0"/>
    <x v="0"/>
    <s v="White GlueTop Scratch Pads"/>
    <x v="1047"/>
    <n v="8"/>
    <n v="31.28"/>
    <x v="8"/>
    <x v="0"/>
  </r>
  <r>
    <n v="44467"/>
    <x v="435"/>
    <x v="25"/>
    <x v="0"/>
    <x v="0"/>
    <s v="Xerox 195"/>
    <x v="1048"/>
    <n v="2"/>
    <n v="3.74"/>
    <x v="8"/>
    <x v="0"/>
  </r>
  <r>
    <n v="44467"/>
    <x v="21"/>
    <x v="16"/>
    <x v="1"/>
    <x v="8"/>
    <s v="Deflect-o DuraMat Antistatic Studded Beveled Mat for Medium Pile Carpeting"/>
    <x v="1049"/>
    <n v="4"/>
    <n v="16.850000000000001"/>
    <x v="8"/>
    <x v="0"/>
  </r>
  <r>
    <n v="44468"/>
    <x v="358"/>
    <x v="3"/>
    <x v="1"/>
    <x v="8"/>
    <s v="Luxo Professional Combination Clamp-On Lamps"/>
    <x v="1050"/>
    <n v="2"/>
    <n v="53.2"/>
    <x v="8"/>
    <x v="0"/>
  </r>
  <r>
    <n v="44468"/>
    <x v="358"/>
    <x v="3"/>
    <x v="0"/>
    <x v="7"/>
    <s v="Stockwell Push Pins"/>
    <x v="1051"/>
    <n v="4"/>
    <n v="2.88"/>
    <x v="8"/>
    <x v="0"/>
  </r>
  <r>
    <n v="44468"/>
    <x v="358"/>
    <x v="3"/>
    <x v="0"/>
    <x v="0"/>
    <s v="Xerox 223"/>
    <x v="710"/>
    <n v="1"/>
    <n v="3.11"/>
    <x v="8"/>
    <x v="0"/>
  </r>
  <r>
    <n v="44468"/>
    <x v="358"/>
    <x v="3"/>
    <x v="2"/>
    <x v="15"/>
    <s v="Star Micronics TSP800 TSP847IIU Receipt Printer"/>
    <x v="1052"/>
    <n v="2"/>
    <n v="223.05"/>
    <x v="8"/>
    <x v="0"/>
  </r>
  <r>
    <n v="44468"/>
    <x v="358"/>
    <x v="3"/>
    <x v="0"/>
    <x v="2"/>
    <s v="Fellowes Mobile File Cart, Black"/>
    <x v="1053"/>
    <n v="1"/>
    <n v="16.79"/>
    <x v="8"/>
    <x v="0"/>
  </r>
  <r>
    <n v="44468"/>
    <x v="436"/>
    <x v="2"/>
    <x v="0"/>
    <x v="4"/>
    <s v="Nontoxic Chalk"/>
    <x v="829"/>
    <n v="3"/>
    <n v="1.48"/>
    <x v="8"/>
    <x v="0"/>
  </r>
  <r>
    <n v="44468"/>
    <x v="436"/>
    <x v="2"/>
    <x v="1"/>
    <x v="13"/>
    <s v="Hon 30&quot; x 60&quot; Table with Locking Drawer"/>
    <x v="1054"/>
    <n v="2"/>
    <n v="-81.849999999999994"/>
    <x v="8"/>
    <x v="0"/>
  </r>
  <r>
    <n v="44468"/>
    <x v="436"/>
    <x v="2"/>
    <x v="0"/>
    <x v="1"/>
    <s v="Permanent Self-Adhesive File Folder Labels for Typewriters, 1 1/8 x 3 1/2, White"/>
    <x v="1055"/>
    <n v="11"/>
    <n v="18.02"/>
    <x v="8"/>
    <x v="0"/>
  </r>
  <r>
    <n v="44468"/>
    <x v="436"/>
    <x v="2"/>
    <x v="0"/>
    <x v="0"/>
    <s v="Southworth Parchment Paper &amp; Envelopes"/>
    <x v="1056"/>
    <n v="4"/>
    <n v="6.8"/>
    <x v="8"/>
    <x v="0"/>
  </r>
  <r>
    <n v="44468"/>
    <x v="436"/>
    <x v="2"/>
    <x v="0"/>
    <x v="2"/>
    <s v="Tennsco Single-Tier Lockers"/>
    <x v="1057"/>
    <n v="6"/>
    <n v="-337.81"/>
    <x v="8"/>
    <x v="0"/>
  </r>
  <r>
    <n v="44468"/>
    <x v="436"/>
    <x v="2"/>
    <x v="1"/>
    <x v="13"/>
    <s v="Hon 4060 Series Tables"/>
    <x v="1058"/>
    <n v="1"/>
    <n v="-20.149999999999999"/>
    <x v="8"/>
    <x v="0"/>
  </r>
  <r>
    <n v="44468"/>
    <x v="367"/>
    <x v="22"/>
    <x v="1"/>
    <x v="8"/>
    <s v="Longer-Life Soft White Bulbs"/>
    <x v="1059"/>
    <n v="2"/>
    <n v="2.96"/>
    <x v="8"/>
    <x v="0"/>
  </r>
  <r>
    <n v="44468"/>
    <x v="367"/>
    <x v="22"/>
    <x v="1"/>
    <x v="13"/>
    <s v="Bevis Oval Conference Table, Walnut"/>
    <x v="1060"/>
    <n v="9"/>
    <n v="399.3"/>
    <x v="8"/>
    <x v="0"/>
  </r>
  <r>
    <n v="44468"/>
    <x v="437"/>
    <x v="20"/>
    <x v="0"/>
    <x v="2"/>
    <s v="Dual Level, Single-Width Filing Carts"/>
    <x v="1061"/>
    <n v="9"/>
    <n v="362.84"/>
    <x v="8"/>
    <x v="0"/>
  </r>
  <r>
    <n v="44468"/>
    <x v="437"/>
    <x v="20"/>
    <x v="1"/>
    <x v="8"/>
    <s v="Seth Thomas 14&quot; Putty-Colored Wall Clock"/>
    <x v="1062"/>
    <n v="4"/>
    <n v="36.380000000000003"/>
    <x v="8"/>
    <x v="0"/>
  </r>
  <r>
    <n v="44468"/>
    <x v="437"/>
    <x v="20"/>
    <x v="0"/>
    <x v="1"/>
    <s v="Avery 48"/>
    <x v="282"/>
    <n v="3"/>
    <n v="8.69"/>
    <x v="8"/>
    <x v="0"/>
  </r>
  <r>
    <n v="44468"/>
    <x v="437"/>
    <x v="20"/>
    <x v="0"/>
    <x v="0"/>
    <s v="White Computer Printout Paper by Universal"/>
    <x v="1063"/>
    <n v="2"/>
    <n v="37.979999999999997"/>
    <x v="8"/>
    <x v="0"/>
  </r>
  <r>
    <n v="44468"/>
    <x v="438"/>
    <x v="22"/>
    <x v="0"/>
    <x v="3"/>
    <s v="GBC Standard Plastic Binding Systems' Combs"/>
    <x v="1064"/>
    <n v="2"/>
    <n v="3.14"/>
    <x v="8"/>
    <x v="0"/>
  </r>
  <r>
    <n v="44468"/>
    <x v="438"/>
    <x v="22"/>
    <x v="0"/>
    <x v="2"/>
    <s v="Fellowes Super Stor/Drawer Files"/>
    <x v="1065"/>
    <n v="5"/>
    <n v="153.47"/>
    <x v="8"/>
    <x v="0"/>
  </r>
  <r>
    <n v="44469"/>
    <x v="277"/>
    <x v="20"/>
    <x v="0"/>
    <x v="0"/>
    <s v="Tops Green Bar Computer Printout Paper"/>
    <x v="732"/>
    <n v="1"/>
    <n v="24.47"/>
    <x v="8"/>
    <x v="0"/>
  </r>
  <r>
    <n v="44469"/>
    <x v="346"/>
    <x v="16"/>
    <x v="0"/>
    <x v="0"/>
    <s v="Xerox 217"/>
    <x v="143"/>
    <n v="3"/>
    <n v="5.44"/>
    <x v="8"/>
    <x v="0"/>
  </r>
  <r>
    <n v="44469"/>
    <x v="439"/>
    <x v="15"/>
    <x v="0"/>
    <x v="12"/>
    <s v="Holmes Odor Grabber"/>
    <x v="1066"/>
    <n v="6"/>
    <n v="11.25"/>
    <x v="8"/>
    <x v="0"/>
  </r>
  <r>
    <n v="44469"/>
    <x v="440"/>
    <x v="22"/>
    <x v="0"/>
    <x v="3"/>
    <s v="DXL Angle-View Binders with Locking Rings by Samsill"/>
    <x v="1067"/>
    <n v="7"/>
    <n v="13.49"/>
    <x v="8"/>
    <x v="0"/>
  </r>
  <r>
    <n v="44469"/>
    <x v="223"/>
    <x v="20"/>
    <x v="1"/>
    <x v="8"/>
    <s v="Master Caster Door Stop, Brown"/>
    <x v="1068"/>
    <n v="3"/>
    <n v="5.18"/>
    <x v="8"/>
    <x v="0"/>
  </r>
  <r>
    <n v="44469"/>
    <x v="441"/>
    <x v="10"/>
    <x v="0"/>
    <x v="12"/>
    <s v="Eureka Sanitaire  Commercial Upright"/>
    <x v="1069"/>
    <n v="6"/>
    <n v="59.66"/>
    <x v="8"/>
    <x v="0"/>
  </r>
  <r>
    <n v="44470"/>
    <x v="82"/>
    <x v="17"/>
    <x v="0"/>
    <x v="7"/>
    <s v="Sterling Rubber Bands by Alliance"/>
    <x v="1070"/>
    <n v="1"/>
    <n v="0"/>
    <x v="9"/>
    <x v="0"/>
  </r>
  <r>
    <n v="44471"/>
    <x v="442"/>
    <x v="12"/>
    <x v="0"/>
    <x v="0"/>
    <s v="Adams Telephone Message Book W/Dividers/Space For Phone Numbers, 5 1/4&quot;X8 1/2&quot;, 300/Messages"/>
    <x v="1071"/>
    <n v="2"/>
    <n v="3.41"/>
    <x v="9"/>
    <x v="0"/>
  </r>
  <r>
    <n v="44471"/>
    <x v="442"/>
    <x v="12"/>
    <x v="0"/>
    <x v="7"/>
    <s v="Staples"/>
    <x v="1072"/>
    <n v="2"/>
    <n v="1.46"/>
    <x v="9"/>
    <x v="0"/>
  </r>
  <r>
    <n v="44471"/>
    <x v="442"/>
    <x v="12"/>
    <x v="2"/>
    <x v="6"/>
    <s v="Bose SoundLink Bluetooth Speaker"/>
    <x v="1073"/>
    <n v="2"/>
    <n v="107.46"/>
    <x v="9"/>
    <x v="0"/>
  </r>
  <r>
    <n v="44471"/>
    <x v="442"/>
    <x v="12"/>
    <x v="0"/>
    <x v="10"/>
    <s v="Letter or Legal Size Expandable Poly String Tie Envelopes"/>
    <x v="1074"/>
    <n v="6"/>
    <n v="4.63"/>
    <x v="9"/>
    <x v="0"/>
  </r>
  <r>
    <n v="44471"/>
    <x v="442"/>
    <x v="12"/>
    <x v="0"/>
    <x v="14"/>
    <s v="Stiletto Hand Letter Openers"/>
    <x v="1075"/>
    <n v="2"/>
    <n v="-3.26"/>
    <x v="9"/>
    <x v="0"/>
  </r>
  <r>
    <n v="44471"/>
    <x v="442"/>
    <x v="12"/>
    <x v="2"/>
    <x v="6"/>
    <s v="Pyle PMP37LED"/>
    <x v="1076"/>
    <n v="3"/>
    <n v="20.16"/>
    <x v="9"/>
    <x v="0"/>
  </r>
  <r>
    <n v="44471"/>
    <x v="442"/>
    <x v="12"/>
    <x v="2"/>
    <x v="9"/>
    <s v="Kingston Digital DataTraveler 16GB USB 2.0"/>
    <x v="959"/>
    <n v="1"/>
    <n v="-0.09"/>
    <x v="9"/>
    <x v="0"/>
  </r>
  <r>
    <n v="44472"/>
    <x v="443"/>
    <x v="1"/>
    <x v="1"/>
    <x v="5"/>
    <s v="Global High-Back Leather Tilter, Burgundy"/>
    <x v="1077"/>
    <n v="3"/>
    <n v="-70.099999999999994"/>
    <x v="9"/>
    <x v="0"/>
  </r>
  <r>
    <n v="44472"/>
    <x v="444"/>
    <x v="3"/>
    <x v="1"/>
    <x v="13"/>
    <s v="Bevis Round Conference Room Tables and Bases"/>
    <x v="1078"/>
    <n v="1"/>
    <n v="3.59"/>
    <x v="9"/>
    <x v="0"/>
  </r>
  <r>
    <n v="44472"/>
    <x v="444"/>
    <x v="3"/>
    <x v="1"/>
    <x v="5"/>
    <s v="Global Deluxe Stacking Chair, Gray"/>
    <x v="205"/>
    <n v="3"/>
    <n v="13.76"/>
    <x v="9"/>
    <x v="0"/>
  </r>
  <r>
    <n v="44472"/>
    <x v="421"/>
    <x v="25"/>
    <x v="0"/>
    <x v="2"/>
    <s v="Advantus Rolling Drawer Organizers"/>
    <x v="1079"/>
    <n v="2"/>
    <n v="4.62"/>
    <x v="9"/>
    <x v="0"/>
  </r>
  <r>
    <n v="44472"/>
    <x v="421"/>
    <x v="25"/>
    <x v="0"/>
    <x v="4"/>
    <s v="DIXON Oriole Pencils"/>
    <x v="1080"/>
    <n v="3"/>
    <n v="0.46"/>
    <x v="9"/>
    <x v="0"/>
  </r>
  <r>
    <n v="44472"/>
    <x v="445"/>
    <x v="10"/>
    <x v="0"/>
    <x v="4"/>
    <s v="Hunt Boston Vacuum Mount KS Pencil Sharpener"/>
    <x v="1081"/>
    <n v="2"/>
    <n v="4.2"/>
    <x v="9"/>
    <x v="0"/>
  </r>
  <r>
    <n v="44472"/>
    <x v="445"/>
    <x v="10"/>
    <x v="0"/>
    <x v="10"/>
    <s v="Convenience Packs of Business Envelopes"/>
    <x v="1082"/>
    <n v="5"/>
    <n v="4.8899999999999997"/>
    <x v="9"/>
    <x v="0"/>
  </r>
  <r>
    <n v="44472"/>
    <x v="445"/>
    <x v="10"/>
    <x v="2"/>
    <x v="9"/>
    <s v="Logitech G105 Gaming Keyboard"/>
    <x v="1083"/>
    <n v="3"/>
    <n v="-3.56"/>
    <x v="9"/>
    <x v="0"/>
  </r>
  <r>
    <n v="44472"/>
    <x v="446"/>
    <x v="0"/>
    <x v="0"/>
    <x v="7"/>
    <s v="Colored Push Pins"/>
    <x v="1084"/>
    <n v="3"/>
    <n v="0.87"/>
    <x v="9"/>
    <x v="0"/>
  </r>
  <r>
    <n v="44472"/>
    <x v="446"/>
    <x v="0"/>
    <x v="1"/>
    <x v="8"/>
    <s v="DAX Natural Wood-Tone Poster Frame"/>
    <x v="1085"/>
    <n v="3"/>
    <n v="-19.07"/>
    <x v="9"/>
    <x v="0"/>
  </r>
  <r>
    <n v="44472"/>
    <x v="446"/>
    <x v="0"/>
    <x v="0"/>
    <x v="1"/>
    <s v="Smead Alpha-Z Color-Coded Second Alphabetical Labels and Starter Set"/>
    <x v="1086"/>
    <n v="2"/>
    <n v="1.72"/>
    <x v="9"/>
    <x v="0"/>
  </r>
  <r>
    <n v="44472"/>
    <x v="446"/>
    <x v="0"/>
    <x v="0"/>
    <x v="3"/>
    <s v="Avery Hidden Tab Dividers for Binding Systems"/>
    <x v="1087"/>
    <n v="3"/>
    <n v="-3.04"/>
    <x v="9"/>
    <x v="0"/>
  </r>
  <r>
    <n v="44472"/>
    <x v="446"/>
    <x v="0"/>
    <x v="0"/>
    <x v="7"/>
    <s v="Sterling Rubber Bands by Alliance"/>
    <x v="1088"/>
    <n v="4"/>
    <n v="-3.77"/>
    <x v="9"/>
    <x v="0"/>
  </r>
  <r>
    <n v="44473"/>
    <x v="447"/>
    <x v="3"/>
    <x v="0"/>
    <x v="1"/>
    <s v="Avery 512"/>
    <x v="1089"/>
    <n v="5"/>
    <n v="6.79"/>
    <x v="9"/>
    <x v="0"/>
  </r>
  <r>
    <n v="44473"/>
    <x v="447"/>
    <x v="3"/>
    <x v="0"/>
    <x v="3"/>
    <s v="GBC Recycled Regency Composition Covers"/>
    <x v="1090"/>
    <n v="2"/>
    <n v="31.09"/>
    <x v="9"/>
    <x v="0"/>
  </r>
  <r>
    <n v="44473"/>
    <x v="448"/>
    <x v="22"/>
    <x v="0"/>
    <x v="1"/>
    <s v="Avery 519"/>
    <x v="1091"/>
    <n v="4"/>
    <n v="13.74"/>
    <x v="9"/>
    <x v="0"/>
  </r>
  <r>
    <n v="44473"/>
    <x v="393"/>
    <x v="20"/>
    <x v="1"/>
    <x v="5"/>
    <s v="Office Star - Contemporary Task Swivel chair with Loop Arms, Charcoal"/>
    <x v="1092"/>
    <n v="5"/>
    <n v="-6.55"/>
    <x v="9"/>
    <x v="0"/>
  </r>
  <r>
    <n v="44474"/>
    <x v="449"/>
    <x v="10"/>
    <x v="0"/>
    <x v="12"/>
    <s v="Belkin F5C206VTEL 6 Outlet Surge"/>
    <x v="1093"/>
    <n v="5"/>
    <n v="11.49"/>
    <x v="9"/>
    <x v="0"/>
  </r>
  <r>
    <n v="44474"/>
    <x v="348"/>
    <x v="3"/>
    <x v="2"/>
    <x v="9"/>
    <s v="Plantronics Audio 478 Stereo USB Headset"/>
    <x v="287"/>
    <n v="2"/>
    <n v="34.99"/>
    <x v="9"/>
    <x v="0"/>
  </r>
  <r>
    <n v="44475"/>
    <x v="21"/>
    <x v="3"/>
    <x v="2"/>
    <x v="9"/>
    <s v="ImationÂ USB 2.0 SwivelÂ Flash DriveÂ USBÂ flash driveÂ - 4 GB - Pink"/>
    <x v="1094"/>
    <n v="3"/>
    <n v="1.91"/>
    <x v="9"/>
    <x v="0"/>
  </r>
  <r>
    <n v="44475"/>
    <x v="450"/>
    <x v="40"/>
    <x v="0"/>
    <x v="3"/>
    <s v="GBC VeloBinder Strips"/>
    <x v="1075"/>
    <n v="2"/>
    <n v="7.68"/>
    <x v="9"/>
    <x v="0"/>
  </r>
  <r>
    <n v="44475"/>
    <x v="448"/>
    <x v="2"/>
    <x v="0"/>
    <x v="2"/>
    <s v="Tennsco Lockers, Gray"/>
    <x v="894"/>
    <n v="5"/>
    <n v="-13.64"/>
    <x v="9"/>
    <x v="0"/>
  </r>
  <r>
    <n v="44475"/>
    <x v="379"/>
    <x v="18"/>
    <x v="0"/>
    <x v="2"/>
    <s v="Fellowes Staxonsteel Drawer Files"/>
    <x v="1095"/>
    <n v="2"/>
    <n v="54.09"/>
    <x v="9"/>
    <x v="0"/>
  </r>
  <r>
    <n v="44476"/>
    <x v="376"/>
    <x v="2"/>
    <x v="1"/>
    <x v="8"/>
    <s v="Seth Thomas 16&quot; Steel Case Clock"/>
    <x v="1096"/>
    <n v="5"/>
    <n v="21.11"/>
    <x v="9"/>
    <x v="0"/>
  </r>
  <r>
    <n v="44476"/>
    <x v="130"/>
    <x v="0"/>
    <x v="0"/>
    <x v="2"/>
    <s v="Fellowes Personal Hanging Folder Files, Navy"/>
    <x v="1097"/>
    <n v="10"/>
    <n v="10.74"/>
    <x v="9"/>
    <x v="0"/>
  </r>
  <r>
    <n v="44477"/>
    <x v="419"/>
    <x v="25"/>
    <x v="2"/>
    <x v="9"/>
    <s v="Maxell 74 Minute CDR, 10/Pack"/>
    <x v="1098"/>
    <n v="3"/>
    <n v="4.99"/>
    <x v="9"/>
    <x v="0"/>
  </r>
  <r>
    <n v="44477"/>
    <x v="416"/>
    <x v="20"/>
    <x v="0"/>
    <x v="0"/>
    <s v="Xerox 197"/>
    <x v="1099"/>
    <n v="4"/>
    <n v="55.76"/>
    <x v="9"/>
    <x v="0"/>
  </r>
  <r>
    <n v="44478"/>
    <x v="244"/>
    <x v="25"/>
    <x v="0"/>
    <x v="0"/>
    <s v="Eaton Premium Continuous-Feed Paper, 25% Cotton, Letter Size, White, 1000 Shts/Box"/>
    <x v="1100"/>
    <n v="2"/>
    <n v="31.07"/>
    <x v="9"/>
    <x v="0"/>
  </r>
  <r>
    <n v="44478"/>
    <x v="373"/>
    <x v="3"/>
    <x v="0"/>
    <x v="4"/>
    <s v="Boston Heavy-Duty Trimline Electric Pencil Sharpeners"/>
    <x v="1101"/>
    <n v="3"/>
    <n v="41.93"/>
    <x v="9"/>
    <x v="0"/>
  </r>
  <r>
    <n v="44478"/>
    <x v="373"/>
    <x v="3"/>
    <x v="2"/>
    <x v="6"/>
    <s v="iOttie HLCRIO102 Car Mount"/>
    <x v="1102"/>
    <n v="1"/>
    <n v="-3"/>
    <x v="9"/>
    <x v="0"/>
  </r>
  <r>
    <n v="44479"/>
    <x v="451"/>
    <x v="3"/>
    <x v="1"/>
    <x v="5"/>
    <s v="Global Deluxe Stacking Chair, Gray"/>
    <x v="205"/>
    <n v="3"/>
    <n v="13.76"/>
    <x v="9"/>
    <x v="0"/>
  </r>
  <r>
    <n v="44479"/>
    <x v="451"/>
    <x v="3"/>
    <x v="0"/>
    <x v="10"/>
    <s v="#10- 4 1/8&quot; x 9 1/2&quot; Security-Tint Envelopes"/>
    <x v="510"/>
    <n v="2"/>
    <n v="7.49"/>
    <x v="9"/>
    <x v="0"/>
  </r>
  <r>
    <n v="44479"/>
    <x v="26"/>
    <x v="12"/>
    <x v="1"/>
    <x v="8"/>
    <s v="Westinghouse Clip-On Gooseneck Lamps"/>
    <x v="1103"/>
    <n v="7"/>
    <n v="3.52"/>
    <x v="9"/>
    <x v="0"/>
  </r>
  <r>
    <n v="44479"/>
    <x v="71"/>
    <x v="0"/>
    <x v="2"/>
    <x v="6"/>
    <s v="Motorola Droid Maxx"/>
    <x v="1104"/>
    <n v="6"/>
    <n v="72"/>
    <x v="9"/>
    <x v="0"/>
  </r>
  <r>
    <n v="44479"/>
    <x v="71"/>
    <x v="0"/>
    <x v="2"/>
    <x v="6"/>
    <s v="Cisco 8x8 Inc. 6753i IP Business Phone System"/>
    <x v="1105"/>
    <n v="7"/>
    <n v="66.150000000000006"/>
    <x v="9"/>
    <x v="0"/>
  </r>
  <r>
    <n v="44479"/>
    <x v="71"/>
    <x v="0"/>
    <x v="0"/>
    <x v="3"/>
    <s v="GBC Personal VeloBind Strips"/>
    <x v="1106"/>
    <n v="5"/>
    <n v="-19.170000000000002"/>
    <x v="9"/>
    <x v="0"/>
  </r>
  <r>
    <n v="44479"/>
    <x v="71"/>
    <x v="0"/>
    <x v="0"/>
    <x v="3"/>
    <s v="Avery Non-Stick Binders"/>
    <x v="1107"/>
    <n v="1"/>
    <n v="-1.57"/>
    <x v="9"/>
    <x v="0"/>
  </r>
  <r>
    <n v="44479"/>
    <x v="77"/>
    <x v="10"/>
    <x v="2"/>
    <x v="15"/>
    <s v="Hewlett-Packard Deskjet F4180 All-in-One Color Ink-jet - Printer / copier / scanner"/>
    <x v="1108"/>
    <n v="2"/>
    <n v="-71.400000000000006"/>
    <x v="9"/>
    <x v="0"/>
  </r>
  <r>
    <n v="44479"/>
    <x v="77"/>
    <x v="10"/>
    <x v="0"/>
    <x v="3"/>
    <s v="Premier Elliptical Ring Binder, Black"/>
    <x v="1109"/>
    <n v="2"/>
    <n v="-13.39"/>
    <x v="9"/>
    <x v="0"/>
  </r>
  <r>
    <n v="44479"/>
    <x v="452"/>
    <x v="31"/>
    <x v="0"/>
    <x v="4"/>
    <s v="Dixon Ticonderoga Core-Lock Colored Pencils, 48-Color Set"/>
    <x v="1110"/>
    <n v="7"/>
    <n v="112.57"/>
    <x v="9"/>
    <x v="0"/>
  </r>
  <r>
    <n v="44480"/>
    <x v="453"/>
    <x v="2"/>
    <x v="0"/>
    <x v="2"/>
    <s v="Fellowes High-Stak Drawer Files"/>
    <x v="1111"/>
    <n v="2"/>
    <n v="10.57"/>
    <x v="9"/>
    <x v="0"/>
  </r>
  <r>
    <n v="44480"/>
    <x v="453"/>
    <x v="2"/>
    <x v="0"/>
    <x v="10"/>
    <s v="Airmail Envelopes"/>
    <x v="1112"/>
    <n v="3"/>
    <n v="67.98"/>
    <x v="9"/>
    <x v="0"/>
  </r>
  <r>
    <n v="44480"/>
    <x v="222"/>
    <x v="22"/>
    <x v="1"/>
    <x v="8"/>
    <s v="DAX Cubicle Frames - 8x10"/>
    <x v="1113"/>
    <n v="11"/>
    <n v="19.04"/>
    <x v="9"/>
    <x v="0"/>
  </r>
  <r>
    <n v="44480"/>
    <x v="222"/>
    <x v="22"/>
    <x v="2"/>
    <x v="9"/>
    <s v="WD My Passport Ultra 1TB Portable External Hard Drive"/>
    <x v="1114"/>
    <n v="5"/>
    <n v="58.65"/>
    <x v="9"/>
    <x v="0"/>
  </r>
  <r>
    <n v="44480"/>
    <x v="454"/>
    <x v="3"/>
    <x v="0"/>
    <x v="2"/>
    <s v="Iris Project Case"/>
    <x v="1115"/>
    <n v="4"/>
    <n v="8.3000000000000007"/>
    <x v="9"/>
    <x v="0"/>
  </r>
  <r>
    <n v="44480"/>
    <x v="454"/>
    <x v="3"/>
    <x v="1"/>
    <x v="5"/>
    <s v="Global Enterprise Series Seating High-Back Swivel/Tilt Chairs"/>
    <x v="1116"/>
    <n v="2"/>
    <n v="-65.040000000000006"/>
    <x v="9"/>
    <x v="0"/>
  </r>
  <r>
    <n v="44480"/>
    <x v="159"/>
    <x v="13"/>
    <x v="0"/>
    <x v="1"/>
    <s v="Self-Adhesive Address Labels for Typewriters by Universal"/>
    <x v="1117"/>
    <n v="1"/>
    <n v="3.44"/>
    <x v="9"/>
    <x v="0"/>
  </r>
  <r>
    <n v="44480"/>
    <x v="159"/>
    <x v="13"/>
    <x v="1"/>
    <x v="8"/>
    <s v="Eldon Pizzaz Desk Accessories"/>
    <x v="1118"/>
    <n v="4"/>
    <n v="3.92"/>
    <x v="9"/>
    <x v="0"/>
  </r>
  <r>
    <n v="44480"/>
    <x v="83"/>
    <x v="3"/>
    <x v="0"/>
    <x v="10"/>
    <s v="#10- 4 1/8&quot; x 9 1/2&quot; Security-Tint Envelopes"/>
    <x v="228"/>
    <n v="1"/>
    <n v="3.74"/>
    <x v="9"/>
    <x v="0"/>
  </r>
  <r>
    <n v="44481"/>
    <x v="416"/>
    <x v="3"/>
    <x v="0"/>
    <x v="4"/>
    <s v="Premium Writing Pencils, Soft, #2 by Central Association for the Blind"/>
    <x v="1119"/>
    <n v="5"/>
    <n v="4.17"/>
    <x v="9"/>
    <x v="0"/>
  </r>
  <r>
    <n v="44481"/>
    <x v="416"/>
    <x v="3"/>
    <x v="0"/>
    <x v="2"/>
    <s v="Sortfiler Multipurpose Personal File Organizer, Black"/>
    <x v="1120"/>
    <n v="1"/>
    <n v="6.2"/>
    <x v="9"/>
    <x v="0"/>
  </r>
  <r>
    <n v="44481"/>
    <x v="455"/>
    <x v="1"/>
    <x v="0"/>
    <x v="14"/>
    <s v="Acme Hot Forged Carbon Steel Scissors with Nickel-Plated Handles, 3 7/8&quot; Cut, 8&quot;L"/>
    <x v="1121"/>
    <n v="2"/>
    <n v="2.5"/>
    <x v="9"/>
    <x v="0"/>
  </r>
  <r>
    <n v="44482"/>
    <x v="456"/>
    <x v="22"/>
    <x v="0"/>
    <x v="4"/>
    <s v="Newell 32"/>
    <x v="697"/>
    <n v="4"/>
    <n v="3.23"/>
    <x v="9"/>
    <x v="0"/>
  </r>
  <r>
    <n v="44482"/>
    <x v="456"/>
    <x v="22"/>
    <x v="1"/>
    <x v="13"/>
    <s v="Bevis Round Bullnose 29&quot; High Table Top"/>
    <x v="1122"/>
    <n v="5"/>
    <n v="311.64999999999998"/>
    <x v="9"/>
    <x v="0"/>
  </r>
  <r>
    <n v="44482"/>
    <x v="456"/>
    <x v="22"/>
    <x v="0"/>
    <x v="12"/>
    <s v="Belkin F9G930V10-GRY 9 Outlet Surge"/>
    <x v="1123"/>
    <n v="4"/>
    <n v="62.04"/>
    <x v="9"/>
    <x v="0"/>
  </r>
  <r>
    <n v="44482"/>
    <x v="456"/>
    <x v="22"/>
    <x v="2"/>
    <x v="9"/>
    <s v="Sony 16GB Class 10 Micro SDHC R40 Memory Card"/>
    <x v="1124"/>
    <n v="2"/>
    <n v="2.58"/>
    <x v="9"/>
    <x v="0"/>
  </r>
  <r>
    <n v="44482"/>
    <x v="44"/>
    <x v="23"/>
    <x v="1"/>
    <x v="5"/>
    <s v="Global High-Back Leather Tilter, Burgundy"/>
    <x v="1125"/>
    <n v="2"/>
    <n v="27.06"/>
    <x v="9"/>
    <x v="0"/>
  </r>
  <r>
    <n v="44482"/>
    <x v="44"/>
    <x v="23"/>
    <x v="0"/>
    <x v="3"/>
    <s v="Flexible Leather- Look Classic Collection Ring Binder"/>
    <x v="204"/>
    <n v="1"/>
    <n v="9.4700000000000006"/>
    <x v="9"/>
    <x v="0"/>
  </r>
  <r>
    <n v="44482"/>
    <x v="457"/>
    <x v="20"/>
    <x v="0"/>
    <x v="3"/>
    <s v="Recycled Pressboard Report Cover with Reinforced Top Hinge"/>
    <x v="1126"/>
    <n v="3"/>
    <n v="2.81"/>
    <x v="9"/>
    <x v="0"/>
  </r>
  <r>
    <n v="44482"/>
    <x v="415"/>
    <x v="6"/>
    <x v="0"/>
    <x v="10"/>
    <s v="Pastel Pink Envelopes"/>
    <x v="131"/>
    <n v="5"/>
    <n v="17.47"/>
    <x v="9"/>
    <x v="0"/>
  </r>
  <r>
    <n v="44482"/>
    <x v="415"/>
    <x v="6"/>
    <x v="2"/>
    <x v="9"/>
    <s v="SanDisk Cruzer 16 GB USB Flash Drive"/>
    <x v="44"/>
    <n v="2"/>
    <n v="4.3600000000000003"/>
    <x v="9"/>
    <x v="0"/>
  </r>
  <r>
    <n v="44482"/>
    <x v="415"/>
    <x v="6"/>
    <x v="0"/>
    <x v="2"/>
    <s v="Space Solutions Industrial Galvanized Steel Shelving."/>
    <x v="1127"/>
    <n v="4"/>
    <n v="6.3"/>
    <x v="9"/>
    <x v="0"/>
  </r>
  <r>
    <n v="44482"/>
    <x v="415"/>
    <x v="6"/>
    <x v="0"/>
    <x v="3"/>
    <s v="Wilson Jones Standard D-Ring Binders"/>
    <x v="1128"/>
    <n v="3"/>
    <n v="7.13"/>
    <x v="9"/>
    <x v="0"/>
  </r>
  <r>
    <n v="44483"/>
    <x v="458"/>
    <x v="38"/>
    <x v="0"/>
    <x v="3"/>
    <s v="Avery Metallic Poly Binders"/>
    <x v="1129"/>
    <n v="4"/>
    <n v="11"/>
    <x v="9"/>
    <x v="0"/>
  </r>
  <r>
    <n v="44483"/>
    <x v="458"/>
    <x v="38"/>
    <x v="0"/>
    <x v="2"/>
    <s v="Fellowes Bankers Box Recycled Super Stor/Drawer"/>
    <x v="1130"/>
    <n v="5"/>
    <n v="16.190000000000001"/>
    <x v="9"/>
    <x v="0"/>
  </r>
  <r>
    <n v="44483"/>
    <x v="459"/>
    <x v="0"/>
    <x v="0"/>
    <x v="12"/>
    <s v="Hoover Replacement Belts For Soft Guard &amp; Commercial Ltweight Upright Vacs, 2/Pk"/>
    <x v="1131"/>
    <n v="4"/>
    <n v="-8.5299999999999994"/>
    <x v="9"/>
    <x v="0"/>
  </r>
  <r>
    <n v="44483"/>
    <x v="459"/>
    <x v="0"/>
    <x v="2"/>
    <x v="16"/>
    <s v="Hewlett Packard 610 Color Digital Copier / Printer"/>
    <x v="1132"/>
    <n v="5"/>
    <n v="624.99"/>
    <x v="9"/>
    <x v="0"/>
  </r>
  <r>
    <n v="44483"/>
    <x v="32"/>
    <x v="1"/>
    <x v="0"/>
    <x v="0"/>
    <s v="Xerox 1951"/>
    <x v="1133"/>
    <n v="13"/>
    <n v="100.69"/>
    <x v="9"/>
    <x v="0"/>
  </r>
  <r>
    <n v="44483"/>
    <x v="32"/>
    <x v="1"/>
    <x v="0"/>
    <x v="3"/>
    <s v="Pressboard Covers with Storage Hooks, 9 1/2&quot; x 11&quot;, Light Blue"/>
    <x v="797"/>
    <n v="3"/>
    <n v="-4.8600000000000003"/>
    <x v="9"/>
    <x v="0"/>
  </r>
  <r>
    <n v="44483"/>
    <x v="32"/>
    <x v="1"/>
    <x v="0"/>
    <x v="0"/>
    <s v="Xerox 1903"/>
    <x v="1134"/>
    <n v="4"/>
    <n v="6.94"/>
    <x v="9"/>
    <x v="0"/>
  </r>
  <r>
    <n v="44483"/>
    <x v="460"/>
    <x v="32"/>
    <x v="2"/>
    <x v="9"/>
    <s v="WD My Passport Ultra 500GB Portable External Hard Drive"/>
    <x v="1135"/>
    <n v="3"/>
    <n v="30.09"/>
    <x v="9"/>
    <x v="0"/>
  </r>
  <r>
    <n v="44483"/>
    <x v="460"/>
    <x v="32"/>
    <x v="0"/>
    <x v="2"/>
    <s v="SimpliFile Personal File, Black Granite, 15w x 6-15/16d x 11-1/4h"/>
    <x v="1136"/>
    <n v="7"/>
    <n v="22.25"/>
    <x v="9"/>
    <x v="0"/>
  </r>
  <r>
    <n v="44483"/>
    <x v="460"/>
    <x v="32"/>
    <x v="1"/>
    <x v="5"/>
    <s v="Office Star - Ergonomic Mid Back Chair with 2-Way Adjustable Arms"/>
    <x v="1137"/>
    <n v="9"/>
    <n v="260.61"/>
    <x v="9"/>
    <x v="0"/>
  </r>
  <r>
    <n v="44484"/>
    <x v="275"/>
    <x v="16"/>
    <x v="1"/>
    <x v="8"/>
    <s v="Executive Impressions 13&quot; Clairmont Wall Clock"/>
    <x v="1138"/>
    <n v="1"/>
    <n v="4.04"/>
    <x v="9"/>
    <x v="0"/>
  </r>
  <r>
    <n v="44484"/>
    <x v="461"/>
    <x v="10"/>
    <x v="1"/>
    <x v="5"/>
    <s v="Global Italian Leather Office Chair"/>
    <x v="1139"/>
    <n v="2"/>
    <n v="-7.86"/>
    <x v="9"/>
    <x v="0"/>
  </r>
  <r>
    <n v="44484"/>
    <x v="461"/>
    <x v="10"/>
    <x v="0"/>
    <x v="0"/>
    <s v="Xerox 1897"/>
    <x v="1140"/>
    <n v="2"/>
    <n v="2.89"/>
    <x v="9"/>
    <x v="0"/>
  </r>
  <r>
    <n v="44485"/>
    <x v="462"/>
    <x v="3"/>
    <x v="0"/>
    <x v="3"/>
    <s v="Avery Non-Stick Heavy Duty View Round Locking Ring Binders"/>
    <x v="632"/>
    <n v="3"/>
    <n v="5.0199999999999996"/>
    <x v="9"/>
    <x v="0"/>
  </r>
  <r>
    <n v="44485"/>
    <x v="462"/>
    <x v="3"/>
    <x v="2"/>
    <x v="9"/>
    <s v="LogitechÂ Illuminated - Keyboard"/>
    <x v="1141"/>
    <n v="3"/>
    <n v="86.39"/>
    <x v="9"/>
    <x v="0"/>
  </r>
  <r>
    <n v="44486"/>
    <x v="463"/>
    <x v="0"/>
    <x v="0"/>
    <x v="3"/>
    <s v="GBC Standard Recycled Report Covers, Clear Plastic Sheets"/>
    <x v="1142"/>
    <n v="5"/>
    <n v="-17.25"/>
    <x v="9"/>
    <x v="0"/>
  </r>
  <r>
    <n v="44486"/>
    <x v="463"/>
    <x v="0"/>
    <x v="2"/>
    <x v="9"/>
    <s v="Case Logic 2.4GHz Wireless Keyboard"/>
    <x v="1143"/>
    <n v="3"/>
    <n v="-18"/>
    <x v="9"/>
    <x v="0"/>
  </r>
  <r>
    <n v="44486"/>
    <x v="438"/>
    <x v="0"/>
    <x v="1"/>
    <x v="8"/>
    <s v="G.E. Longer-Life Indoor Recessed Floodlight Bulbs"/>
    <x v="1144"/>
    <n v="2"/>
    <n v="-1.59"/>
    <x v="9"/>
    <x v="0"/>
  </r>
  <r>
    <n v="44487"/>
    <x v="464"/>
    <x v="33"/>
    <x v="0"/>
    <x v="2"/>
    <s v="Gould Plastics 18-Pocket Panel Bin, 34w x 5-1/4d x 20-1/2h"/>
    <x v="1145"/>
    <n v="3"/>
    <n v="11.04"/>
    <x v="9"/>
    <x v="0"/>
  </r>
  <r>
    <n v="44487"/>
    <x v="464"/>
    <x v="33"/>
    <x v="2"/>
    <x v="6"/>
    <s v="Avaya IP Phone 1140E VoIP phone"/>
    <x v="1146"/>
    <n v="5"/>
    <n v="362.69"/>
    <x v="9"/>
    <x v="0"/>
  </r>
  <r>
    <n v="44487"/>
    <x v="464"/>
    <x v="33"/>
    <x v="1"/>
    <x v="5"/>
    <s v="Global Wood Trimmed Manager's Task Chair, Khaki"/>
    <x v="1147"/>
    <n v="6"/>
    <n v="70.959999999999994"/>
    <x v="9"/>
    <x v="0"/>
  </r>
  <r>
    <n v="44487"/>
    <x v="150"/>
    <x v="2"/>
    <x v="0"/>
    <x v="10"/>
    <s v="White Business Envelopes with Contemporary Seam, Recycled White Business Envelopes"/>
    <x v="1148"/>
    <n v="6"/>
    <n v="19.690000000000001"/>
    <x v="9"/>
    <x v="0"/>
  </r>
  <r>
    <n v="44487"/>
    <x v="150"/>
    <x v="2"/>
    <x v="0"/>
    <x v="2"/>
    <s v="Eldon Base for stackable storage shelf, platinum"/>
    <x v="1149"/>
    <n v="6"/>
    <n v="-35.049999999999997"/>
    <x v="9"/>
    <x v="0"/>
  </r>
  <r>
    <n v="44487"/>
    <x v="150"/>
    <x v="2"/>
    <x v="0"/>
    <x v="0"/>
    <s v="Adams &quot;While You Were Out&quot; Message Pads"/>
    <x v="1064"/>
    <n v="4"/>
    <n v="3.14"/>
    <x v="9"/>
    <x v="0"/>
  </r>
  <r>
    <n v="44487"/>
    <x v="465"/>
    <x v="13"/>
    <x v="1"/>
    <x v="5"/>
    <s v="Office Star Flex Back Scooter Chair with Aluminum Finish Frame"/>
    <x v="1150"/>
    <n v="6"/>
    <n v="145.28"/>
    <x v="9"/>
    <x v="0"/>
  </r>
  <r>
    <n v="44487"/>
    <x v="466"/>
    <x v="22"/>
    <x v="0"/>
    <x v="0"/>
    <s v="Xerox 1925"/>
    <x v="32"/>
    <n v="2"/>
    <n v="27.88"/>
    <x v="9"/>
    <x v="0"/>
  </r>
  <r>
    <n v="44487"/>
    <x v="466"/>
    <x v="22"/>
    <x v="0"/>
    <x v="3"/>
    <s v="Computer Printout Index Tabs"/>
    <x v="1151"/>
    <n v="1"/>
    <n v="0.47"/>
    <x v="9"/>
    <x v="0"/>
  </r>
  <r>
    <n v="44488"/>
    <x v="467"/>
    <x v="3"/>
    <x v="0"/>
    <x v="0"/>
    <s v="Spiral Phone Message Books with Labels by Adams"/>
    <x v="1152"/>
    <n v="3"/>
    <n v="6.59"/>
    <x v="9"/>
    <x v="0"/>
  </r>
  <r>
    <n v="44488"/>
    <x v="468"/>
    <x v="3"/>
    <x v="0"/>
    <x v="3"/>
    <s v="Accohide Poly Flexible Ring Binders"/>
    <x v="1153"/>
    <n v="1"/>
    <n v="1.1200000000000001"/>
    <x v="9"/>
    <x v="0"/>
  </r>
  <r>
    <n v="44488"/>
    <x v="468"/>
    <x v="3"/>
    <x v="0"/>
    <x v="3"/>
    <s v="Avery Durable Slant Ring Binders With Label Holder"/>
    <x v="1154"/>
    <n v="6"/>
    <n v="7.02"/>
    <x v="9"/>
    <x v="0"/>
  </r>
  <r>
    <n v="44488"/>
    <x v="468"/>
    <x v="3"/>
    <x v="0"/>
    <x v="0"/>
    <s v="Xerox 1917"/>
    <x v="1155"/>
    <n v="3"/>
    <n v="68.959999999999994"/>
    <x v="9"/>
    <x v="0"/>
  </r>
  <r>
    <n v="44488"/>
    <x v="468"/>
    <x v="3"/>
    <x v="0"/>
    <x v="1"/>
    <s v="Avery 480"/>
    <x v="247"/>
    <n v="5"/>
    <n v="9"/>
    <x v="9"/>
    <x v="0"/>
  </r>
  <r>
    <n v="44488"/>
    <x v="468"/>
    <x v="3"/>
    <x v="2"/>
    <x v="6"/>
    <s v="Panasonic KX TS208W Corded phone"/>
    <x v="1156"/>
    <n v="3"/>
    <n v="11.76"/>
    <x v="9"/>
    <x v="0"/>
  </r>
  <r>
    <n v="44488"/>
    <x v="469"/>
    <x v="3"/>
    <x v="2"/>
    <x v="6"/>
    <s v="RCA Visys Integrated PBX 8-Line Router"/>
    <x v="1157"/>
    <n v="6"/>
    <n v="20.100000000000001"/>
    <x v="9"/>
    <x v="0"/>
  </r>
  <r>
    <n v="44489"/>
    <x v="99"/>
    <x v="14"/>
    <x v="0"/>
    <x v="2"/>
    <s v="Gould Plastics 9-Pocket Panel Bin, 18-3/8w x 5-1/4d x 20-1/2h, Black"/>
    <x v="1028"/>
    <n v="4"/>
    <n v="8.48"/>
    <x v="9"/>
    <x v="0"/>
  </r>
  <r>
    <n v="44489"/>
    <x v="470"/>
    <x v="15"/>
    <x v="1"/>
    <x v="13"/>
    <s v="Lesro Round Back Collection Coffee Table, End Table"/>
    <x v="1158"/>
    <n v="3"/>
    <n v="-147.87"/>
    <x v="9"/>
    <x v="0"/>
  </r>
  <r>
    <n v="44489"/>
    <x v="470"/>
    <x v="15"/>
    <x v="0"/>
    <x v="2"/>
    <s v="Contico 72&quot;H Heavy-Duty Storage System"/>
    <x v="1159"/>
    <n v="3"/>
    <n v="-24.59"/>
    <x v="9"/>
    <x v="0"/>
  </r>
  <r>
    <n v="44489"/>
    <x v="471"/>
    <x v="1"/>
    <x v="2"/>
    <x v="9"/>
    <s v="Logitech Wireless Performance Mouse MX for PC and Mac"/>
    <x v="1160"/>
    <n v="4"/>
    <n v="71.989999999999995"/>
    <x v="9"/>
    <x v="0"/>
  </r>
  <r>
    <n v="44489"/>
    <x v="471"/>
    <x v="1"/>
    <x v="0"/>
    <x v="2"/>
    <s v="24 Capacity Maxi Data Binder Racks, Pearl"/>
    <x v="1161"/>
    <n v="3"/>
    <n v="31.58"/>
    <x v="9"/>
    <x v="0"/>
  </r>
  <r>
    <n v="44489"/>
    <x v="471"/>
    <x v="1"/>
    <x v="0"/>
    <x v="0"/>
    <s v="Wirebound Voice Message Log Book"/>
    <x v="674"/>
    <n v="1"/>
    <n v="1.24"/>
    <x v="9"/>
    <x v="0"/>
  </r>
  <r>
    <n v="44489"/>
    <x v="471"/>
    <x v="1"/>
    <x v="0"/>
    <x v="3"/>
    <s v="Satellite Sectional Post Binders"/>
    <x v="1162"/>
    <n v="1"/>
    <n v="-14.76"/>
    <x v="9"/>
    <x v="0"/>
  </r>
  <r>
    <n v="44489"/>
    <x v="471"/>
    <x v="1"/>
    <x v="0"/>
    <x v="1"/>
    <s v="Avery 4027 File Folder Labels for Dot Matrix Printers, 5000 Labels per Box, White"/>
    <x v="1163"/>
    <n v="1"/>
    <n v="7.94"/>
    <x v="9"/>
    <x v="0"/>
  </r>
  <r>
    <n v="44490"/>
    <x v="463"/>
    <x v="10"/>
    <x v="0"/>
    <x v="12"/>
    <s v="Fellowes Superior 10 Outlet Split Surge Protector"/>
    <x v="1164"/>
    <n v="4"/>
    <n v="13.7"/>
    <x v="9"/>
    <x v="0"/>
  </r>
  <r>
    <n v="44490"/>
    <x v="463"/>
    <x v="10"/>
    <x v="1"/>
    <x v="13"/>
    <s v="Hon Practical Foundations 30 x 60 Training Table, Light Gray/Charcoal"/>
    <x v="1165"/>
    <n v="3"/>
    <n v="-122.88"/>
    <x v="9"/>
    <x v="0"/>
  </r>
  <r>
    <n v="44490"/>
    <x v="472"/>
    <x v="3"/>
    <x v="0"/>
    <x v="3"/>
    <s v="Plastic Binding Combs"/>
    <x v="1166"/>
    <n v="3"/>
    <n v="12.27"/>
    <x v="9"/>
    <x v="0"/>
  </r>
  <r>
    <n v="44490"/>
    <x v="136"/>
    <x v="6"/>
    <x v="0"/>
    <x v="2"/>
    <s v="Eldon Base for stackable storage shelf, platinum"/>
    <x v="1167"/>
    <n v="5"/>
    <n v="9.74"/>
    <x v="9"/>
    <x v="0"/>
  </r>
  <r>
    <n v="44490"/>
    <x v="136"/>
    <x v="6"/>
    <x v="1"/>
    <x v="13"/>
    <s v="Hon 2111 Invitation Series Straight Table"/>
    <x v="1168"/>
    <n v="4"/>
    <n v="112.35"/>
    <x v="9"/>
    <x v="0"/>
  </r>
  <r>
    <n v="44490"/>
    <x v="136"/>
    <x v="6"/>
    <x v="0"/>
    <x v="4"/>
    <s v="SANFORD Liquid Accent Tank-Style Highlighters"/>
    <x v="1169"/>
    <n v="1"/>
    <n v="0.88"/>
    <x v="9"/>
    <x v="0"/>
  </r>
  <r>
    <n v="44491"/>
    <x v="473"/>
    <x v="10"/>
    <x v="1"/>
    <x v="8"/>
    <s v="Seth Thomas 14&quot; Putty-Colored Wall Clock"/>
    <x v="1170"/>
    <n v="4"/>
    <n v="12.91"/>
    <x v="9"/>
    <x v="0"/>
  </r>
  <r>
    <n v="44491"/>
    <x v="430"/>
    <x v="8"/>
    <x v="1"/>
    <x v="8"/>
    <s v="Tenex Chairmats For Use with Hard Floors"/>
    <x v="1096"/>
    <n v="4"/>
    <n v="10.39"/>
    <x v="9"/>
    <x v="0"/>
  </r>
  <r>
    <n v="44493"/>
    <x v="474"/>
    <x v="16"/>
    <x v="0"/>
    <x v="0"/>
    <s v="Xerox 210"/>
    <x v="320"/>
    <n v="2"/>
    <n v="3.63"/>
    <x v="9"/>
    <x v="0"/>
  </r>
  <r>
    <n v="44493"/>
    <x v="158"/>
    <x v="3"/>
    <x v="0"/>
    <x v="3"/>
    <s v="Avery Premier Heavy-Duty Binder with Round Locking Rings"/>
    <x v="1171"/>
    <n v="3"/>
    <n v="11.14"/>
    <x v="9"/>
    <x v="0"/>
  </r>
  <r>
    <n v="44493"/>
    <x v="358"/>
    <x v="9"/>
    <x v="0"/>
    <x v="7"/>
    <s v="Advantus Map Pennant Flags and Round Head Tacks"/>
    <x v="1172"/>
    <n v="3"/>
    <n v="3.79"/>
    <x v="9"/>
    <x v="0"/>
  </r>
  <r>
    <n v="44494"/>
    <x v="160"/>
    <x v="3"/>
    <x v="0"/>
    <x v="3"/>
    <s v="GBC VeloBind Cover Sets"/>
    <x v="1173"/>
    <n v="4"/>
    <n v="18.53"/>
    <x v="9"/>
    <x v="0"/>
  </r>
  <r>
    <n v="44494"/>
    <x v="216"/>
    <x v="2"/>
    <x v="2"/>
    <x v="9"/>
    <s v="Memorex 25GB 6X Branded Blu-Ray Recordable Disc, 15/Pack"/>
    <x v="1174"/>
    <n v="3"/>
    <n v="0.51"/>
    <x v="9"/>
    <x v="0"/>
  </r>
  <r>
    <n v="44494"/>
    <x v="216"/>
    <x v="2"/>
    <x v="0"/>
    <x v="3"/>
    <s v="GBC Twin Loop Wire Binding Elements, 9/16&quot; Spine, Black"/>
    <x v="1175"/>
    <n v="3"/>
    <n v="-9.59"/>
    <x v="9"/>
    <x v="0"/>
  </r>
  <r>
    <n v="44495"/>
    <x v="475"/>
    <x v="22"/>
    <x v="1"/>
    <x v="8"/>
    <s v="Tenex Chairmats For Use With Carpeted Floors"/>
    <x v="935"/>
    <n v="4"/>
    <n v="3.2"/>
    <x v="9"/>
    <x v="0"/>
  </r>
  <r>
    <n v="44495"/>
    <x v="475"/>
    <x v="22"/>
    <x v="2"/>
    <x v="6"/>
    <s v="Vtech CS6719"/>
    <x v="1176"/>
    <n v="5"/>
    <n v="38.4"/>
    <x v="9"/>
    <x v="0"/>
  </r>
  <r>
    <n v="44496"/>
    <x v="476"/>
    <x v="25"/>
    <x v="0"/>
    <x v="0"/>
    <s v="Xerox 2"/>
    <x v="320"/>
    <n v="2"/>
    <n v="3.63"/>
    <x v="9"/>
    <x v="0"/>
  </r>
  <r>
    <n v="44496"/>
    <x v="476"/>
    <x v="25"/>
    <x v="0"/>
    <x v="0"/>
    <s v="Easy-staple paper"/>
    <x v="1177"/>
    <n v="3"/>
    <n v="4.03"/>
    <x v="9"/>
    <x v="0"/>
  </r>
  <r>
    <n v="44497"/>
    <x v="477"/>
    <x v="3"/>
    <x v="0"/>
    <x v="3"/>
    <s v="Avery Non-Stick Binders"/>
    <x v="285"/>
    <n v="2"/>
    <n v="2.25"/>
    <x v="9"/>
    <x v="0"/>
  </r>
  <r>
    <n v="44497"/>
    <x v="477"/>
    <x v="3"/>
    <x v="0"/>
    <x v="14"/>
    <s v="Serrated Blade or Curved Handle Hand Letter Openers"/>
    <x v="839"/>
    <n v="2"/>
    <n v="0.06"/>
    <x v="9"/>
    <x v="0"/>
  </r>
  <r>
    <n v="44497"/>
    <x v="477"/>
    <x v="3"/>
    <x v="0"/>
    <x v="14"/>
    <s v="Premier Automatic Letter Opener"/>
    <x v="1178"/>
    <n v="2"/>
    <n v="14.42"/>
    <x v="9"/>
    <x v="0"/>
  </r>
  <r>
    <n v="44497"/>
    <x v="477"/>
    <x v="3"/>
    <x v="1"/>
    <x v="11"/>
    <s v="O'Sullivan Living Dimensions 2-Shelf Bookcases"/>
    <x v="1179"/>
    <n v="6"/>
    <n v="-36.29"/>
    <x v="9"/>
    <x v="0"/>
  </r>
  <r>
    <n v="44497"/>
    <x v="477"/>
    <x v="3"/>
    <x v="0"/>
    <x v="2"/>
    <s v="Eldon Portable Mobile Manager"/>
    <x v="1180"/>
    <n v="5"/>
    <n v="38.18"/>
    <x v="9"/>
    <x v="0"/>
  </r>
  <r>
    <n v="44497"/>
    <x v="478"/>
    <x v="42"/>
    <x v="2"/>
    <x v="6"/>
    <s v="Digium D40 VoIP phone"/>
    <x v="1181"/>
    <n v="2"/>
    <n v="74.81"/>
    <x v="9"/>
    <x v="0"/>
  </r>
  <r>
    <n v="44498"/>
    <x v="52"/>
    <x v="1"/>
    <x v="2"/>
    <x v="6"/>
    <s v="Apple iPhone 5S"/>
    <x v="1182"/>
    <n v="6"/>
    <n v="341.99"/>
    <x v="9"/>
    <x v="0"/>
  </r>
  <r>
    <n v="44498"/>
    <x v="479"/>
    <x v="18"/>
    <x v="2"/>
    <x v="9"/>
    <s v="Maxell 4.7GB DVD+R 5/Pack"/>
    <x v="1183"/>
    <n v="2"/>
    <n v="0.89"/>
    <x v="9"/>
    <x v="0"/>
  </r>
  <r>
    <n v="44498"/>
    <x v="479"/>
    <x v="18"/>
    <x v="0"/>
    <x v="0"/>
    <s v="Snap-A-Way Black Print Carbonless Ruled Speed Letter, Triplicate"/>
    <x v="1184"/>
    <n v="2"/>
    <n v="35.659999999999997"/>
    <x v="9"/>
    <x v="0"/>
  </r>
  <r>
    <n v="44500"/>
    <x v="480"/>
    <x v="3"/>
    <x v="0"/>
    <x v="7"/>
    <s v="Staples"/>
    <x v="1185"/>
    <n v="3"/>
    <n v="5.22"/>
    <x v="9"/>
    <x v="0"/>
  </r>
  <r>
    <n v="44500"/>
    <x v="480"/>
    <x v="3"/>
    <x v="0"/>
    <x v="2"/>
    <s v="Letter/Legal File Tote with Clear Snap-On Lid, Black Granite"/>
    <x v="1186"/>
    <n v="5"/>
    <n v="20.88"/>
    <x v="9"/>
    <x v="0"/>
  </r>
  <r>
    <n v="44500"/>
    <x v="480"/>
    <x v="3"/>
    <x v="0"/>
    <x v="3"/>
    <s v="Avery Framed View Binder, EZD Ring (Locking), Navy, 1 1/2&quot;"/>
    <x v="1187"/>
    <n v="2"/>
    <n v="5.39"/>
    <x v="9"/>
    <x v="0"/>
  </r>
  <r>
    <n v="44500"/>
    <x v="480"/>
    <x v="3"/>
    <x v="0"/>
    <x v="0"/>
    <s v="Xerox 1952"/>
    <x v="1188"/>
    <n v="13"/>
    <n v="30.43"/>
    <x v="9"/>
    <x v="0"/>
  </r>
  <r>
    <n v="44500"/>
    <x v="480"/>
    <x v="3"/>
    <x v="0"/>
    <x v="3"/>
    <s v="Fellowes Twister Kit, Gray/Clear, 3/pkg"/>
    <x v="50"/>
    <n v="3"/>
    <n v="6.03"/>
    <x v="9"/>
    <x v="0"/>
  </r>
  <r>
    <n v="44500"/>
    <x v="480"/>
    <x v="3"/>
    <x v="0"/>
    <x v="2"/>
    <s v="Tennsco Regal Shelving Units"/>
    <x v="1189"/>
    <n v="4"/>
    <n v="12.17"/>
    <x v="9"/>
    <x v="0"/>
  </r>
  <r>
    <n v="44500"/>
    <x v="480"/>
    <x v="3"/>
    <x v="1"/>
    <x v="5"/>
    <s v="Novimex Fabric Task Chair"/>
    <x v="1190"/>
    <n v="3"/>
    <n v="-9.15"/>
    <x v="9"/>
    <x v="0"/>
  </r>
  <r>
    <n v="44500"/>
    <x v="480"/>
    <x v="3"/>
    <x v="2"/>
    <x v="9"/>
    <s v="MaxellÂ LTO Ultrium - 800 GB"/>
    <x v="1191"/>
    <n v="9"/>
    <n v="47.86"/>
    <x v="9"/>
    <x v="0"/>
  </r>
  <r>
    <n v="44500"/>
    <x v="480"/>
    <x v="3"/>
    <x v="0"/>
    <x v="4"/>
    <s v="Newell 325"/>
    <x v="1192"/>
    <n v="3"/>
    <n v="3.72"/>
    <x v="9"/>
    <x v="0"/>
  </r>
  <r>
    <n v="44500"/>
    <x v="481"/>
    <x v="43"/>
    <x v="0"/>
    <x v="4"/>
    <s v="Lumber Crayons"/>
    <x v="1193"/>
    <n v="5"/>
    <n v="18.72"/>
    <x v="9"/>
    <x v="0"/>
  </r>
  <r>
    <n v="44500"/>
    <x v="481"/>
    <x v="43"/>
    <x v="0"/>
    <x v="0"/>
    <s v="RSVP Cards &amp; Envelopes, Blank White, 8-1/2&quot; X 11&quot;, 24 Cards/25 Envelopes/Set"/>
    <x v="1194"/>
    <n v="2"/>
    <n v="4.78"/>
    <x v="9"/>
    <x v="0"/>
  </r>
  <r>
    <n v="44500"/>
    <x v="481"/>
    <x v="43"/>
    <x v="1"/>
    <x v="8"/>
    <s v="Eldon Expressions Wood Desk Accessories, Oak"/>
    <x v="1195"/>
    <n v="2"/>
    <n v="4.28"/>
    <x v="9"/>
    <x v="0"/>
  </r>
  <r>
    <n v="44500"/>
    <x v="481"/>
    <x v="43"/>
    <x v="0"/>
    <x v="3"/>
    <s v="GBC Recycled VeloBinder Covers"/>
    <x v="1196"/>
    <n v="2"/>
    <n v="15.68"/>
    <x v="9"/>
    <x v="0"/>
  </r>
  <r>
    <n v="44500"/>
    <x v="481"/>
    <x v="43"/>
    <x v="1"/>
    <x v="8"/>
    <s v="Eldon Wave Desk Accessories"/>
    <x v="1197"/>
    <n v="3"/>
    <n v="7.77"/>
    <x v="9"/>
    <x v="0"/>
  </r>
  <r>
    <n v="44500"/>
    <x v="481"/>
    <x v="43"/>
    <x v="1"/>
    <x v="5"/>
    <s v="Hon Pagoda Stacking Chairs"/>
    <x v="1198"/>
    <n v="5"/>
    <n v="481.47"/>
    <x v="9"/>
    <x v="0"/>
  </r>
  <r>
    <n v="44500"/>
    <x v="481"/>
    <x v="43"/>
    <x v="1"/>
    <x v="13"/>
    <s v="Chromcraft Bull-Nose Wood 48&quot; x 96&quot; Rectangular Conference Tables"/>
    <x v="1199"/>
    <n v="1"/>
    <n v="-60.61"/>
    <x v="9"/>
    <x v="0"/>
  </r>
  <r>
    <n v="44500"/>
    <x v="482"/>
    <x v="12"/>
    <x v="2"/>
    <x v="6"/>
    <s v="Plantronics HL10 Handset Lifter"/>
    <x v="1200"/>
    <n v="8"/>
    <n v="83.51"/>
    <x v="9"/>
    <x v="0"/>
  </r>
  <r>
    <n v="44500"/>
    <x v="8"/>
    <x v="10"/>
    <x v="1"/>
    <x v="13"/>
    <s v="Hon 94000 Series Round Tables"/>
    <x v="1201"/>
    <n v="8"/>
    <n v="-734.53"/>
    <x v="9"/>
    <x v="0"/>
  </r>
  <r>
    <n v="44500"/>
    <x v="483"/>
    <x v="3"/>
    <x v="2"/>
    <x v="6"/>
    <s v="Motorola L804"/>
    <x v="1202"/>
    <n v="2"/>
    <n v="8.2799999999999994"/>
    <x v="9"/>
    <x v="0"/>
  </r>
  <r>
    <n v="44501"/>
    <x v="277"/>
    <x v="26"/>
    <x v="0"/>
    <x v="4"/>
    <s v="Model L Table or Wall-Mount Pencil Sharpener"/>
    <x v="1067"/>
    <n v="3"/>
    <n v="4.32"/>
    <x v="10"/>
    <x v="0"/>
  </r>
  <r>
    <n v="44501"/>
    <x v="277"/>
    <x v="26"/>
    <x v="2"/>
    <x v="6"/>
    <s v="ClearOne CHATAttach 160 -Â speaker phone"/>
    <x v="1203"/>
    <n v="4"/>
    <n v="248"/>
    <x v="10"/>
    <x v="0"/>
  </r>
  <r>
    <n v="44501"/>
    <x v="11"/>
    <x v="11"/>
    <x v="0"/>
    <x v="2"/>
    <s v="Carina Mini System Audio Rack, Model AR050B"/>
    <x v="1204"/>
    <n v="5"/>
    <n v="-94.33"/>
    <x v="10"/>
    <x v="0"/>
  </r>
  <r>
    <n v="44501"/>
    <x v="11"/>
    <x v="11"/>
    <x v="2"/>
    <x v="6"/>
    <s v="Plantronics Voyager Pro HD - Bluetooth Headset"/>
    <x v="1205"/>
    <n v="3"/>
    <n v="54.59"/>
    <x v="10"/>
    <x v="0"/>
  </r>
  <r>
    <n v="44501"/>
    <x v="484"/>
    <x v="25"/>
    <x v="0"/>
    <x v="7"/>
    <s v="Staples"/>
    <x v="1206"/>
    <n v="5"/>
    <n v="1.41"/>
    <x v="10"/>
    <x v="0"/>
  </r>
  <r>
    <n v="44501"/>
    <x v="484"/>
    <x v="25"/>
    <x v="0"/>
    <x v="4"/>
    <s v="Newell 320"/>
    <x v="1207"/>
    <n v="3"/>
    <n v="0.9"/>
    <x v="10"/>
    <x v="0"/>
  </r>
  <r>
    <n v="44501"/>
    <x v="484"/>
    <x v="25"/>
    <x v="0"/>
    <x v="1"/>
    <s v="Avery 513"/>
    <x v="1208"/>
    <n v="12"/>
    <n v="15.54"/>
    <x v="10"/>
    <x v="0"/>
  </r>
  <r>
    <n v="44501"/>
    <x v="484"/>
    <x v="25"/>
    <x v="2"/>
    <x v="6"/>
    <s v="Cisco IPÂ PhoneÂ 7961G VoIPÂ phoneÂ - Dark gray"/>
    <x v="1209"/>
    <n v="9"/>
    <n v="110.12"/>
    <x v="10"/>
    <x v="0"/>
  </r>
  <r>
    <n v="44501"/>
    <x v="436"/>
    <x v="1"/>
    <x v="0"/>
    <x v="0"/>
    <s v="Southworth Parchment Paper &amp; Envelopes"/>
    <x v="1210"/>
    <n v="3"/>
    <n v="5.0999999999999996"/>
    <x v="10"/>
    <x v="0"/>
  </r>
  <r>
    <n v="44501"/>
    <x v="4"/>
    <x v="5"/>
    <x v="0"/>
    <x v="2"/>
    <s v="Multi-Use Personal File Cart and Caster Set, Three Stacking Bins"/>
    <x v="1211"/>
    <n v="2"/>
    <n v="19.47"/>
    <x v="10"/>
    <x v="0"/>
  </r>
  <r>
    <n v="44501"/>
    <x v="4"/>
    <x v="5"/>
    <x v="0"/>
    <x v="4"/>
    <s v="OIC #2 Pencils, Medium Soft"/>
    <x v="24"/>
    <n v="3"/>
    <n v="1.64"/>
    <x v="10"/>
    <x v="0"/>
  </r>
  <r>
    <n v="44501"/>
    <x v="485"/>
    <x v="3"/>
    <x v="0"/>
    <x v="1"/>
    <s v="Avery 475"/>
    <x v="255"/>
    <n v="3"/>
    <n v="22.2"/>
    <x v="10"/>
    <x v="0"/>
  </r>
  <r>
    <n v="44501"/>
    <x v="485"/>
    <x v="3"/>
    <x v="0"/>
    <x v="0"/>
    <s v="Easy-staple paper"/>
    <x v="369"/>
    <n v="5"/>
    <n v="9.6300000000000008"/>
    <x v="10"/>
    <x v="0"/>
  </r>
  <r>
    <n v="44501"/>
    <x v="392"/>
    <x v="20"/>
    <x v="0"/>
    <x v="12"/>
    <s v="Kensington 7 Outlet MasterPiece Power Center"/>
    <x v="1212"/>
    <n v="3"/>
    <n v="154.84"/>
    <x v="10"/>
    <x v="0"/>
  </r>
  <r>
    <n v="44501"/>
    <x v="392"/>
    <x v="20"/>
    <x v="0"/>
    <x v="0"/>
    <s v="Xerox 1934"/>
    <x v="1213"/>
    <n v="3"/>
    <n v="82.29"/>
    <x v="10"/>
    <x v="0"/>
  </r>
  <r>
    <n v="44501"/>
    <x v="392"/>
    <x v="20"/>
    <x v="1"/>
    <x v="8"/>
    <s v="Master Big Foot Doorstop, Beige"/>
    <x v="1214"/>
    <n v="6"/>
    <n v="9.82"/>
    <x v="10"/>
    <x v="0"/>
  </r>
  <r>
    <n v="44501"/>
    <x v="486"/>
    <x v="23"/>
    <x v="0"/>
    <x v="12"/>
    <s v="Fellowes Superior 10 Outlet Split Surge Protector"/>
    <x v="767"/>
    <n v="2"/>
    <n v="22.07"/>
    <x v="10"/>
    <x v="0"/>
  </r>
  <r>
    <n v="44501"/>
    <x v="400"/>
    <x v="10"/>
    <x v="1"/>
    <x v="8"/>
    <s v="Howard Miller 13&quot; Diameter Pewter Finish Round Wall Clock"/>
    <x v="1215"/>
    <n v="2"/>
    <n v="16.32"/>
    <x v="10"/>
    <x v="0"/>
  </r>
  <r>
    <n v="44501"/>
    <x v="400"/>
    <x v="10"/>
    <x v="0"/>
    <x v="3"/>
    <s v="Acco Economy Flexible Poly Round Ring Binder"/>
    <x v="1216"/>
    <n v="2"/>
    <n v="-2.61"/>
    <x v="10"/>
    <x v="0"/>
  </r>
  <r>
    <n v="44501"/>
    <x v="400"/>
    <x v="10"/>
    <x v="0"/>
    <x v="3"/>
    <s v="GBC Standard Therm-A-Bind Covers"/>
    <x v="1217"/>
    <n v="3"/>
    <n v="-17.940000000000001"/>
    <x v="10"/>
    <x v="0"/>
  </r>
  <r>
    <n v="44502"/>
    <x v="310"/>
    <x v="20"/>
    <x v="0"/>
    <x v="1"/>
    <s v="Avery 499"/>
    <x v="190"/>
    <n v="7"/>
    <n v="16.04"/>
    <x v="10"/>
    <x v="0"/>
  </r>
  <r>
    <n v="44502"/>
    <x v="310"/>
    <x v="20"/>
    <x v="1"/>
    <x v="8"/>
    <s v="Tensor Computer Mounted Lamp"/>
    <x v="1218"/>
    <n v="6"/>
    <n v="24.12"/>
    <x v="10"/>
    <x v="0"/>
  </r>
  <r>
    <n v="44502"/>
    <x v="487"/>
    <x v="0"/>
    <x v="2"/>
    <x v="6"/>
    <s v="Logitech B530 USBÂ HeadsetÂ -Â headsetÂ - Full size, Binaural"/>
    <x v="1219"/>
    <n v="3"/>
    <n v="7.77"/>
    <x v="10"/>
    <x v="0"/>
  </r>
  <r>
    <n v="44502"/>
    <x v="31"/>
    <x v="10"/>
    <x v="2"/>
    <x v="6"/>
    <s v="Polycom CX300 Desktop Phone USB VoIP phone"/>
    <x v="1220"/>
    <n v="6"/>
    <n v="-107.99"/>
    <x v="10"/>
    <x v="0"/>
  </r>
  <r>
    <n v="44502"/>
    <x v="31"/>
    <x v="10"/>
    <x v="2"/>
    <x v="6"/>
    <s v="I Need's 3d Hello Kitty Hybrid Silicone Case Cover for HTC One X 4g with 3d Hello Kitty Stylus Pen Green/pink"/>
    <x v="1221"/>
    <n v="7"/>
    <n v="-10.050000000000001"/>
    <x v="10"/>
    <x v="0"/>
  </r>
  <r>
    <n v="44502"/>
    <x v="31"/>
    <x v="10"/>
    <x v="0"/>
    <x v="3"/>
    <s v="Acco D-Ring Binder w/DublLock"/>
    <x v="1222"/>
    <n v="3"/>
    <n v="-13.47"/>
    <x v="10"/>
    <x v="0"/>
  </r>
  <r>
    <n v="44502"/>
    <x v="488"/>
    <x v="16"/>
    <x v="2"/>
    <x v="9"/>
    <s v="Razer Kraken 7.1 Surround Sound Over Ear USB Gaming Headset"/>
    <x v="1223"/>
    <n v="10"/>
    <n v="239.98"/>
    <x v="10"/>
    <x v="0"/>
  </r>
  <r>
    <n v="44502"/>
    <x v="489"/>
    <x v="3"/>
    <x v="2"/>
    <x v="6"/>
    <s v="AT&amp;T CL82213"/>
    <x v="1224"/>
    <n v="2"/>
    <n v="5.22"/>
    <x v="10"/>
    <x v="0"/>
  </r>
  <r>
    <n v="44502"/>
    <x v="489"/>
    <x v="3"/>
    <x v="0"/>
    <x v="2"/>
    <s v="Adjustable Depth Letter/Legal Cart"/>
    <x v="1225"/>
    <n v="2"/>
    <n v="105.25"/>
    <x v="10"/>
    <x v="0"/>
  </r>
  <r>
    <n v="44502"/>
    <x v="490"/>
    <x v="22"/>
    <x v="2"/>
    <x v="9"/>
    <s v="Maxell 74 Minute CD-R Spindle, 50/Pack"/>
    <x v="686"/>
    <n v="2"/>
    <n v="15.1"/>
    <x v="10"/>
    <x v="0"/>
  </r>
  <r>
    <n v="44502"/>
    <x v="490"/>
    <x v="22"/>
    <x v="2"/>
    <x v="6"/>
    <s v="Samsung Rugby III"/>
    <x v="1226"/>
    <n v="1"/>
    <n v="4.62"/>
    <x v="10"/>
    <x v="0"/>
  </r>
  <r>
    <n v="44503"/>
    <x v="282"/>
    <x v="2"/>
    <x v="0"/>
    <x v="14"/>
    <s v="Compact Automatic Electric Letter Opener"/>
    <x v="1227"/>
    <n v="3"/>
    <n v="-64.430000000000007"/>
    <x v="10"/>
    <x v="0"/>
  </r>
  <r>
    <n v="44503"/>
    <x v="25"/>
    <x v="20"/>
    <x v="2"/>
    <x v="6"/>
    <s v="Panasonic KX-TG9471B"/>
    <x v="1228"/>
    <n v="4"/>
    <n v="219.51"/>
    <x v="10"/>
    <x v="0"/>
  </r>
  <r>
    <n v="44503"/>
    <x v="25"/>
    <x v="20"/>
    <x v="0"/>
    <x v="3"/>
    <s v="Surelock Post Binders"/>
    <x v="1229"/>
    <n v="2"/>
    <n v="18.34"/>
    <x v="10"/>
    <x v="0"/>
  </r>
  <r>
    <n v="44503"/>
    <x v="25"/>
    <x v="20"/>
    <x v="0"/>
    <x v="3"/>
    <s v="Acco Pressboard Covers with Storage Hooks, 14 7/8&quot; x 11&quot;, Light Blue"/>
    <x v="1230"/>
    <n v="2"/>
    <n v="2.85"/>
    <x v="10"/>
    <x v="0"/>
  </r>
  <r>
    <n v="44503"/>
    <x v="218"/>
    <x v="37"/>
    <x v="0"/>
    <x v="14"/>
    <s v="Acme Kleen Earth Office Shears"/>
    <x v="1231"/>
    <n v="3"/>
    <n v="3.38"/>
    <x v="10"/>
    <x v="0"/>
  </r>
  <r>
    <n v="44503"/>
    <x v="372"/>
    <x v="15"/>
    <x v="0"/>
    <x v="0"/>
    <s v="Ampad Evidence Wirebond Steno Books, 6&quot; x 9&quot;"/>
    <x v="656"/>
    <n v="2"/>
    <n v="1.18"/>
    <x v="10"/>
    <x v="0"/>
  </r>
  <r>
    <n v="44503"/>
    <x v="372"/>
    <x v="15"/>
    <x v="0"/>
    <x v="0"/>
    <s v="Xerox 1884"/>
    <x v="1232"/>
    <n v="9"/>
    <n v="48.55"/>
    <x v="10"/>
    <x v="0"/>
  </r>
  <r>
    <n v="44503"/>
    <x v="489"/>
    <x v="25"/>
    <x v="0"/>
    <x v="2"/>
    <s v="Acco Perma 4000 Stacking Storage Drawers"/>
    <x v="679"/>
    <n v="2"/>
    <n v="-1.62"/>
    <x v="10"/>
    <x v="0"/>
  </r>
  <r>
    <n v="44503"/>
    <x v="489"/>
    <x v="25"/>
    <x v="1"/>
    <x v="13"/>
    <s v="Hon Racetrack Conference Tables"/>
    <x v="1233"/>
    <n v="6"/>
    <n v="-299.26"/>
    <x v="10"/>
    <x v="0"/>
  </r>
  <r>
    <n v="44503"/>
    <x v="489"/>
    <x v="25"/>
    <x v="0"/>
    <x v="3"/>
    <s v="Avery Self-Adhesive Photo Pockets for Polaroid Photos"/>
    <x v="636"/>
    <n v="7"/>
    <n v="-10.49"/>
    <x v="10"/>
    <x v="0"/>
  </r>
  <r>
    <n v="44503"/>
    <x v="489"/>
    <x v="25"/>
    <x v="1"/>
    <x v="8"/>
    <s v="Tenex Antistatic Computer Chair Mats"/>
    <x v="1234"/>
    <n v="3"/>
    <n v="-51.29"/>
    <x v="10"/>
    <x v="0"/>
  </r>
  <r>
    <n v="44503"/>
    <x v="491"/>
    <x v="23"/>
    <x v="0"/>
    <x v="3"/>
    <s v="Avery Durable Binders"/>
    <x v="1235"/>
    <n v="2"/>
    <n v="2.82"/>
    <x v="10"/>
    <x v="0"/>
  </r>
  <r>
    <n v="44503"/>
    <x v="153"/>
    <x v="40"/>
    <x v="2"/>
    <x v="9"/>
    <s v="Belkin F8E887 USB Wired Ergonomic Keyboard"/>
    <x v="1236"/>
    <n v="3"/>
    <n v="18.89"/>
    <x v="10"/>
    <x v="0"/>
  </r>
  <r>
    <n v="44503"/>
    <x v="492"/>
    <x v="3"/>
    <x v="0"/>
    <x v="4"/>
    <s v="Prang Dustless Chalk Sticks"/>
    <x v="1237"/>
    <n v="4"/>
    <n v="3.36"/>
    <x v="10"/>
    <x v="0"/>
  </r>
  <r>
    <n v="44504"/>
    <x v="39"/>
    <x v="20"/>
    <x v="1"/>
    <x v="5"/>
    <s v="DMI Arturo Collection Mission-style Design Wood Chair"/>
    <x v="1238"/>
    <n v="1"/>
    <n v="24.16"/>
    <x v="10"/>
    <x v="0"/>
  </r>
  <r>
    <n v="44504"/>
    <x v="39"/>
    <x v="20"/>
    <x v="2"/>
    <x v="15"/>
    <s v="Canon imageCLASS MF7460 Monochrome Digital Laser Multifunction Copier"/>
    <x v="1239"/>
    <n v="2"/>
    <n v="1995.99"/>
    <x v="10"/>
    <x v="0"/>
  </r>
  <r>
    <n v="44504"/>
    <x v="39"/>
    <x v="20"/>
    <x v="2"/>
    <x v="6"/>
    <s v="Panasonic Kx-TS550"/>
    <x v="1240"/>
    <n v="6"/>
    <n v="80.02"/>
    <x v="10"/>
    <x v="0"/>
  </r>
  <r>
    <n v="44504"/>
    <x v="39"/>
    <x v="20"/>
    <x v="2"/>
    <x v="9"/>
    <s v="NETGEAR N750 Dual Band Wi-Fi Gigabit Router"/>
    <x v="1241"/>
    <n v="4"/>
    <n v="129.6"/>
    <x v="10"/>
    <x v="0"/>
  </r>
  <r>
    <n v="44504"/>
    <x v="39"/>
    <x v="20"/>
    <x v="0"/>
    <x v="2"/>
    <s v="Trav-L-File Heavy-Duty Shuttle II, Black"/>
    <x v="1242"/>
    <n v="1"/>
    <n v="13.07"/>
    <x v="10"/>
    <x v="0"/>
  </r>
  <r>
    <n v="44504"/>
    <x v="402"/>
    <x v="25"/>
    <x v="0"/>
    <x v="7"/>
    <s v="OIC Bulk Pack Metal Binder Clips"/>
    <x v="1243"/>
    <n v="3"/>
    <n v="2.72"/>
    <x v="10"/>
    <x v="0"/>
  </r>
  <r>
    <n v="44504"/>
    <x v="402"/>
    <x v="25"/>
    <x v="0"/>
    <x v="12"/>
    <s v="Acco 6 Outlet Guardian Premium Surge Suppressor"/>
    <x v="1244"/>
    <n v="5"/>
    <n v="5.0999999999999996"/>
    <x v="10"/>
    <x v="0"/>
  </r>
  <r>
    <n v="44504"/>
    <x v="493"/>
    <x v="3"/>
    <x v="1"/>
    <x v="8"/>
    <s v="Executive Impressions 12&quot; Wall Clock"/>
    <x v="976"/>
    <n v="2"/>
    <n v="13.43"/>
    <x v="10"/>
    <x v="0"/>
  </r>
  <r>
    <n v="44504"/>
    <x v="494"/>
    <x v="3"/>
    <x v="2"/>
    <x v="6"/>
    <s v="Polycom SoundPoint Pro SE-225 Corded phone"/>
    <x v="1245"/>
    <n v="7"/>
    <n v="66.63"/>
    <x v="10"/>
    <x v="0"/>
  </r>
  <r>
    <n v="44504"/>
    <x v="494"/>
    <x v="3"/>
    <x v="1"/>
    <x v="13"/>
    <s v="Bevis Round Conference Table Top, X-Base"/>
    <x v="1246"/>
    <n v="4"/>
    <n v="-64.540000000000006"/>
    <x v="10"/>
    <x v="0"/>
  </r>
  <r>
    <n v="44504"/>
    <x v="494"/>
    <x v="3"/>
    <x v="0"/>
    <x v="3"/>
    <s v="Cardinal EasyOpen D-Ring Binders"/>
    <x v="1247"/>
    <n v="3"/>
    <n v="8.23"/>
    <x v="10"/>
    <x v="0"/>
  </r>
  <r>
    <n v="44504"/>
    <x v="494"/>
    <x v="3"/>
    <x v="0"/>
    <x v="0"/>
    <s v="Xerox 2000"/>
    <x v="5"/>
    <n v="3"/>
    <n v="9.33"/>
    <x v="10"/>
    <x v="0"/>
  </r>
  <r>
    <n v="44504"/>
    <x v="494"/>
    <x v="3"/>
    <x v="2"/>
    <x v="15"/>
    <s v="Hewlett-Packard Deskjet D4360 Printer"/>
    <x v="1248"/>
    <n v="4"/>
    <n v="139.99"/>
    <x v="10"/>
    <x v="0"/>
  </r>
  <r>
    <n v="44504"/>
    <x v="381"/>
    <x v="20"/>
    <x v="0"/>
    <x v="3"/>
    <s v="Acco Flexible ACCOHIDE Square Ring Data Binder, Dark Blue, 11 1/2&quot; X 14&quot; 7/8&quot;"/>
    <x v="1249"/>
    <n v="4"/>
    <n v="18.87"/>
    <x v="10"/>
    <x v="0"/>
  </r>
  <r>
    <n v="44504"/>
    <x v="495"/>
    <x v="3"/>
    <x v="0"/>
    <x v="4"/>
    <s v="Newell 343"/>
    <x v="1250"/>
    <n v="1"/>
    <n v="0.79"/>
    <x v="10"/>
    <x v="0"/>
  </r>
  <r>
    <n v="44505"/>
    <x v="354"/>
    <x v="3"/>
    <x v="1"/>
    <x v="8"/>
    <s v="OIC Stacking Trays"/>
    <x v="1251"/>
    <n v="6"/>
    <n v="8.82"/>
    <x v="10"/>
    <x v="0"/>
  </r>
  <r>
    <n v="44505"/>
    <x v="50"/>
    <x v="6"/>
    <x v="2"/>
    <x v="9"/>
    <s v="Maxell 4.7GB DVD-RW 3/Pack"/>
    <x v="382"/>
    <n v="3"/>
    <n v="16.25"/>
    <x v="10"/>
    <x v="0"/>
  </r>
  <r>
    <n v="44505"/>
    <x v="496"/>
    <x v="2"/>
    <x v="1"/>
    <x v="8"/>
    <s v="Tenex Antistatic Computer Chair Mats"/>
    <x v="1252"/>
    <n v="2"/>
    <n v="-34.200000000000003"/>
    <x v="10"/>
    <x v="0"/>
  </r>
  <r>
    <n v="44505"/>
    <x v="496"/>
    <x v="2"/>
    <x v="0"/>
    <x v="3"/>
    <s v="Wilson Jones Legal Size Ring Binders"/>
    <x v="1253"/>
    <n v="2"/>
    <n v="-8.8000000000000007"/>
    <x v="10"/>
    <x v="0"/>
  </r>
  <r>
    <n v="44505"/>
    <x v="496"/>
    <x v="2"/>
    <x v="0"/>
    <x v="2"/>
    <s v="Tennsco Double-Tier Lockers"/>
    <x v="1254"/>
    <n v="6"/>
    <n v="-94.51"/>
    <x v="10"/>
    <x v="0"/>
  </r>
  <r>
    <n v="44505"/>
    <x v="496"/>
    <x v="2"/>
    <x v="2"/>
    <x v="9"/>
    <s v="Sony 16GB Class 10 Micro SDHC R40 Memory Card"/>
    <x v="1255"/>
    <n v="5"/>
    <n v="-6.45"/>
    <x v="10"/>
    <x v="0"/>
  </r>
  <r>
    <n v="44505"/>
    <x v="496"/>
    <x v="2"/>
    <x v="2"/>
    <x v="9"/>
    <s v="Memorex Micro Travel Drive 32 GB"/>
    <x v="1256"/>
    <n v="2"/>
    <n v="16.79"/>
    <x v="10"/>
    <x v="0"/>
  </r>
  <r>
    <n v="44505"/>
    <x v="497"/>
    <x v="6"/>
    <x v="1"/>
    <x v="5"/>
    <s v="Global Stack Chair with Arms, Black"/>
    <x v="1257"/>
    <n v="5"/>
    <n v="40.47"/>
    <x v="10"/>
    <x v="0"/>
  </r>
  <r>
    <n v="44506"/>
    <x v="208"/>
    <x v="4"/>
    <x v="0"/>
    <x v="0"/>
    <s v="Array Parchment Paper, Assorted Colors"/>
    <x v="1258"/>
    <n v="6"/>
    <n v="20.97"/>
    <x v="10"/>
    <x v="0"/>
  </r>
  <r>
    <n v="44507"/>
    <x v="498"/>
    <x v="0"/>
    <x v="0"/>
    <x v="3"/>
    <s v="Satellite Sectional Post Binders"/>
    <x v="1259"/>
    <n v="3"/>
    <n v="-44.28"/>
    <x v="10"/>
    <x v="0"/>
  </r>
  <r>
    <n v="44507"/>
    <x v="498"/>
    <x v="0"/>
    <x v="0"/>
    <x v="10"/>
    <s v="Staple envelope"/>
    <x v="230"/>
    <n v="3"/>
    <n v="26.95"/>
    <x v="10"/>
    <x v="0"/>
  </r>
  <r>
    <n v="44507"/>
    <x v="352"/>
    <x v="3"/>
    <x v="0"/>
    <x v="3"/>
    <s v="Wilson Jones Legal Size Ring Binders"/>
    <x v="651"/>
    <n v="7"/>
    <n v="46.18"/>
    <x v="10"/>
    <x v="0"/>
  </r>
  <r>
    <n v="44507"/>
    <x v="236"/>
    <x v="0"/>
    <x v="1"/>
    <x v="5"/>
    <s v="Hon Deluxe Fabric Upholstered Stacking Chairs, Squared Back"/>
    <x v="1260"/>
    <n v="4"/>
    <n v="0"/>
    <x v="10"/>
    <x v="0"/>
  </r>
  <r>
    <n v="44507"/>
    <x v="236"/>
    <x v="0"/>
    <x v="0"/>
    <x v="3"/>
    <s v="Avery Triangle Shaped Sheet Lifters, Black, 2/Pack"/>
    <x v="1261"/>
    <n v="3"/>
    <n v="-2.21"/>
    <x v="10"/>
    <x v="0"/>
  </r>
  <r>
    <n v="44507"/>
    <x v="236"/>
    <x v="0"/>
    <x v="0"/>
    <x v="14"/>
    <s v="Acme Stainless Steel Office Snips"/>
    <x v="1262"/>
    <n v="7"/>
    <n v="3.56"/>
    <x v="10"/>
    <x v="0"/>
  </r>
  <r>
    <n v="44507"/>
    <x v="389"/>
    <x v="21"/>
    <x v="0"/>
    <x v="12"/>
    <s v="Belkin 8 Outlet Surge Protector"/>
    <x v="456"/>
    <n v="6"/>
    <n v="68.849999999999994"/>
    <x v="10"/>
    <x v="0"/>
  </r>
  <r>
    <n v="44507"/>
    <x v="389"/>
    <x v="21"/>
    <x v="0"/>
    <x v="2"/>
    <s v="Portable Personal File Box"/>
    <x v="1263"/>
    <n v="3"/>
    <n v="9.89"/>
    <x v="10"/>
    <x v="0"/>
  </r>
  <r>
    <n v="44507"/>
    <x v="389"/>
    <x v="21"/>
    <x v="0"/>
    <x v="2"/>
    <s v="X-Rack File for Hanging Folders"/>
    <x v="1264"/>
    <n v="2"/>
    <n v="5.87"/>
    <x v="10"/>
    <x v="0"/>
  </r>
  <r>
    <n v="44507"/>
    <x v="389"/>
    <x v="21"/>
    <x v="0"/>
    <x v="3"/>
    <s v="ACCOHIDE 3-Ring Binder, Blue, 1&quot;"/>
    <x v="1192"/>
    <n v="3"/>
    <n v="5.82"/>
    <x v="10"/>
    <x v="0"/>
  </r>
  <r>
    <n v="44507"/>
    <x v="244"/>
    <x v="20"/>
    <x v="0"/>
    <x v="7"/>
    <s v="Binder Clips by OIC"/>
    <x v="1265"/>
    <n v="4"/>
    <n v="2.84"/>
    <x v="10"/>
    <x v="0"/>
  </r>
  <r>
    <n v="44507"/>
    <x v="244"/>
    <x v="20"/>
    <x v="0"/>
    <x v="0"/>
    <s v="Riverleaf Stik-Withit Designer Note Cubes"/>
    <x v="1266"/>
    <n v="3"/>
    <n v="13.88"/>
    <x v="10"/>
    <x v="0"/>
  </r>
  <r>
    <n v="44507"/>
    <x v="47"/>
    <x v="11"/>
    <x v="0"/>
    <x v="0"/>
    <s v="Xerox 1995"/>
    <x v="499"/>
    <n v="5"/>
    <n v="9.07"/>
    <x v="10"/>
    <x v="0"/>
  </r>
  <r>
    <n v="44507"/>
    <x v="47"/>
    <x v="11"/>
    <x v="0"/>
    <x v="4"/>
    <s v="Panasonic KP-150 Electric Pencil Sharpener"/>
    <x v="1267"/>
    <n v="4"/>
    <n v="9.06"/>
    <x v="10"/>
    <x v="0"/>
  </r>
  <r>
    <n v="44508"/>
    <x v="185"/>
    <x v="3"/>
    <x v="2"/>
    <x v="6"/>
    <s v="Toshiba IPT2010-SD IPÂ Telephone"/>
    <x v="1268"/>
    <n v="3"/>
    <n v="25.02"/>
    <x v="10"/>
    <x v="0"/>
  </r>
  <r>
    <n v="44509"/>
    <x v="355"/>
    <x v="3"/>
    <x v="0"/>
    <x v="2"/>
    <s v="SAFCO Boltless Steel Shelving"/>
    <x v="1269"/>
    <n v="3"/>
    <n v="3.41"/>
    <x v="10"/>
    <x v="0"/>
  </r>
  <r>
    <n v="44509"/>
    <x v="355"/>
    <x v="3"/>
    <x v="1"/>
    <x v="11"/>
    <s v="Sauder Mission Library with Doors, Fruitwood Finish"/>
    <x v="1270"/>
    <n v="2"/>
    <n v="10.48"/>
    <x v="10"/>
    <x v="0"/>
  </r>
  <r>
    <n v="44509"/>
    <x v="355"/>
    <x v="3"/>
    <x v="2"/>
    <x v="6"/>
    <s v="Samsung Galaxy Note 3"/>
    <x v="1271"/>
    <n v="4"/>
    <n v="88"/>
    <x v="10"/>
    <x v="0"/>
  </r>
  <r>
    <n v="44509"/>
    <x v="355"/>
    <x v="3"/>
    <x v="0"/>
    <x v="2"/>
    <s v="Decoflex Hanging Personal Folder File, Blue"/>
    <x v="860"/>
    <n v="6"/>
    <n v="24.98"/>
    <x v="10"/>
    <x v="0"/>
  </r>
  <r>
    <n v="44509"/>
    <x v="355"/>
    <x v="3"/>
    <x v="0"/>
    <x v="0"/>
    <s v="Recycled Desk Saver Line &quot;While You Were Out&quot; Book, 5 1/2&quot; X 4&quot;"/>
    <x v="1272"/>
    <n v="7"/>
    <n v="28.82"/>
    <x v="10"/>
    <x v="0"/>
  </r>
  <r>
    <n v="44509"/>
    <x v="355"/>
    <x v="3"/>
    <x v="0"/>
    <x v="0"/>
    <s v="Xerox 1912"/>
    <x v="1273"/>
    <n v="5"/>
    <n v="45.53"/>
    <x v="10"/>
    <x v="0"/>
  </r>
  <r>
    <n v="44509"/>
    <x v="499"/>
    <x v="20"/>
    <x v="1"/>
    <x v="8"/>
    <s v="Eldon 200 Class Desk Accessories, Black"/>
    <x v="1274"/>
    <n v="9"/>
    <n v="21.48"/>
    <x v="10"/>
    <x v="0"/>
  </r>
  <r>
    <n v="44510"/>
    <x v="131"/>
    <x v="3"/>
    <x v="2"/>
    <x v="6"/>
    <s v="Jabra SPEAK 410"/>
    <x v="1275"/>
    <n v="8"/>
    <n v="60.15"/>
    <x v="10"/>
    <x v="0"/>
  </r>
  <r>
    <n v="44510"/>
    <x v="131"/>
    <x v="3"/>
    <x v="2"/>
    <x v="9"/>
    <s v="Memorex Froggy Flash Drive 4 GB"/>
    <x v="1276"/>
    <n v="1"/>
    <n v="4.29"/>
    <x v="10"/>
    <x v="0"/>
  </r>
  <r>
    <n v="44510"/>
    <x v="131"/>
    <x v="3"/>
    <x v="1"/>
    <x v="8"/>
    <s v="Luxo Economy Swing Arm Lamp"/>
    <x v="1277"/>
    <n v="2"/>
    <n v="11.17"/>
    <x v="10"/>
    <x v="0"/>
  </r>
  <r>
    <n v="44510"/>
    <x v="131"/>
    <x v="3"/>
    <x v="0"/>
    <x v="0"/>
    <s v="Southworth 100% RÃ©sumÃ© Paper, 24lb."/>
    <x v="1278"/>
    <n v="8"/>
    <n v="28.01"/>
    <x v="10"/>
    <x v="0"/>
  </r>
  <r>
    <n v="44510"/>
    <x v="131"/>
    <x v="3"/>
    <x v="1"/>
    <x v="8"/>
    <s v="Eldon Expressions Punched Metal &amp; Wood Desk Accessories, Pewter &amp; Cherry"/>
    <x v="1279"/>
    <n v="5"/>
    <n v="14.9"/>
    <x v="10"/>
    <x v="0"/>
  </r>
  <r>
    <n v="44510"/>
    <x v="131"/>
    <x v="3"/>
    <x v="0"/>
    <x v="1"/>
    <s v="Avery White Multi-Purpose Labels"/>
    <x v="1280"/>
    <n v="8"/>
    <n v="18.329999999999998"/>
    <x v="10"/>
    <x v="0"/>
  </r>
  <r>
    <n v="44510"/>
    <x v="66"/>
    <x v="14"/>
    <x v="0"/>
    <x v="4"/>
    <s v="Avery Hi-Liter Comfort Grip Fluorescent Highlighter, Yellow Ink"/>
    <x v="1281"/>
    <n v="2"/>
    <n v="1.52"/>
    <x v="10"/>
    <x v="0"/>
  </r>
  <r>
    <n v="44510"/>
    <x v="66"/>
    <x v="14"/>
    <x v="0"/>
    <x v="0"/>
    <s v="Xerox 199"/>
    <x v="1282"/>
    <n v="3"/>
    <n v="5.78"/>
    <x v="10"/>
    <x v="0"/>
  </r>
  <r>
    <n v="44510"/>
    <x v="66"/>
    <x v="14"/>
    <x v="0"/>
    <x v="0"/>
    <s v="Xerox 4200 Series MultiUse Premium Copy Paper (20Lb. and 84 Bright)"/>
    <x v="254"/>
    <n v="3"/>
    <n v="7.13"/>
    <x v="10"/>
    <x v="0"/>
  </r>
  <r>
    <n v="44510"/>
    <x v="66"/>
    <x v="14"/>
    <x v="1"/>
    <x v="5"/>
    <s v="Hon Every-Day Series Multi-Task Chairs"/>
    <x v="1283"/>
    <n v="3"/>
    <n v="112.79"/>
    <x v="10"/>
    <x v="0"/>
  </r>
  <r>
    <n v="44510"/>
    <x v="66"/>
    <x v="14"/>
    <x v="0"/>
    <x v="2"/>
    <s v="Acco Perma 3000 Stacking Storage Drawers"/>
    <x v="801"/>
    <n v="3"/>
    <n v="11.96"/>
    <x v="10"/>
    <x v="0"/>
  </r>
  <r>
    <n v="44510"/>
    <x v="66"/>
    <x v="14"/>
    <x v="0"/>
    <x v="2"/>
    <s v="Hot File 7-Pocket, Floor Stand"/>
    <x v="688"/>
    <n v="3"/>
    <n v="160.62"/>
    <x v="10"/>
    <x v="0"/>
  </r>
  <r>
    <n v="44511"/>
    <x v="500"/>
    <x v="21"/>
    <x v="0"/>
    <x v="2"/>
    <s v="Stur-D-Stor Shelving, Vertical 5-Shelf: 72&quot;H x 36&quot;W x 18 1/2&quot;D"/>
    <x v="1284"/>
    <n v="6"/>
    <n v="13.32"/>
    <x v="10"/>
    <x v="0"/>
  </r>
  <r>
    <n v="44511"/>
    <x v="501"/>
    <x v="26"/>
    <x v="0"/>
    <x v="4"/>
    <s v="BIC Brite Liner Grip Highlighters, Assorted, 5/Pack"/>
    <x v="561"/>
    <n v="1"/>
    <n v="0.81"/>
    <x v="10"/>
    <x v="0"/>
  </r>
  <r>
    <n v="44511"/>
    <x v="501"/>
    <x v="26"/>
    <x v="2"/>
    <x v="6"/>
    <s v="Samsung Galaxy S III - 16GB - pebble blue (T-Mobile)"/>
    <x v="1285"/>
    <n v="2"/>
    <n v="56"/>
    <x v="10"/>
    <x v="0"/>
  </r>
  <r>
    <n v="44511"/>
    <x v="501"/>
    <x v="26"/>
    <x v="1"/>
    <x v="5"/>
    <s v="Global Airflow Leather Mesh Back Chair, Black"/>
    <x v="1044"/>
    <n v="5"/>
    <n v="75.489999999999995"/>
    <x v="10"/>
    <x v="0"/>
  </r>
  <r>
    <n v="44511"/>
    <x v="502"/>
    <x v="0"/>
    <x v="0"/>
    <x v="3"/>
    <s v="GBC DocuBind TL300 Electric Binding System"/>
    <x v="822"/>
    <n v="5"/>
    <n v="-1480.03"/>
    <x v="10"/>
    <x v="0"/>
  </r>
  <r>
    <n v="44511"/>
    <x v="502"/>
    <x v="0"/>
    <x v="0"/>
    <x v="3"/>
    <s v="Universal Recycled Hanging Pressboard Report Binders, Letter Size"/>
    <x v="1286"/>
    <n v="1"/>
    <n v="-1.97"/>
    <x v="10"/>
    <x v="0"/>
  </r>
  <r>
    <n v="44511"/>
    <x v="502"/>
    <x v="0"/>
    <x v="0"/>
    <x v="4"/>
    <s v="Boston Electric Pencil Sharpener, Model 1818, Charcoal Black"/>
    <x v="1287"/>
    <n v="3"/>
    <n v="6.76"/>
    <x v="10"/>
    <x v="0"/>
  </r>
  <r>
    <n v="44511"/>
    <x v="502"/>
    <x v="0"/>
    <x v="0"/>
    <x v="0"/>
    <s v="Wirebound Message Book, 4 per Page"/>
    <x v="990"/>
    <n v="5"/>
    <n v="7.87"/>
    <x v="10"/>
    <x v="0"/>
  </r>
  <r>
    <n v="44511"/>
    <x v="502"/>
    <x v="0"/>
    <x v="0"/>
    <x v="0"/>
    <s v="Xerox 1893"/>
    <x v="1288"/>
    <n v="8"/>
    <n v="95.1"/>
    <x v="10"/>
    <x v="0"/>
  </r>
  <r>
    <n v="44511"/>
    <x v="502"/>
    <x v="0"/>
    <x v="2"/>
    <x v="6"/>
    <s v="Geemarc AmpliPOWER60"/>
    <x v="1289"/>
    <n v="2"/>
    <n v="16.7"/>
    <x v="10"/>
    <x v="0"/>
  </r>
  <r>
    <n v="44511"/>
    <x v="502"/>
    <x v="0"/>
    <x v="2"/>
    <x v="6"/>
    <s v="Classic Ivory AntiqueÂ TelephoneÂ ZL1810"/>
    <x v="1290"/>
    <n v="3"/>
    <n v="15.07"/>
    <x v="10"/>
    <x v="0"/>
  </r>
  <r>
    <n v="44511"/>
    <x v="358"/>
    <x v="3"/>
    <x v="0"/>
    <x v="4"/>
    <s v="50 Colored Long Pencils"/>
    <x v="1291"/>
    <n v="3"/>
    <n v="7.92"/>
    <x v="10"/>
    <x v="0"/>
  </r>
  <r>
    <n v="44511"/>
    <x v="358"/>
    <x v="3"/>
    <x v="1"/>
    <x v="5"/>
    <s v="Hon Olson Stacker Stools"/>
    <x v="1292"/>
    <n v="1"/>
    <n v="11.26"/>
    <x v="10"/>
    <x v="0"/>
  </r>
  <r>
    <n v="44511"/>
    <x v="324"/>
    <x v="2"/>
    <x v="1"/>
    <x v="8"/>
    <s v="GE 4 Foot Flourescent Tube, 40 Watt"/>
    <x v="1293"/>
    <n v="2"/>
    <n v="7.79"/>
    <x v="10"/>
    <x v="0"/>
  </r>
  <r>
    <n v="44511"/>
    <x v="324"/>
    <x v="2"/>
    <x v="1"/>
    <x v="11"/>
    <s v="Atlantic Metals Mobile 3-Shelf Bookcases, Custom Colors"/>
    <x v="1294"/>
    <n v="4"/>
    <n v="-250.54"/>
    <x v="10"/>
    <x v="0"/>
  </r>
  <r>
    <n v="44511"/>
    <x v="338"/>
    <x v="3"/>
    <x v="2"/>
    <x v="6"/>
    <s v="Mophie Juice Pack Helium for iPhone"/>
    <x v="1295"/>
    <n v="9"/>
    <n v="57.59"/>
    <x v="10"/>
    <x v="0"/>
  </r>
  <r>
    <n v="44511"/>
    <x v="338"/>
    <x v="3"/>
    <x v="0"/>
    <x v="12"/>
    <s v="Commercial WindTunnel Clean Air Upright Vacuum, Replacement Belts, Filtration Bags"/>
    <x v="1296"/>
    <n v="2"/>
    <n v="2.02"/>
    <x v="10"/>
    <x v="0"/>
  </r>
  <r>
    <n v="44511"/>
    <x v="338"/>
    <x v="3"/>
    <x v="0"/>
    <x v="0"/>
    <s v="Xerox 1979"/>
    <x v="1099"/>
    <n v="4"/>
    <n v="55.76"/>
    <x v="10"/>
    <x v="0"/>
  </r>
  <r>
    <n v="44511"/>
    <x v="126"/>
    <x v="22"/>
    <x v="0"/>
    <x v="12"/>
    <s v="Belkin F5C206VTEL 6 Outlet Surge"/>
    <x v="1297"/>
    <n v="1"/>
    <n v="6.89"/>
    <x v="10"/>
    <x v="0"/>
  </r>
  <r>
    <n v="44511"/>
    <x v="126"/>
    <x v="22"/>
    <x v="2"/>
    <x v="9"/>
    <s v="Belkin Standard 104 key USB Keyboard"/>
    <x v="1298"/>
    <n v="7"/>
    <n v="15.32"/>
    <x v="10"/>
    <x v="0"/>
  </r>
  <r>
    <n v="44511"/>
    <x v="126"/>
    <x v="22"/>
    <x v="0"/>
    <x v="3"/>
    <s v="Fellowes PB500 Electric Punch Plastic Comb Binding Machine with Manual Bind"/>
    <x v="1299"/>
    <n v="2"/>
    <n v="762.59"/>
    <x v="10"/>
    <x v="0"/>
  </r>
  <r>
    <n v="44511"/>
    <x v="248"/>
    <x v="1"/>
    <x v="1"/>
    <x v="8"/>
    <s v="DAX Wood Document Frame."/>
    <x v="1300"/>
    <n v="2"/>
    <n v="-7.96"/>
    <x v="10"/>
    <x v="0"/>
  </r>
  <r>
    <n v="44511"/>
    <x v="248"/>
    <x v="1"/>
    <x v="1"/>
    <x v="5"/>
    <s v="Global Commerce Series High-Back Swivel/Tilt Chairs"/>
    <x v="550"/>
    <n v="4"/>
    <n v="-57"/>
    <x v="10"/>
    <x v="0"/>
  </r>
  <r>
    <n v="44511"/>
    <x v="61"/>
    <x v="20"/>
    <x v="0"/>
    <x v="0"/>
    <s v="Wirebound Message Books, Four 2 3/4&quot; x 5&quot; Forms per Page, 600 Sets per Book"/>
    <x v="1301"/>
    <n v="5"/>
    <n v="21.78"/>
    <x v="10"/>
    <x v="0"/>
  </r>
  <r>
    <n v="44511"/>
    <x v="61"/>
    <x v="20"/>
    <x v="0"/>
    <x v="0"/>
    <s v="Xerox 1882"/>
    <x v="1302"/>
    <n v="4"/>
    <n v="109.72"/>
    <x v="10"/>
    <x v="0"/>
  </r>
  <r>
    <n v="44511"/>
    <x v="61"/>
    <x v="20"/>
    <x v="0"/>
    <x v="14"/>
    <s v="Acme Value Line Scissors"/>
    <x v="948"/>
    <n v="2"/>
    <n v="2.19"/>
    <x v="10"/>
    <x v="0"/>
  </r>
  <r>
    <n v="44512"/>
    <x v="503"/>
    <x v="0"/>
    <x v="0"/>
    <x v="2"/>
    <s v="Personal Filing Tote with Lid, Black/Gray"/>
    <x v="147"/>
    <n v="4"/>
    <n v="4.96"/>
    <x v="10"/>
    <x v="0"/>
  </r>
  <r>
    <n v="44512"/>
    <x v="409"/>
    <x v="3"/>
    <x v="0"/>
    <x v="0"/>
    <s v="Xerox 1974"/>
    <x v="687"/>
    <n v="2"/>
    <n v="5.86"/>
    <x v="10"/>
    <x v="0"/>
  </r>
  <r>
    <n v="44512"/>
    <x v="409"/>
    <x v="3"/>
    <x v="1"/>
    <x v="13"/>
    <s v="Bevis Boat-Shaped Conference Table"/>
    <x v="1303"/>
    <n v="3"/>
    <n v="31.45"/>
    <x v="10"/>
    <x v="0"/>
  </r>
  <r>
    <n v="44512"/>
    <x v="491"/>
    <x v="25"/>
    <x v="0"/>
    <x v="4"/>
    <s v="Newell 350"/>
    <x v="1304"/>
    <n v="3"/>
    <n v="0.89"/>
    <x v="10"/>
    <x v="0"/>
  </r>
  <r>
    <n v="44512"/>
    <x v="504"/>
    <x v="0"/>
    <x v="0"/>
    <x v="4"/>
    <s v="Avery Fluorescent Highlighter Four-Color Set"/>
    <x v="1305"/>
    <n v="1"/>
    <n v="0.33"/>
    <x v="10"/>
    <x v="0"/>
  </r>
  <r>
    <n v="44512"/>
    <x v="504"/>
    <x v="0"/>
    <x v="0"/>
    <x v="14"/>
    <s v="Acco Side-Punched Conventional Columnar Pads"/>
    <x v="1306"/>
    <n v="6"/>
    <n v="-3.12"/>
    <x v="10"/>
    <x v="0"/>
  </r>
  <r>
    <n v="44512"/>
    <x v="504"/>
    <x v="0"/>
    <x v="2"/>
    <x v="9"/>
    <s v="ImationÂ 16GB Mini TravelDrive USB 2.0Â Flash Drive"/>
    <x v="1307"/>
    <n v="3"/>
    <n v="20.87"/>
    <x v="10"/>
    <x v="0"/>
  </r>
  <r>
    <n v="44512"/>
    <x v="504"/>
    <x v="0"/>
    <x v="0"/>
    <x v="0"/>
    <s v="Xerox 216"/>
    <x v="1308"/>
    <n v="7"/>
    <n v="12.7"/>
    <x v="10"/>
    <x v="0"/>
  </r>
  <r>
    <n v="44512"/>
    <x v="504"/>
    <x v="0"/>
    <x v="1"/>
    <x v="11"/>
    <s v="Bestar Classic Bookcase"/>
    <x v="1309"/>
    <n v="1"/>
    <n v="-13"/>
    <x v="10"/>
    <x v="0"/>
  </r>
  <r>
    <n v="44512"/>
    <x v="0"/>
    <x v="0"/>
    <x v="1"/>
    <x v="8"/>
    <s v="GE General Use Halogen Bulbs, 100 Watts, 1 Bulb per Pack"/>
    <x v="1310"/>
    <n v="3"/>
    <n v="-6.91"/>
    <x v="10"/>
    <x v="0"/>
  </r>
  <r>
    <n v="44512"/>
    <x v="0"/>
    <x v="0"/>
    <x v="2"/>
    <x v="9"/>
    <s v="Logitech G602 Wireless Gaming Mouse"/>
    <x v="1311"/>
    <n v="2"/>
    <n v="25.6"/>
    <x v="10"/>
    <x v="0"/>
  </r>
  <r>
    <n v="44514"/>
    <x v="505"/>
    <x v="37"/>
    <x v="2"/>
    <x v="6"/>
    <s v="Polycom SoundPoint Pro SE-225 Corded phone"/>
    <x v="1312"/>
    <n v="7"/>
    <n v="233.22"/>
    <x v="10"/>
    <x v="0"/>
  </r>
  <r>
    <n v="44514"/>
    <x v="505"/>
    <x v="37"/>
    <x v="0"/>
    <x v="3"/>
    <s v="Acco 3-Hole Punch"/>
    <x v="1313"/>
    <n v="10"/>
    <n v="21.02"/>
    <x v="10"/>
    <x v="0"/>
  </r>
  <r>
    <n v="44514"/>
    <x v="506"/>
    <x v="14"/>
    <x v="0"/>
    <x v="3"/>
    <s v="Storex DuraTech Recycled Plastic Frosted Binders"/>
    <x v="1314"/>
    <n v="3"/>
    <n v="6.36"/>
    <x v="10"/>
    <x v="0"/>
  </r>
  <r>
    <n v="44514"/>
    <x v="506"/>
    <x v="14"/>
    <x v="0"/>
    <x v="3"/>
    <s v="Avery Durable Binders"/>
    <x v="697"/>
    <n v="4"/>
    <n v="5.64"/>
    <x v="10"/>
    <x v="0"/>
  </r>
  <r>
    <n v="44514"/>
    <x v="507"/>
    <x v="0"/>
    <x v="0"/>
    <x v="0"/>
    <s v="Xerox 221"/>
    <x v="1315"/>
    <n v="4"/>
    <n v="7.26"/>
    <x v="10"/>
    <x v="0"/>
  </r>
  <r>
    <n v="44514"/>
    <x v="508"/>
    <x v="20"/>
    <x v="0"/>
    <x v="0"/>
    <s v="Adams Write n' Stick Phone Message Book, 11&quot; X 5 1/4&quot;, 200 Messages"/>
    <x v="21"/>
    <n v="2"/>
    <n v="5.23"/>
    <x v="10"/>
    <x v="0"/>
  </r>
  <r>
    <n v="44514"/>
    <x v="508"/>
    <x v="20"/>
    <x v="1"/>
    <x v="5"/>
    <s v="Safco Chair Connectors, 6/Carton"/>
    <x v="1316"/>
    <n v="2"/>
    <n v="14.62"/>
    <x v="10"/>
    <x v="0"/>
  </r>
  <r>
    <n v="44514"/>
    <x v="393"/>
    <x v="6"/>
    <x v="0"/>
    <x v="0"/>
    <s v="Xerox 192"/>
    <x v="331"/>
    <n v="5"/>
    <n v="15.55"/>
    <x v="10"/>
    <x v="0"/>
  </r>
  <r>
    <n v="44515"/>
    <x v="509"/>
    <x v="15"/>
    <x v="0"/>
    <x v="4"/>
    <s v="Newell 310"/>
    <x v="829"/>
    <n v="3"/>
    <n v="0.48"/>
    <x v="10"/>
    <x v="0"/>
  </r>
  <r>
    <n v="44515"/>
    <x v="509"/>
    <x v="15"/>
    <x v="0"/>
    <x v="12"/>
    <s v="1.7 Cubic Foot Compact &quot;Cube&quot; Office Refrigerators"/>
    <x v="1317"/>
    <n v="2"/>
    <n v="29.14"/>
    <x v="10"/>
    <x v="0"/>
  </r>
  <r>
    <n v="44515"/>
    <x v="509"/>
    <x v="15"/>
    <x v="0"/>
    <x v="0"/>
    <s v="Southworth 100% RÃ©sumÃ© Paper, 24lb."/>
    <x v="236"/>
    <n v="4"/>
    <n v="7.78"/>
    <x v="10"/>
    <x v="0"/>
  </r>
  <r>
    <n v="44515"/>
    <x v="510"/>
    <x v="0"/>
    <x v="0"/>
    <x v="10"/>
    <s v="Ames Color-File Green Diamond Border X-ray Mailers"/>
    <x v="1318"/>
    <n v="9"/>
    <n v="204.07"/>
    <x v="10"/>
    <x v="0"/>
  </r>
  <r>
    <n v="44515"/>
    <x v="228"/>
    <x v="3"/>
    <x v="1"/>
    <x v="8"/>
    <s v="Eldon 100 Class Desk Accessories"/>
    <x v="1319"/>
    <n v="3"/>
    <n v="3.24"/>
    <x v="10"/>
    <x v="0"/>
  </r>
  <r>
    <n v="44515"/>
    <x v="228"/>
    <x v="3"/>
    <x v="2"/>
    <x v="9"/>
    <s v="LogitechÂ P710e Mobile Speakerphone"/>
    <x v="1320"/>
    <n v="3"/>
    <n v="146.77000000000001"/>
    <x v="10"/>
    <x v="0"/>
  </r>
  <r>
    <n v="44515"/>
    <x v="228"/>
    <x v="3"/>
    <x v="0"/>
    <x v="14"/>
    <s v="Acme Box Cutter Scissors"/>
    <x v="1321"/>
    <n v="2"/>
    <n v="5.32"/>
    <x v="10"/>
    <x v="0"/>
  </r>
  <r>
    <n v="44515"/>
    <x v="134"/>
    <x v="3"/>
    <x v="0"/>
    <x v="14"/>
    <s v="Acme Value Line Scissors"/>
    <x v="1322"/>
    <n v="3"/>
    <n v="3.29"/>
    <x v="10"/>
    <x v="0"/>
  </r>
  <r>
    <n v="44516"/>
    <x v="511"/>
    <x v="42"/>
    <x v="2"/>
    <x v="6"/>
    <s v="Jawbone MINI JAMBOX Wireless Bluetooth Speaker"/>
    <x v="1323"/>
    <n v="2"/>
    <n v="10.96"/>
    <x v="10"/>
    <x v="0"/>
  </r>
  <r>
    <n v="44516"/>
    <x v="50"/>
    <x v="18"/>
    <x v="0"/>
    <x v="10"/>
    <s v="#10 White Business Envelopes,4 1/8 x 9 1/2"/>
    <x v="1005"/>
    <n v="5"/>
    <n v="36.82"/>
    <x v="10"/>
    <x v="0"/>
  </r>
  <r>
    <n v="44516"/>
    <x v="50"/>
    <x v="18"/>
    <x v="0"/>
    <x v="0"/>
    <s v="Xerox 1954"/>
    <x v="1214"/>
    <n v="6"/>
    <n v="14.26"/>
    <x v="10"/>
    <x v="0"/>
  </r>
  <r>
    <n v="44516"/>
    <x v="50"/>
    <x v="18"/>
    <x v="0"/>
    <x v="3"/>
    <s v="Wilson Jones Active Use Binders"/>
    <x v="852"/>
    <n v="4"/>
    <n v="14.27"/>
    <x v="10"/>
    <x v="0"/>
  </r>
  <r>
    <n v="44516"/>
    <x v="50"/>
    <x v="18"/>
    <x v="0"/>
    <x v="2"/>
    <s v="File Shuttle II and Handi-File, Black"/>
    <x v="1014"/>
    <n v="5"/>
    <n v="42.36"/>
    <x v="10"/>
    <x v="0"/>
  </r>
  <r>
    <n v="44516"/>
    <x v="512"/>
    <x v="3"/>
    <x v="0"/>
    <x v="1"/>
    <s v="Permanent Self-Adhesive File Folder Labels for Typewriters by Universal"/>
    <x v="1324"/>
    <n v="2"/>
    <n v="2.4"/>
    <x v="10"/>
    <x v="0"/>
  </r>
  <r>
    <n v="44516"/>
    <x v="513"/>
    <x v="1"/>
    <x v="1"/>
    <x v="5"/>
    <s v="SAFCO Optional Arm Kit for Workspace Cribbage Stacking Chair"/>
    <x v="1325"/>
    <n v="2"/>
    <n v="-1.07"/>
    <x v="10"/>
    <x v="0"/>
  </r>
  <r>
    <n v="44516"/>
    <x v="514"/>
    <x v="3"/>
    <x v="2"/>
    <x v="6"/>
    <s v="OtterBox Commuter Series Case - Samsung Galaxy S4"/>
    <x v="1326"/>
    <n v="4"/>
    <n v="-17.989999999999998"/>
    <x v="10"/>
    <x v="0"/>
  </r>
  <r>
    <n v="44516"/>
    <x v="514"/>
    <x v="3"/>
    <x v="1"/>
    <x v="11"/>
    <s v="Bush Andora Bookcase, Maple/Graphite Gray Finish"/>
    <x v="1327"/>
    <n v="3"/>
    <n v="25.2"/>
    <x v="10"/>
    <x v="0"/>
  </r>
  <r>
    <n v="44516"/>
    <x v="514"/>
    <x v="3"/>
    <x v="0"/>
    <x v="2"/>
    <s v="Space Solutions HD Industrial Steel Shelving."/>
    <x v="818"/>
    <n v="3"/>
    <n v="10.35"/>
    <x v="10"/>
    <x v="0"/>
  </r>
  <r>
    <n v="44517"/>
    <x v="114"/>
    <x v="28"/>
    <x v="1"/>
    <x v="5"/>
    <s v="Global Super Steno Chair"/>
    <x v="1328"/>
    <n v="5"/>
    <n v="81.58"/>
    <x v="10"/>
    <x v="0"/>
  </r>
  <r>
    <n v="44517"/>
    <x v="515"/>
    <x v="7"/>
    <x v="0"/>
    <x v="2"/>
    <s v="Smead Adjustable Mobile File Trolley with Lockable Top"/>
    <x v="1329"/>
    <n v="7"/>
    <n v="792.27"/>
    <x v="10"/>
    <x v="0"/>
  </r>
  <r>
    <n v="44517"/>
    <x v="515"/>
    <x v="7"/>
    <x v="1"/>
    <x v="8"/>
    <s v="Eldon Econocleat Chair Mats for Low Pile Carpets"/>
    <x v="1330"/>
    <n v="3"/>
    <n v="14.93"/>
    <x v="10"/>
    <x v="0"/>
  </r>
  <r>
    <n v="44517"/>
    <x v="515"/>
    <x v="7"/>
    <x v="0"/>
    <x v="4"/>
    <s v="Deluxe Chalkboard Eraser Cleaner"/>
    <x v="867"/>
    <n v="5"/>
    <n v="26.57"/>
    <x v="10"/>
    <x v="0"/>
  </r>
  <r>
    <n v="44517"/>
    <x v="93"/>
    <x v="3"/>
    <x v="2"/>
    <x v="9"/>
    <s v="Case Logic 2.4GHz Wireless Keyboard"/>
    <x v="287"/>
    <n v="2"/>
    <n v="8"/>
    <x v="10"/>
    <x v="0"/>
  </r>
  <r>
    <n v="44517"/>
    <x v="93"/>
    <x v="3"/>
    <x v="0"/>
    <x v="0"/>
    <s v="Xerox 1941"/>
    <x v="1331"/>
    <n v="7"/>
    <n v="352.3"/>
    <x v="10"/>
    <x v="0"/>
  </r>
  <r>
    <n v="44517"/>
    <x v="93"/>
    <x v="3"/>
    <x v="0"/>
    <x v="12"/>
    <s v="APC 7 Outlet Network SurgeArrest Surge Protector"/>
    <x v="1332"/>
    <n v="3"/>
    <n v="72.430000000000007"/>
    <x v="10"/>
    <x v="0"/>
  </r>
  <r>
    <n v="44517"/>
    <x v="516"/>
    <x v="2"/>
    <x v="0"/>
    <x v="0"/>
    <s v="Southworth 100% RÃ©sumÃ© Paper, 24lb."/>
    <x v="1333"/>
    <n v="2"/>
    <n v="3.89"/>
    <x v="10"/>
    <x v="0"/>
  </r>
  <r>
    <n v="44517"/>
    <x v="516"/>
    <x v="2"/>
    <x v="1"/>
    <x v="5"/>
    <s v="Hon Every-Day Series Multi-Task Chairs"/>
    <x v="693"/>
    <n v="5"/>
    <n v="-93.99"/>
    <x v="10"/>
    <x v="0"/>
  </r>
  <r>
    <n v="44517"/>
    <x v="92"/>
    <x v="0"/>
    <x v="0"/>
    <x v="10"/>
    <s v="Redi-Strip #10 Envelopes, 4 1/8 x 9 1/2"/>
    <x v="1334"/>
    <n v="3"/>
    <n v="2.48"/>
    <x v="10"/>
    <x v="0"/>
  </r>
  <r>
    <n v="44517"/>
    <x v="217"/>
    <x v="20"/>
    <x v="0"/>
    <x v="3"/>
    <s v="GBC DocuBind TL300 Electric Binding System"/>
    <x v="1335"/>
    <n v="3"/>
    <n v="726.56"/>
    <x v="10"/>
    <x v="0"/>
  </r>
  <r>
    <n v="44517"/>
    <x v="217"/>
    <x v="20"/>
    <x v="1"/>
    <x v="11"/>
    <s v="DMI Eclipse Executive Suite Bookcases"/>
    <x v="1336"/>
    <n v="10"/>
    <n v="-50.1"/>
    <x v="10"/>
    <x v="0"/>
  </r>
  <r>
    <n v="44517"/>
    <x v="215"/>
    <x v="20"/>
    <x v="0"/>
    <x v="0"/>
    <s v="Southworth 100% Cotton The Best Paper"/>
    <x v="1337"/>
    <n v="3"/>
    <n v="17.22"/>
    <x v="10"/>
    <x v="0"/>
  </r>
  <r>
    <n v="44518"/>
    <x v="517"/>
    <x v="26"/>
    <x v="1"/>
    <x v="13"/>
    <s v="Bevis Rectangular Conference Tables"/>
    <x v="1338"/>
    <n v="2"/>
    <n v="-99.27"/>
    <x v="10"/>
    <x v="0"/>
  </r>
  <r>
    <n v="44518"/>
    <x v="517"/>
    <x v="26"/>
    <x v="0"/>
    <x v="0"/>
    <s v="Geographics Note Cards, Blank, White, 8 1/2&quot; x 11&quot;"/>
    <x v="1339"/>
    <n v="4"/>
    <n v="12.53"/>
    <x v="10"/>
    <x v="0"/>
  </r>
  <r>
    <n v="44518"/>
    <x v="246"/>
    <x v="2"/>
    <x v="0"/>
    <x v="3"/>
    <s v="Fellowes PB200 Plastic Comb Binding Machine"/>
    <x v="1340"/>
    <n v="1"/>
    <n v="-40.799999999999997"/>
    <x v="10"/>
    <x v="0"/>
  </r>
  <r>
    <n v="44518"/>
    <x v="246"/>
    <x v="2"/>
    <x v="0"/>
    <x v="2"/>
    <s v="Safco Industrial Wire Shelving"/>
    <x v="1341"/>
    <n v="1"/>
    <n v="-16.32"/>
    <x v="10"/>
    <x v="0"/>
  </r>
  <r>
    <n v="44518"/>
    <x v="246"/>
    <x v="2"/>
    <x v="2"/>
    <x v="6"/>
    <s v="Motorola Droid Maxx"/>
    <x v="1220"/>
    <n v="6"/>
    <n v="-107.99"/>
    <x v="10"/>
    <x v="0"/>
  </r>
  <r>
    <n v="44518"/>
    <x v="246"/>
    <x v="2"/>
    <x v="1"/>
    <x v="8"/>
    <s v="Eldon Executive Woodline II Desk Accessories, Mahogany"/>
    <x v="1342"/>
    <n v="3"/>
    <n v="5.28"/>
    <x v="10"/>
    <x v="0"/>
  </r>
  <r>
    <n v="44518"/>
    <x v="246"/>
    <x v="2"/>
    <x v="0"/>
    <x v="3"/>
    <s v="Peel &amp; Stick Add-On Corner Pockets"/>
    <x v="1343"/>
    <n v="3"/>
    <n v="-1.43"/>
    <x v="10"/>
    <x v="0"/>
  </r>
  <r>
    <n v="44518"/>
    <x v="518"/>
    <x v="1"/>
    <x v="0"/>
    <x v="3"/>
    <s v="GBC White Gloss Covers, Plain Front"/>
    <x v="1082"/>
    <n v="5"/>
    <n v="-23.89"/>
    <x v="10"/>
    <x v="0"/>
  </r>
  <r>
    <n v="44518"/>
    <x v="493"/>
    <x v="10"/>
    <x v="0"/>
    <x v="3"/>
    <s v="Pressboard Hanging Data Binders for Unburst Sheets"/>
    <x v="211"/>
    <n v="8"/>
    <n v="-8.66"/>
    <x v="10"/>
    <x v="0"/>
  </r>
  <r>
    <n v="44518"/>
    <x v="493"/>
    <x v="10"/>
    <x v="2"/>
    <x v="6"/>
    <s v="PNY Rapid USB Car Charger - Black"/>
    <x v="1344"/>
    <n v="2"/>
    <n v="-2.08"/>
    <x v="10"/>
    <x v="0"/>
  </r>
  <r>
    <n v="44518"/>
    <x v="130"/>
    <x v="27"/>
    <x v="0"/>
    <x v="0"/>
    <s v="Adams &quot;While You Were Out&quot; Message Pads"/>
    <x v="1345"/>
    <n v="7"/>
    <n v="9.89"/>
    <x v="10"/>
    <x v="0"/>
  </r>
  <r>
    <n v="44518"/>
    <x v="519"/>
    <x v="1"/>
    <x v="1"/>
    <x v="13"/>
    <s v="BPI Conference Tables"/>
    <x v="1346"/>
    <n v="4"/>
    <n v="-175.26"/>
    <x v="10"/>
    <x v="0"/>
  </r>
  <r>
    <n v="44518"/>
    <x v="519"/>
    <x v="1"/>
    <x v="1"/>
    <x v="8"/>
    <s v="Dana Swing-Arm Lamps"/>
    <x v="1009"/>
    <n v="2"/>
    <n v="-7.48"/>
    <x v="10"/>
    <x v="0"/>
  </r>
  <r>
    <n v="44518"/>
    <x v="519"/>
    <x v="1"/>
    <x v="1"/>
    <x v="11"/>
    <s v="Hon 4-Shelf Metal Bookcases"/>
    <x v="1347"/>
    <n v="6"/>
    <n v="-30.29"/>
    <x v="10"/>
    <x v="0"/>
  </r>
  <r>
    <n v="44518"/>
    <x v="519"/>
    <x v="1"/>
    <x v="0"/>
    <x v="3"/>
    <s v="Wilson Jones Turn Tabs Binder Tool for Ring Binders"/>
    <x v="18"/>
    <n v="3"/>
    <n v="-4.92"/>
    <x v="10"/>
    <x v="0"/>
  </r>
  <r>
    <n v="44518"/>
    <x v="519"/>
    <x v="1"/>
    <x v="0"/>
    <x v="2"/>
    <s v="Fellowes Stor/Drawer Steel Plus Storage Drawers"/>
    <x v="1348"/>
    <n v="5"/>
    <n v="-66.8"/>
    <x v="10"/>
    <x v="0"/>
  </r>
  <r>
    <n v="44518"/>
    <x v="520"/>
    <x v="28"/>
    <x v="0"/>
    <x v="2"/>
    <s v="Fellowes Desktop Hanging File Manager"/>
    <x v="1349"/>
    <n v="5"/>
    <n v="16.79"/>
    <x v="10"/>
    <x v="0"/>
  </r>
  <r>
    <n v="44518"/>
    <x v="521"/>
    <x v="21"/>
    <x v="1"/>
    <x v="5"/>
    <s v="Office Star - Mesh Screen back chair with Vinyl seat"/>
    <x v="1350"/>
    <n v="3"/>
    <n v="43.22"/>
    <x v="10"/>
    <x v="0"/>
  </r>
  <r>
    <n v="44518"/>
    <x v="223"/>
    <x v="22"/>
    <x v="1"/>
    <x v="8"/>
    <s v="Howard Miller 13-1/2&quot; Diameter Rosebrook Wall Clock"/>
    <x v="1351"/>
    <n v="2"/>
    <n v="55.02"/>
    <x v="10"/>
    <x v="0"/>
  </r>
  <r>
    <n v="44518"/>
    <x v="223"/>
    <x v="22"/>
    <x v="1"/>
    <x v="13"/>
    <s v="Lesro Round Back Collection Coffee Table, End Table"/>
    <x v="1352"/>
    <n v="4"/>
    <n v="94.93"/>
    <x v="10"/>
    <x v="0"/>
  </r>
  <r>
    <n v="44519"/>
    <x v="508"/>
    <x v="8"/>
    <x v="2"/>
    <x v="6"/>
    <s v="AT&amp;T TR1909W"/>
    <x v="1353"/>
    <n v="4"/>
    <n v="131.03"/>
    <x v="10"/>
    <x v="0"/>
  </r>
  <r>
    <n v="44519"/>
    <x v="508"/>
    <x v="8"/>
    <x v="2"/>
    <x v="6"/>
    <s v="Nokia Lumia 521 (T-Mobile)"/>
    <x v="33"/>
    <n v="5"/>
    <n v="41.99"/>
    <x v="10"/>
    <x v="0"/>
  </r>
  <r>
    <n v="44519"/>
    <x v="508"/>
    <x v="8"/>
    <x v="2"/>
    <x v="9"/>
    <s v="HP Standard 104 key PS/2 Keyboard"/>
    <x v="1354"/>
    <n v="2"/>
    <n v="7.25"/>
    <x v="10"/>
    <x v="0"/>
  </r>
  <r>
    <n v="44519"/>
    <x v="522"/>
    <x v="20"/>
    <x v="2"/>
    <x v="6"/>
    <s v="Apple iPhone 5"/>
    <x v="1355"/>
    <n v="7"/>
    <n v="1228.18"/>
    <x v="10"/>
    <x v="0"/>
  </r>
  <r>
    <n v="44519"/>
    <x v="523"/>
    <x v="7"/>
    <x v="0"/>
    <x v="1"/>
    <s v="Avery 480"/>
    <x v="1356"/>
    <n v="6"/>
    <n v="10.8"/>
    <x v="10"/>
    <x v="0"/>
  </r>
  <r>
    <n v="44519"/>
    <x v="523"/>
    <x v="7"/>
    <x v="0"/>
    <x v="1"/>
    <s v="Avery 499"/>
    <x v="967"/>
    <n v="2"/>
    <n v="4.58"/>
    <x v="10"/>
    <x v="0"/>
  </r>
  <r>
    <n v="44519"/>
    <x v="523"/>
    <x v="7"/>
    <x v="0"/>
    <x v="3"/>
    <s v="Premier Elliptical Ring Binder, Black"/>
    <x v="1357"/>
    <n v="7"/>
    <n v="102.28"/>
    <x v="10"/>
    <x v="0"/>
  </r>
  <r>
    <n v="44519"/>
    <x v="523"/>
    <x v="7"/>
    <x v="1"/>
    <x v="11"/>
    <s v="Sauder Inglewood Library Bookcases"/>
    <x v="1358"/>
    <n v="6"/>
    <n v="235.95"/>
    <x v="10"/>
    <x v="0"/>
  </r>
  <r>
    <n v="44519"/>
    <x v="524"/>
    <x v="27"/>
    <x v="0"/>
    <x v="0"/>
    <s v="Xerox 1888"/>
    <x v="920"/>
    <n v="3"/>
    <n v="79.89"/>
    <x v="10"/>
    <x v="0"/>
  </r>
  <r>
    <n v="44519"/>
    <x v="131"/>
    <x v="2"/>
    <x v="2"/>
    <x v="9"/>
    <s v="Logitech G105 Gaming Keyboard"/>
    <x v="1359"/>
    <n v="1"/>
    <n v="-1.19"/>
    <x v="10"/>
    <x v="0"/>
  </r>
  <r>
    <n v="44519"/>
    <x v="363"/>
    <x v="28"/>
    <x v="0"/>
    <x v="2"/>
    <s v="Recycled Steel Personal File for Standard File Folders"/>
    <x v="1360"/>
    <n v="4"/>
    <n v="57.5"/>
    <x v="10"/>
    <x v="0"/>
  </r>
  <r>
    <n v="44519"/>
    <x v="363"/>
    <x v="28"/>
    <x v="2"/>
    <x v="6"/>
    <s v="Jabra SPEAK 410"/>
    <x v="1361"/>
    <n v="3"/>
    <n v="78.95"/>
    <x v="10"/>
    <x v="0"/>
  </r>
  <r>
    <n v="44519"/>
    <x v="525"/>
    <x v="2"/>
    <x v="0"/>
    <x v="0"/>
    <s v="1/4 Fold Party Design Invitations &amp; White Envelopes, 24 8-1/2&quot; X 11&quot; Cards, 25 Env./Pack"/>
    <x v="911"/>
    <n v="1"/>
    <n v="1.98"/>
    <x v="10"/>
    <x v="0"/>
  </r>
  <r>
    <n v="44520"/>
    <x v="121"/>
    <x v="20"/>
    <x v="0"/>
    <x v="10"/>
    <s v="Peel &amp; Seel Recycled Catalog Envelopes, Brown"/>
    <x v="1362"/>
    <n v="3"/>
    <n v="17.37"/>
    <x v="10"/>
    <x v="0"/>
  </r>
  <r>
    <n v="44520"/>
    <x v="121"/>
    <x v="20"/>
    <x v="2"/>
    <x v="6"/>
    <s v="Toshiba IPT2010-SD IPÂ Telephone"/>
    <x v="1363"/>
    <n v="6"/>
    <n v="216.82"/>
    <x v="10"/>
    <x v="0"/>
  </r>
  <r>
    <n v="44520"/>
    <x v="121"/>
    <x v="20"/>
    <x v="0"/>
    <x v="3"/>
    <s v="3M Organizer Strips"/>
    <x v="115"/>
    <n v="3"/>
    <n v="4.54"/>
    <x v="10"/>
    <x v="0"/>
  </r>
  <r>
    <n v="44520"/>
    <x v="121"/>
    <x v="20"/>
    <x v="0"/>
    <x v="0"/>
    <s v="Xerox 2000"/>
    <x v="499"/>
    <n v="4"/>
    <n v="12.44"/>
    <x v="10"/>
    <x v="0"/>
  </r>
  <r>
    <n v="44521"/>
    <x v="526"/>
    <x v="5"/>
    <x v="2"/>
    <x v="6"/>
    <s v="Logitech B530 USBÂ HeadsetÂ -Â headsetÂ - Full size, Binaural"/>
    <x v="1364"/>
    <n v="1"/>
    <n v="9.99"/>
    <x v="10"/>
    <x v="0"/>
  </r>
  <r>
    <n v="44521"/>
    <x v="526"/>
    <x v="5"/>
    <x v="0"/>
    <x v="0"/>
    <s v="Multicolor Computer Printout Paper"/>
    <x v="1365"/>
    <n v="6"/>
    <n v="301.97000000000003"/>
    <x v="10"/>
    <x v="0"/>
  </r>
  <r>
    <n v="44521"/>
    <x v="526"/>
    <x v="5"/>
    <x v="0"/>
    <x v="2"/>
    <s v="Space Solutions Commercial Steel Shelving"/>
    <x v="1366"/>
    <n v="3"/>
    <n v="9.6999999999999993"/>
    <x v="10"/>
    <x v="0"/>
  </r>
  <r>
    <n v="44521"/>
    <x v="526"/>
    <x v="5"/>
    <x v="0"/>
    <x v="4"/>
    <s v="Newell 322"/>
    <x v="943"/>
    <n v="3"/>
    <n v="1.47"/>
    <x v="10"/>
    <x v="0"/>
  </r>
  <r>
    <n v="44521"/>
    <x v="523"/>
    <x v="3"/>
    <x v="0"/>
    <x v="0"/>
    <s v="Xerox 211"/>
    <x v="115"/>
    <n v="2"/>
    <n v="6.22"/>
    <x v="10"/>
    <x v="0"/>
  </r>
  <r>
    <n v="44521"/>
    <x v="527"/>
    <x v="0"/>
    <x v="0"/>
    <x v="10"/>
    <s v="Poly String Tie Envelopes"/>
    <x v="1367"/>
    <n v="1"/>
    <n v="0.55000000000000004"/>
    <x v="10"/>
    <x v="0"/>
  </r>
  <r>
    <n v="44521"/>
    <x v="527"/>
    <x v="0"/>
    <x v="2"/>
    <x v="6"/>
    <s v="RCA Visys Integrated PBX 8-Line Router"/>
    <x v="1368"/>
    <n v="5"/>
    <n v="16.75"/>
    <x v="10"/>
    <x v="0"/>
  </r>
  <r>
    <n v="44521"/>
    <x v="528"/>
    <x v="3"/>
    <x v="0"/>
    <x v="0"/>
    <s v="Tops Wirebound Message Log Books"/>
    <x v="1369"/>
    <n v="2"/>
    <n v="3.03"/>
    <x v="10"/>
    <x v="0"/>
  </r>
  <r>
    <n v="44521"/>
    <x v="528"/>
    <x v="3"/>
    <x v="2"/>
    <x v="9"/>
    <s v="Kensington Expert Mouse Optical USB Trackball for PC or Mac"/>
    <x v="1370"/>
    <n v="1"/>
    <n v="28.5"/>
    <x v="10"/>
    <x v="0"/>
  </r>
  <r>
    <n v="44522"/>
    <x v="141"/>
    <x v="4"/>
    <x v="0"/>
    <x v="10"/>
    <s v="Fashion Color Clasp Envelopes"/>
    <x v="1371"/>
    <n v="3"/>
    <n v="7.95"/>
    <x v="10"/>
    <x v="0"/>
  </r>
  <r>
    <n v="44522"/>
    <x v="141"/>
    <x v="4"/>
    <x v="0"/>
    <x v="3"/>
    <s v="GBC ProClick Punch Binding System"/>
    <x v="1372"/>
    <n v="5"/>
    <n v="156.75"/>
    <x v="10"/>
    <x v="0"/>
  </r>
  <r>
    <n v="44522"/>
    <x v="141"/>
    <x v="4"/>
    <x v="0"/>
    <x v="10"/>
    <s v="Staple envelope"/>
    <x v="21"/>
    <n v="2"/>
    <n v="5.34"/>
    <x v="10"/>
    <x v="0"/>
  </r>
  <r>
    <n v="44522"/>
    <x v="141"/>
    <x v="4"/>
    <x v="0"/>
    <x v="12"/>
    <s v="Holmes Harmony HEPA Air Purifier for 17 x 20 Room"/>
    <x v="1373"/>
    <n v="3"/>
    <n v="290.3"/>
    <x v="10"/>
    <x v="0"/>
  </r>
  <r>
    <n v="44522"/>
    <x v="216"/>
    <x v="0"/>
    <x v="0"/>
    <x v="3"/>
    <s v="Wilson Jones Heavy-Duty Casebound Ring Binders with Metal Hinges"/>
    <x v="1374"/>
    <n v="1"/>
    <n v="-11.08"/>
    <x v="10"/>
    <x v="0"/>
  </r>
  <r>
    <n v="44522"/>
    <x v="529"/>
    <x v="1"/>
    <x v="0"/>
    <x v="3"/>
    <s v="Avery Framed View Binder, EZD Ring (Locking), Navy, 1 1/2&quot;"/>
    <x v="1375"/>
    <n v="5"/>
    <n v="-16.47"/>
    <x v="10"/>
    <x v="0"/>
  </r>
  <r>
    <n v="44522"/>
    <x v="530"/>
    <x v="3"/>
    <x v="0"/>
    <x v="0"/>
    <s v="Xerox 1895"/>
    <x v="1376"/>
    <n v="9"/>
    <n v="24.22"/>
    <x v="10"/>
    <x v="0"/>
  </r>
  <r>
    <n v="44522"/>
    <x v="357"/>
    <x v="4"/>
    <x v="0"/>
    <x v="0"/>
    <s v="Hammermill CopyPlus Copy Paper (20Lb. and 84 Bright)"/>
    <x v="967"/>
    <n v="2"/>
    <n v="4.88"/>
    <x v="10"/>
    <x v="0"/>
  </r>
  <r>
    <n v="44523"/>
    <x v="42"/>
    <x v="3"/>
    <x v="1"/>
    <x v="5"/>
    <s v="Novimex Swivel Fabric Task Chair"/>
    <x v="1044"/>
    <n v="5"/>
    <n v="-67.94"/>
    <x v="10"/>
    <x v="0"/>
  </r>
  <r>
    <n v="44523"/>
    <x v="42"/>
    <x v="3"/>
    <x v="0"/>
    <x v="10"/>
    <s v="Pastel Pink Envelopes"/>
    <x v="617"/>
    <n v="3"/>
    <n v="10.48"/>
    <x v="10"/>
    <x v="0"/>
  </r>
  <r>
    <n v="44523"/>
    <x v="42"/>
    <x v="3"/>
    <x v="2"/>
    <x v="9"/>
    <s v="Belkin F8E887 USB Wired Ergonomic Keyboard"/>
    <x v="1377"/>
    <n v="1"/>
    <n v="6.3"/>
    <x v="10"/>
    <x v="0"/>
  </r>
  <r>
    <n v="44523"/>
    <x v="42"/>
    <x v="3"/>
    <x v="1"/>
    <x v="5"/>
    <s v="Safco Contoured Stacking Chairs"/>
    <x v="1378"/>
    <n v="2"/>
    <n v="23.84"/>
    <x v="10"/>
    <x v="0"/>
  </r>
  <r>
    <n v="44523"/>
    <x v="341"/>
    <x v="0"/>
    <x v="0"/>
    <x v="1"/>
    <s v="Alphabetical Labels for Top Tab Filing"/>
    <x v="1379"/>
    <n v="2"/>
    <n v="8.8800000000000008"/>
    <x v="10"/>
    <x v="0"/>
  </r>
  <r>
    <n v="44523"/>
    <x v="531"/>
    <x v="0"/>
    <x v="1"/>
    <x v="8"/>
    <s v="Staple-based wall hangings"/>
    <x v="1380"/>
    <n v="2"/>
    <n v="-2.5499999999999998"/>
    <x v="10"/>
    <x v="0"/>
  </r>
  <r>
    <n v="44523"/>
    <x v="531"/>
    <x v="0"/>
    <x v="0"/>
    <x v="12"/>
    <s v="Conquest 14 Commercial Heavy-Duty Upright Vacuum, Collection System, Accessory Kit"/>
    <x v="1381"/>
    <n v="3"/>
    <n v="-87.15"/>
    <x v="10"/>
    <x v="0"/>
  </r>
  <r>
    <n v="44523"/>
    <x v="531"/>
    <x v="0"/>
    <x v="2"/>
    <x v="9"/>
    <s v="Maxell 4.7GB DVD-R 5/Pack"/>
    <x v="1382"/>
    <n v="7"/>
    <n v="1.66"/>
    <x v="10"/>
    <x v="0"/>
  </r>
  <r>
    <n v="44523"/>
    <x v="532"/>
    <x v="2"/>
    <x v="0"/>
    <x v="10"/>
    <s v="Quality Park Security Envelopes"/>
    <x v="1383"/>
    <n v="3"/>
    <n v="21.2"/>
    <x v="10"/>
    <x v="0"/>
  </r>
  <r>
    <n v="44523"/>
    <x v="533"/>
    <x v="12"/>
    <x v="0"/>
    <x v="10"/>
    <s v="Staple envelope"/>
    <x v="1098"/>
    <n v="3"/>
    <n v="8.8000000000000007"/>
    <x v="10"/>
    <x v="0"/>
  </r>
  <r>
    <n v="44523"/>
    <x v="105"/>
    <x v="0"/>
    <x v="1"/>
    <x v="5"/>
    <s v="Office Star Flex Back Scooter Chair with White Frame"/>
    <x v="1384"/>
    <n v="2"/>
    <n v="-35.51"/>
    <x v="10"/>
    <x v="0"/>
  </r>
  <r>
    <n v="44523"/>
    <x v="239"/>
    <x v="14"/>
    <x v="0"/>
    <x v="3"/>
    <s v="UniKeep View Case Binders"/>
    <x v="1385"/>
    <n v="3"/>
    <n v="6.75"/>
    <x v="10"/>
    <x v="0"/>
  </r>
  <r>
    <n v="44524"/>
    <x v="534"/>
    <x v="10"/>
    <x v="0"/>
    <x v="4"/>
    <s v="Crayola Colored Pencils"/>
    <x v="1386"/>
    <n v="1"/>
    <n v="0.43"/>
    <x v="10"/>
    <x v="0"/>
  </r>
  <r>
    <n v="44524"/>
    <x v="339"/>
    <x v="3"/>
    <x v="1"/>
    <x v="8"/>
    <s v="Eldon Delta Triangular Chair Mat, 52&quot; x 58&quot;, Clear"/>
    <x v="1387"/>
    <n v="4"/>
    <n v="27.31"/>
    <x v="10"/>
    <x v="0"/>
  </r>
  <r>
    <n v="44524"/>
    <x v="535"/>
    <x v="22"/>
    <x v="0"/>
    <x v="3"/>
    <s v="Peel &amp; Stick Add-On Corner Pockets"/>
    <x v="1388"/>
    <n v="7"/>
    <n v="4.2300000000000004"/>
    <x v="10"/>
    <x v="0"/>
  </r>
  <r>
    <n v="44524"/>
    <x v="535"/>
    <x v="22"/>
    <x v="0"/>
    <x v="2"/>
    <s v="Carina 42&quot;Hx23 3/4&quot;W Media Storage Unit"/>
    <x v="914"/>
    <n v="6"/>
    <n v="9.7200000000000006"/>
    <x v="10"/>
    <x v="0"/>
  </r>
  <r>
    <n v="44524"/>
    <x v="535"/>
    <x v="22"/>
    <x v="0"/>
    <x v="0"/>
    <s v="Xerox 220"/>
    <x v="499"/>
    <n v="4"/>
    <n v="12.44"/>
    <x v="10"/>
    <x v="0"/>
  </r>
  <r>
    <n v="44524"/>
    <x v="535"/>
    <x v="22"/>
    <x v="0"/>
    <x v="2"/>
    <s v="Recycled Data-Pak for Archival Bound Computer Printouts, 12-1/2 x 12-1/2 x 16"/>
    <x v="1389"/>
    <n v="2"/>
    <n v="53.35"/>
    <x v="10"/>
    <x v="0"/>
  </r>
  <r>
    <n v="44524"/>
    <x v="77"/>
    <x v="24"/>
    <x v="2"/>
    <x v="9"/>
    <s v="Memorex Mini Travel Drive 16 GB USB 2.0 Flash Drive"/>
    <x v="1390"/>
    <n v="7"/>
    <n v="43.6"/>
    <x v="10"/>
    <x v="0"/>
  </r>
  <r>
    <n v="44524"/>
    <x v="15"/>
    <x v="3"/>
    <x v="1"/>
    <x v="5"/>
    <s v="Global Leather &amp; Oak Executive Chair, Burgundy"/>
    <x v="1391"/>
    <n v="1"/>
    <n v="-18.11"/>
    <x v="10"/>
    <x v="0"/>
  </r>
  <r>
    <n v="44524"/>
    <x v="168"/>
    <x v="10"/>
    <x v="2"/>
    <x v="6"/>
    <s v="Samsung Galaxy S III - 16GB - pebble blue (T-Mobile)"/>
    <x v="1392"/>
    <n v="5"/>
    <n v="-209.99"/>
    <x v="10"/>
    <x v="0"/>
  </r>
  <r>
    <n v="44524"/>
    <x v="168"/>
    <x v="10"/>
    <x v="1"/>
    <x v="5"/>
    <s v="Global Executive Mid-Back Manager's Chair"/>
    <x v="1393"/>
    <n v="3"/>
    <n v="-34.92"/>
    <x v="10"/>
    <x v="0"/>
  </r>
  <r>
    <n v="44524"/>
    <x v="536"/>
    <x v="1"/>
    <x v="0"/>
    <x v="2"/>
    <s v="Fellowes Super Stor/Drawer Files"/>
    <x v="1394"/>
    <n v="5"/>
    <n v="-8.08"/>
    <x v="10"/>
    <x v="0"/>
  </r>
  <r>
    <n v="44524"/>
    <x v="433"/>
    <x v="10"/>
    <x v="1"/>
    <x v="8"/>
    <s v="Eldon 200 Class Desk Accessories, Burgundy"/>
    <x v="1395"/>
    <n v="7"/>
    <n v="9.67"/>
    <x v="10"/>
    <x v="0"/>
  </r>
  <r>
    <n v="44524"/>
    <x v="433"/>
    <x v="10"/>
    <x v="2"/>
    <x v="6"/>
    <s v="Samsung Galaxy S4"/>
    <x v="1396"/>
    <n v="4"/>
    <n v="-250.4"/>
    <x v="10"/>
    <x v="0"/>
  </r>
  <r>
    <n v="44524"/>
    <x v="537"/>
    <x v="14"/>
    <x v="0"/>
    <x v="4"/>
    <s v="Hunt PowerHouse Electric Pencil Sharpener, Blue"/>
    <x v="1397"/>
    <n v="4"/>
    <n v="45.58"/>
    <x v="10"/>
    <x v="0"/>
  </r>
  <r>
    <n v="44524"/>
    <x v="537"/>
    <x v="14"/>
    <x v="0"/>
    <x v="1"/>
    <s v="Dot Matrix Printer Tape Reel Labels, White, 5000/Box"/>
    <x v="1398"/>
    <n v="2"/>
    <n v="96.34"/>
    <x v="10"/>
    <x v="0"/>
  </r>
  <r>
    <n v="44524"/>
    <x v="537"/>
    <x v="14"/>
    <x v="0"/>
    <x v="0"/>
    <s v="Xerox 1885"/>
    <x v="1399"/>
    <n v="3"/>
    <n v="69.180000000000007"/>
    <x v="10"/>
    <x v="0"/>
  </r>
  <r>
    <n v="44524"/>
    <x v="537"/>
    <x v="14"/>
    <x v="0"/>
    <x v="0"/>
    <s v="Adams Telephone Message Book w/Frequently-Called Numbers Space, 400 Messages per Book"/>
    <x v="763"/>
    <n v="2"/>
    <n v="7.98"/>
    <x v="10"/>
    <x v="0"/>
  </r>
  <r>
    <n v="44524"/>
    <x v="187"/>
    <x v="6"/>
    <x v="1"/>
    <x v="8"/>
    <s v="Executive Impressions 14&quot;"/>
    <x v="1400"/>
    <n v="5"/>
    <n v="48.91"/>
    <x v="10"/>
    <x v="0"/>
  </r>
  <r>
    <n v="44524"/>
    <x v="538"/>
    <x v="10"/>
    <x v="0"/>
    <x v="3"/>
    <s v="Acco Expandable Hanging Binders"/>
    <x v="1401"/>
    <n v="3"/>
    <n v="-4.59"/>
    <x v="10"/>
    <x v="0"/>
  </r>
  <r>
    <n v="44525"/>
    <x v="230"/>
    <x v="3"/>
    <x v="0"/>
    <x v="12"/>
    <s v="Belkin F9G930V10-GRY 9 Outlet Surge"/>
    <x v="1402"/>
    <n v="6"/>
    <n v="93.06"/>
    <x v="10"/>
    <x v="0"/>
  </r>
  <r>
    <n v="44525"/>
    <x v="230"/>
    <x v="3"/>
    <x v="1"/>
    <x v="8"/>
    <s v="Staple-based wall hangings"/>
    <x v="1403"/>
    <n v="3"/>
    <n v="10.51"/>
    <x v="10"/>
    <x v="0"/>
  </r>
  <r>
    <n v="44525"/>
    <x v="230"/>
    <x v="3"/>
    <x v="0"/>
    <x v="0"/>
    <s v="Wirebound Message Books, Four 2 3/4 x 5 White Forms per Page"/>
    <x v="1404"/>
    <n v="4"/>
    <n v="12.31"/>
    <x v="10"/>
    <x v="0"/>
  </r>
  <r>
    <n v="44525"/>
    <x v="212"/>
    <x v="0"/>
    <x v="2"/>
    <x v="9"/>
    <s v="KeyTronicÂ KT400U2 -Â KeyboardÂ - Black"/>
    <x v="1405"/>
    <n v="3"/>
    <n v="0"/>
    <x v="10"/>
    <x v="0"/>
  </r>
  <r>
    <n v="44525"/>
    <x v="212"/>
    <x v="0"/>
    <x v="0"/>
    <x v="1"/>
    <s v="Avery 520"/>
    <x v="1406"/>
    <n v="1"/>
    <n v="0.88"/>
    <x v="10"/>
    <x v="0"/>
  </r>
  <r>
    <n v="44525"/>
    <x v="212"/>
    <x v="0"/>
    <x v="1"/>
    <x v="13"/>
    <s v="Bretford CR4500 Series Slim Rectangular Table"/>
    <x v="1407"/>
    <n v="5"/>
    <n v="-121.87"/>
    <x v="10"/>
    <x v="0"/>
  </r>
  <r>
    <n v="44525"/>
    <x v="212"/>
    <x v="0"/>
    <x v="0"/>
    <x v="1"/>
    <s v="Avery 52"/>
    <x v="1408"/>
    <n v="2"/>
    <n v="1.99"/>
    <x v="10"/>
    <x v="0"/>
  </r>
  <r>
    <n v="44525"/>
    <x v="212"/>
    <x v="0"/>
    <x v="0"/>
    <x v="0"/>
    <s v="Southworth 25% Cotton Granite Paper &amp; Envelopes"/>
    <x v="1210"/>
    <n v="3"/>
    <n v="5.0999999999999996"/>
    <x v="10"/>
    <x v="0"/>
  </r>
  <r>
    <n v="44525"/>
    <x v="212"/>
    <x v="0"/>
    <x v="1"/>
    <x v="8"/>
    <s v="Master Caster Door Stop, Brown"/>
    <x v="675"/>
    <n v="3"/>
    <n v="-3.96"/>
    <x v="10"/>
    <x v="0"/>
  </r>
  <r>
    <n v="44525"/>
    <x v="539"/>
    <x v="43"/>
    <x v="1"/>
    <x v="8"/>
    <s v="DAX Black Cherry Wood-Tone Poster Frame"/>
    <x v="1409"/>
    <n v="2"/>
    <n v="20.12"/>
    <x v="10"/>
    <x v="0"/>
  </r>
  <r>
    <n v="44525"/>
    <x v="109"/>
    <x v="20"/>
    <x v="0"/>
    <x v="2"/>
    <s v="Tennsco Snap-Together Open Shelving Units, Starter Sets and Add-On Units"/>
    <x v="1410"/>
    <n v="4"/>
    <n v="55.9"/>
    <x v="10"/>
    <x v="0"/>
  </r>
  <r>
    <n v="44525"/>
    <x v="109"/>
    <x v="20"/>
    <x v="1"/>
    <x v="11"/>
    <s v="Sauder Camden County Collection Libraries, Planked Cherry Finish"/>
    <x v="1411"/>
    <n v="3"/>
    <n v="-37.94"/>
    <x v="10"/>
    <x v="0"/>
  </r>
  <r>
    <n v="44525"/>
    <x v="145"/>
    <x v="11"/>
    <x v="0"/>
    <x v="4"/>
    <s v="Dixon Ticonderoga Core-Lock Colored Pencils"/>
    <x v="1412"/>
    <n v="7"/>
    <n v="8.2899999999999991"/>
    <x v="10"/>
    <x v="0"/>
  </r>
  <r>
    <n v="44525"/>
    <x v="77"/>
    <x v="3"/>
    <x v="2"/>
    <x v="6"/>
    <s v="Logitech Mobile Speakerphone P710e -Â speaker phone"/>
    <x v="1413"/>
    <n v="5"/>
    <n v="47.24"/>
    <x v="10"/>
    <x v="0"/>
  </r>
  <r>
    <n v="44525"/>
    <x v="77"/>
    <x v="3"/>
    <x v="1"/>
    <x v="5"/>
    <s v="Hon GuestStacker Chair"/>
    <x v="1414"/>
    <n v="4"/>
    <n v="54.4"/>
    <x v="10"/>
    <x v="0"/>
  </r>
  <r>
    <n v="44525"/>
    <x v="77"/>
    <x v="3"/>
    <x v="0"/>
    <x v="4"/>
    <s v="Staples in misc. colors"/>
    <x v="1415"/>
    <n v="3"/>
    <n v="2.6"/>
    <x v="10"/>
    <x v="0"/>
  </r>
  <r>
    <n v="44526"/>
    <x v="264"/>
    <x v="0"/>
    <x v="1"/>
    <x v="8"/>
    <s v="Eldon Expressions Desk Accessory, Wood Pencil Holder, Oak"/>
    <x v="50"/>
    <n v="5"/>
    <n v="-14.48"/>
    <x v="10"/>
    <x v="0"/>
  </r>
  <r>
    <n v="44526"/>
    <x v="262"/>
    <x v="11"/>
    <x v="0"/>
    <x v="0"/>
    <s v="Xerox 2"/>
    <x v="143"/>
    <n v="3"/>
    <n v="5.44"/>
    <x v="10"/>
    <x v="0"/>
  </r>
  <r>
    <n v="44526"/>
    <x v="262"/>
    <x v="11"/>
    <x v="0"/>
    <x v="2"/>
    <s v="Office Impressions Heavy Duty Welded Shelving &amp; Multimedia Storage Drawers"/>
    <x v="1416"/>
    <n v="5"/>
    <n v="-167.27"/>
    <x v="10"/>
    <x v="0"/>
  </r>
  <r>
    <n v="44526"/>
    <x v="262"/>
    <x v="11"/>
    <x v="2"/>
    <x v="6"/>
    <s v="Jawbone MINI JAMBOX Wireless Bluetooth Speaker"/>
    <x v="1417"/>
    <n v="4"/>
    <n v="-87.67"/>
    <x v="10"/>
    <x v="0"/>
  </r>
  <r>
    <n v="44526"/>
    <x v="471"/>
    <x v="3"/>
    <x v="0"/>
    <x v="0"/>
    <s v="Xerox 1893"/>
    <x v="1045"/>
    <n v="2"/>
    <n v="40.17"/>
    <x v="10"/>
    <x v="0"/>
  </r>
  <r>
    <n v="44526"/>
    <x v="462"/>
    <x v="20"/>
    <x v="2"/>
    <x v="6"/>
    <s v="ClearSounds CSC500 Amplified Spirit Phone Corded phone"/>
    <x v="1418"/>
    <n v="4"/>
    <n v="78.39"/>
    <x v="10"/>
    <x v="0"/>
  </r>
  <r>
    <n v="44526"/>
    <x v="462"/>
    <x v="20"/>
    <x v="0"/>
    <x v="3"/>
    <s v="Acco PRESSTEX Data Binder with Storage Hooks, Dark Blue, 14 7/8&quot; X 11&quot;"/>
    <x v="1419"/>
    <n v="3"/>
    <n v="4.68"/>
    <x v="10"/>
    <x v="0"/>
  </r>
  <r>
    <n v="44526"/>
    <x v="462"/>
    <x v="20"/>
    <x v="0"/>
    <x v="3"/>
    <s v="Pressboard Data Binders by Wilson Jones"/>
    <x v="272"/>
    <n v="4"/>
    <n v="5.77"/>
    <x v="10"/>
    <x v="0"/>
  </r>
  <r>
    <n v="44526"/>
    <x v="462"/>
    <x v="20"/>
    <x v="0"/>
    <x v="1"/>
    <s v="Avery Address/Shipping Labels for Typewriters, 4&quot; x 2&quot;"/>
    <x v="1420"/>
    <n v="9"/>
    <n v="44.71"/>
    <x v="10"/>
    <x v="0"/>
  </r>
  <r>
    <n v="44526"/>
    <x v="462"/>
    <x v="20"/>
    <x v="0"/>
    <x v="1"/>
    <s v="Avery File Folder Labels"/>
    <x v="697"/>
    <n v="4"/>
    <n v="5.64"/>
    <x v="10"/>
    <x v="0"/>
  </r>
  <r>
    <n v="44526"/>
    <x v="465"/>
    <x v="3"/>
    <x v="0"/>
    <x v="3"/>
    <s v="Wilson Jones Easy Flow II Sheet Lifters"/>
    <x v="1421"/>
    <n v="3"/>
    <n v="1.51"/>
    <x v="10"/>
    <x v="0"/>
  </r>
  <r>
    <n v="44526"/>
    <x v="465"/>
    <x v="3"/>
    <x v="0"/>
    <x v="0"/>
    <s v="Xerox 1970"/>
    <x v="98"/>
    <n v="3"/>
    <n v="7.02"/>
    <x v="10"/>
    <x v="0"/>
  </r>
  <r>
    <n v="44526"/>
    <x v="465"/>
    <x v="3"/>
    <x v="0"/>
    <x v="12"/>
    <s v="Fellowes Mighty 8 Compact Surge Protector"/>
    <x v="1422"/>
    <n v="2"/>
    <n v="11.35"/>
    <x v="10"/>
    <x v="0"/>
  </r>
  <r>
    <n v="44526"/>
    <x v="465"/>
    <x v="3"/>
    <x v="0"/>
    <x v="3"/>
    <s v="SpineVue Locking Slant-D Ring Binders by Cardinal"/>
    <x v="1117"/>
    <n v="1"/>
    <n v="2.56"/>
    <x v="10"/>
    <x v="0"/>
  </r>
  <r>
    <n v="44527"/>
    <x v="282"/>
    <x v="20"/>
    <x v="0"/>
    <x v="7"/>
    <s v="Staples"/>
    <x v="572"/>
    <n v="2"/>
    <n v="1.32"/>
    <x v="10"/>
    <x v="0"/>
  </r>
  <r>
    <n v="44527"/>
    <x v="4"/>
    <x v="20"/>
    <x v="1"/>
    <x v="8"/>
    <s v="Eldon Radial Chair Mat for Low to Medium Pile Carpets"/>
    <x v="1423"/>
    <n v="5"/>
    <n v="39.979999999999997"/>
    <x v="10"/>
    <x v="0"/>
  </r>
  <r>
    <n v="44528"/>
    <x v="540"/>
    <x v="33"/>
    <x v="0"/>
    <x v="4"/>
    <s v="Newell 331"/>
    <x v="1385"/>
    <n v="3"/>
    <n v="3.96"/>
    <x v="10"/>
    <x v="0"/>
  </r>
  <r>
    <n v="44528"/>
    <x v="541"/>
    <x v="20"/>
    <x v="0"/>
    <x v="3"/>
    <s v="GBC Standard Recycled Report Covers, Clear Plastic Sheets"/>
    <x v="86"/>
    <n v="2"/>
    <n v="6.04"/>
    <x v="10"/>
    <x v="0"/>
  </r>
  <r>
    <n v="44528"/>
    <x v="10"/>
    <x v="9"/>
    <x v="1"/>
    <x v="8"/>
    <s v="Eldon Cleatmat Plus Chair Mats for High Pile Carpets"/>
    <x v="1424"/>
    <n v="5"/>
    <n v="43.74"/>
    <x v="10"/>
    <x v="0"/>
  </r>
  <r>
    <n v="44528"/>
    <x v="10"/>
    <x v="9"/>
    <x v="0"/>
    <x v="0"/>
    <s v="Xerox 1933"/>
    <x v="1425"/>
    <n v="7"/>
    <n v="40.4"/>
    <x v="10"/>
    <x v="0"/>
  </r>
  <r>
    <n v="44528"/>
    <x v="10"/>
    <x v="9"/>
    <x v="0"/>
    <x v="4"/>
    <s v="Crayola Colored Pencils"/>
    <x v="342"/>
    <n v="4"/>
    <n v="4.33"/>
    <x v="10"/>
    <x v="0"/>
  </r>
  <r>
    <n v="44528"/>
    <x v="10"/>
    <x v="9"/>
    <x v="0"/>
    <x v="3"/>
    <s v="GBC Twin Loop Wire Binding Elements, 9/16&quot; Spine, Black"/>
    <x v="1426"/>
    <n v="3"/>
    <n v="22.37"/>
    <x v="10"/>
    <x v="0"/>
  </r>
  <r>
    <n v="44528"/>
    <x v="347"/>
    <x v="3"/>
    <x v="0"/>
    <x v="14"/>
    <s v="Staple remover"/>
    <x v="541"/>
    <n v="2"/>
    <n v="0.15"/>
    <x v="10"/>
    <x v="0"/>
  </r>
  <r>
    <n v="44528"/>
    <x v="347"/>
    <x v="3"/>
    <x v="0"/>
    <x v="1"/>
    <s v="Avery 489"/>
    <x v="554"/>
    <n v="4"/>
    <n v="19.87"/>
    <x v="10"/>
    <x v="0"/>
  </r>
  <r>
    <n v="44528"/>
    <x v="347"/>
    <x v="3"/>
    <x v="1"/>
    <x v="11"/>
    <s v="Sauder Camden County Barrister Bookcase, Planked Cherry Finish"/>
    <x v="1427"/>
    <n v="4"/>
    <n v="-4.84"/>
    <x v="10"/>
    <x v="0"/>
  </r>
  <r>
    <n v="44528"/>
    <x v="320"/>
    <x v="3"/>
    <x v="0"/>
    <x v="12"/>
    <s v="Acco 6 Outlet Guardian Premium Surge Suppressor"/>
    <x v="1258"/>
    <n v="3"/>
    <n v="11.79"/>
    <x v="10"/>
    <x v="0"/>
  </r>
  <r>
    <n v="44528"/>
    <x v="320"/>
    <x v="3"/>
    <x v="2"/>
    <x v="9"/>
    <s v="Micropad Numeric Keypads"/>
    <x v="1428"/>
    <n v="7"/>
    <n v="34.979999999999997"/>
    <x v="10"/>
    <x v="0"/>
  </r>
  <r>
    <n v="44528"/>
    <x v="542"/>
    <x v="0"/>
    <x v="2"/>
    <x v="15"/>
    <s v="StarTech.com 10/100 VDSL2 Ethernet Extender Kit"/>
    <x v="1429"/>
    <n v="5"/>
    <n v="-199.77"/>
    <x v="10"/>
    <x v="0"/>
  </r>
  <r>
    <n v="44528"/>
    <x v="543"/>
    <x v="18"/>
    <x v="0"/>
    <x v="10"/>
    <s v="Laser &amp; Ink Jet Business Envelopes"/>
    <x v="1430"/>
    <n v="6"/>
    <n v="29.45"/>
    <x v="10"/>
    <x v="0"/>
  </r>
  <r>
    <n v="44529"/>
    <x v="261"/>
    <x v="2"/>
    <x v="0"/>
    <x v="1"/>
    <s v="Avery 488"/>
    <x v="466"/>
    <n v="2"/>
    <n v="1.76"/>
    <x v="10"/>
    <x v="0"/>
  </r>
  <r>
    <n v="44529"/>
    <x v="544"/>
    <x v="1"/>
    <x v="0"/>
    <x v="7"/>
    <s v="Staples"/>
    <x v="112"/>
    <n v="2"/>
    <n v="3.95"/>
    <x v="10"/>
    <x v="0"/>
  </r>
  <r>
    <n v="44529"/>
    <x v="545"/>
    <x v="3"/>
    <x v="2"/>
    <x v="6"/>
    <s v="Wilson SignalBoost 841262 DB PRO Amplifier Kit"/>
    <x v="612"/>
    <n v="2"/>
    <n v="71.989999999999995"/>
    <x v="10"/>
    <x v="0"/>
  </r>
  <r>
    <n v="44529"/>
    <x v="545"/>
    <x v="3"/>
    <x v="0"/>
    <x v="7"/>
    <s v="Staples"/>
    <x v="1431"/>
    <n v="5"/>
    <n v="15.2"/>
    <x v="10"/>
    <x v="0"/>
  </r>
  <r>
    <n v="44529"/>
    <x v="300"/>
    <x v="20"/>
    <x v="0"/>
    <x v="1"/>
    <s v="Avery 485"/>
    <x v="1432"/>
    <n v="2"/>
    <n v="11.78"/>
    <x v="10"/>
    <x v="0"/>
  </r>
  <r>
    <n v="44530"/>
    <x v="506"/>
    <x v="20"/>
    <x v="0"/>
    <x v="10"/>
    <s v="Park Ridge Embossed Executive Business Envelopes"/>
    <x v="1433"/>
    <n v="4"/>
    <n v="29.27"/>
    <x v="10"/>
    <x v="0"/>
  </r>
  <r>
    <n v="44530"/>
    <x v="211"/>
    <x v="16"/>
    <x v="0"/>
    <x v="3"/>
    <s v="Avery Triangle Shaped Sheet Lifters, Black, 2/Pack"/>
    <x v="1434"/>
    <n v="9"/>
    <n v="-4.43"/>
    <x v="10"/>
    <x v="0"/>
  </r>
  <r>
    <n v="44530"/>
    <x v="300"/>
    <x v="12"/>
    <x v="0"/>
    <x v="14"/>
    <s v="Acme Office Executive Series Stainless Steel Trimmers"/>
    <x v="1435"/>
    <n v="7"/>
    <n v="3.6"/>
    <x v="10"/>
    <x v="0"/>
  </r>
  <r>
    <n v="44530"/>
    <x v="300"/>
    <x v="12"/>
    <x v="2"/>
    <x v="9"/>
    <s v="Memorex 25GB 6X Branded Blu-Ray Recordable Disc, 30/Pack"/>
    <x v="1436"/>
    <n v="4"/>
    <n v="-16.61"/>
    <x v="10"/>
    <x v="0"/>
  </r>
  <r>
    <n v="44531"/>
    <x v="218"/>
    <x v="21"/>
    <x v="1"/>
    <x v="5"/>
    <s v="Office Star - Professional Matrix Back Chair with 2-to-1 Synchro Tilt and Mesh Fabric Seat"/>
    <x v="1437"/>
    <n v="8"/>
    <n v="673.88"/>
    <x v="11"/>
    <x v="0"/>
  </r>
  <r>
    <n v="44531"/>
    <x v="218"/>
    <x v="21"/>
    <x v="0"/>
    <x v="4"/>
    <s v="Hunt BOSTON Vista Battery-Operated Pencil Sharpener, Black"/>
    <x v="1438"/>
    <n v="4"/>
    <n v="12.59"/>
    <x v="11"/>
    <x v="0"/>
  </r>
  <r>
    <n v="44531"/>
    <x v="546"/>
    <x v="3"/>
    <x v="1"/>
    <x v="8"/>
    <s v="Floodlight Indoor Halogen Bulbs, 1 Bulb per Pack, 60 Watts"/>
    <x v="1439"/>
    <n v="3"/>
    <n v="28.52"/>
    <x v="11"/>
    <x v="0"/>
  </r>
  <r>
    <n v="44531"/>
    <x v="263"/>
    <x v="25"/>
    <x v="2"/>
    <x v="6"/>
    <s v="BlueLounge Milo Smartphone Stand, White/Metallic"/>
    <x v="574"/>
    <n v="4"/>
    <n v="9.6"/>
    <x v="11"/>
    <x v="0"/>
  </r>
  <r>
    <n v="44531"/>
    <x v="519"/>
    <x v="10"/>
    <x v="2"/>
    <x v="16"/>
    <s v="Sharp 1540cs Digital Laser Copier"/>
    <x v="1440"/>
    <n v="2"/>
    <n v="110"/>
    <x v="11"/>
    <x v="0"/>
  </r>
  <r>
    <n v="44531"/>
    <x v="519"/>
    <x v="10"/>
    <x v="1"/>
    <x v="8"/>
    <s v="Master Caster Door Stop, Brown"/>
    <x v="265"/>
    <n v="2"/>
    <n v="1.42"/>
    <x v="11"/>
    <x v="0"/>
  </r>
  <r>
    <n v="44531"/>
    <x v="519"/>
    <x v="10"/>
    <x v="0"/>
    <x v="0"/>
    <s v="Xerox 214"/>
    <x v="1308"/>
    <n v="7"/>
    <n v="12.7"/>
    <x v="11"/>
    <x v="0"/>
  </r>
  <r>
    <n v="44531"/>
    <x v="519"/>
    <x v="10"/>
    <x v="1"/>
    <x v="5"/>
    <s v="Hon Multipurpose Stacking Arm Chairs"/>
    <x v="1441"/>
    <n v="6"/>
    <n v="-51.98"/>
    <x v="11"/>
    <x v="0"/>
  </r>
  <r>
    <n v="44531"/>
    <x v="91"/>
    <x v="0"/>
    <x v="1"/>
    <x v="5"/>
    <s v="Hon 4070 Series Pagoda Round Back Stacking Chairs"/>
    <x v="1442"/>
    <n v="3"/>
    <n v="-19.260000000000002"/>
    <x v="11"/>
    <x v="0"/>
  </r>
  <r>
    <n v="44531"/>
    <x v="266"/>
    <x v="32"/>
    <x v="2"/>
    <x v="6"/>
    <s v="Cisco IPÂ PhoneÂ 7961G VoIPÂ phoneÂ - Dark gray"/>
    <x v="1443"/>
    <n v="2"/>
    <n v="78.849999999999994"/>
    <x v="11"/>
    <x v="0"/>
  </r>
  <r>
    <n v="44531"/>
    <x v="266"/>
    <x v="32"/>
    <x v="1"/>
    <x v="8"/>
    <s v="Linden 10&quot; Round Wall Clock, Black"/>
    <x v="1444"/>
    <n v="3"/>
    <n v="15.59"/>
    <x v="11"/>
    <x v="0"/>
  </r>
  <r>
    <n v="44531"/>
    <x v="266"/>
    <x v="32"/>
    <x v="1"/>
    <x v="8"/>
    <s v="Ultra Door Push Plate"/>
    <x v="1445"/>
    <n v="2"/>
    <n v="3.24"/>
    <x v="11"/>
    <x v="0"/>
  </r>
  <r>
    <n v="44532"/>
    <x v="547"/>
    <x v="20"/>
    <x v="2"/>
    <x v="9"/>
    <s v="Logitech 910-002974 M325 Wireless Mouse for Web Scrolling"/>
    <x v="1446"/>
    <n v="4"/>
    <n v="52.78"/>
    <x v="11"/>
    <x v="0"/>
  </r>
  <r>
    <n v="44532"/>
    <x v="547"/>
    <x v="20"/>
    <x v="1"/>
    <x v="11"/>
    <s v="O'Sullivan Living Dimensions 5-Shelf Bookcases"/>
    <x v="1447"/>
    <n v="5"/>
    <n v="-110.49"/>
    <x v="11"/>
    <x v="0"/>
  </r>
  <r>
    <n v="44532"/>
    <x v="547"/>
    <x v="20"/>
    <x v="0"/>
    <x v="3"/>
    <s v="Angle-D Binders with Locking Rings, Label Holders"/>
    <x v="1448"/>
    <n v="8"/>
    <n v="15.77"/>
    <x v="11"/>
    <x v="0"/>
  </r>
  <r>
    <n v="44532"/>
    <x v="548"/>
    <x v="0"/>
    <x v="1"/>
    <x v="8"/>
    <s v="Deflect-o SuperTray Unbreakable Stackable Tray, Letter, Black"/>
    <x v="1449"/>
    <n v="5"/>
    <n v="-24.8"/>
    <x v="11"/>
    <x v="0"/>
  </r>
  <r>
    <n v="44532"/>
    <x v="548"/>
    <x v="0"/>
    <x v="0"/>
    <x v="4"/>
    <s v="Newell 343"/>
    <x v="1450"/>
    <n v="7"/>
    <n v="1.44"/>
    <x v="11"/>
    <x v="0"/>
  </r>
  <r>
    <n v="44532"/>
    <x v="548"/>
    <x v="0"/>
    <x v="1"/>
    <x v="8"/>
    <s v="12-1/2 Diameter Round Wall Clock"/>
    <x v="418"/>
    <n v="5"/>
    <n v="-23.98"/>
    <x v="11"/>
    <x v="0"/>
  </r>
  <r>
    <n v="44532"/>
    <x v="549"/>
    <x v="10"/>
    <x v="2"/>
    <x v="9"/>
    <s v="ImationÂ 32GB Pocket Pro USB 3.0Â Flash DriveÂ - 32 GB - Black - 1 P ..."/>
    <x v="1451"/>
    <n v="5"/>
    <n v="29.95"/>
    <x v="11"/>
    <x v="0"/>
  </r>
  <r>
    <n v="44532"/>
    <x v="550"/>
    <x v="1"/>
    <x v="0"/>
    <x v="12"/>
    <s v="Staple holder"/>
    <x v="1452"/>
    <n v="1"/>
    <n v="-6.34"/>
    <x v="11"/>
    <x v="0"/>
  </r>
  <r>
    <n v="44532"/>
    <x v="402"/>
    <x v="36"/>
    <x v="1"/>
    <x v="8"/>
    <s v="DAX Metal Frame, Desktop, Stepped-Edge"/>
    <x v="1453"/>
    <n v="3"/>
    <n v="23.68"/>
    <x v="11"/>
    <x v="0"/>
  </r>
  <r>
    <n v="44532"/>
    <x v="402"/>
    <x v="36"/>
    <x v="0"/>
    <x v="0"/>
    <s v="Xerox 1942"/>
    <x v="1454"/>
    <n v="3"/>
    <n v="73.41"/>
    <x v="11"/>
    <x v="0"/>
  </r>
  <r>
    <n v="44532"/>
    <x v="402"/>
    <x v="36"/>
    <x v="1"/>
    <x v="5"/>
    <s v="Global Stack Chair with Arms, Black"/>
    <x v="1455"/>
    <n v="8"/>
    <n v="64.760000000000005"/>
    <x v="11"/>
    <x v="0"/>
  </r>
  <r>
    <n v="44532"/>
    <x v="402"/>
    <x v="36"/>
    <x v="0"/>
    <x v="1"/>
    <s v="Avery 509"/>
    <x v="1456"/>
    <n v="6"/>
    <n v="7.2"/>
    <x v="11"/>
    <x v="0"/>
  </r>
  <r>
    <n v="44532"/>
    <x v="551"/>
    <x v="4"/>
    <x v="2"/>
    <x v="9"/>
    <s v="Kingston Digital DataTraveler 8GB USB 2.0"/>
    <x v="1457"/>
    <n v="1"/>
    <n v="0.83"/>
    <x v="11"/>
    <x v="0"/>
  </r>
  <r>
    <n v="44532"/>
    <x v="551"/>
    <x v="4"/>
    <x v="0"/>
    <x v="0"/>
    <s v="RSVP Cards &amp; Envelopes, Blank White, 8-1/2&quot; X 11&quot;, 24 Cards/25 Envelopes/Set"/>
    <x v="1068"/>
    <n v="3"/>
    <n v="7.16"/>
    <x v="11"/>
    <x v="0"/>
  </r>
  <r>
    <n v="44533"/>
    <x v="534"/>
    <x v="39"/>
    <x v="2"/>
    <x v="6"/>
    <s v="Jabra Supreme Plus Driver EditionÂ Headset"/>
    <x v="1458"/>
    <n v="4"/>
    <n v="134.38999999999999"/>
    <x v="11"/>
    <x v="0"/>
  </r>
  <r>
    <n v="44533"/>
    <x v="543"/>
    <x v="24"/>
    <x v="0"/>
    <x v="0"/>
    <s v="Xerox 214"/>
    <x v="499"/>
    <n v="4"/>
    <n v="12.44"/>
    <x v="11"/>
    <x v="0"/>
  </r>
  <r>
    <n v="44534"/>
    <x v="552"/>
    <x v="20"/>
    <x v="2"/>
    <x v="6"/>
    <s v="Plantronics Voyager Pro HD - Bluetooth Headset"/>
    <x v="1459"/>
    <n v="2"/>
    <n v="62.39"/>
    <x v="11"/>
    <x v="0"/>
  </r>
  <r>
    <n v="44535"/>
    <x v="14"/>
    <x v="12"/>
    <x v="0"/>
    <x v="4"/>
    <s v="Hunt BOSTON Model 1606 High-Volume Electric Pencil Sharpener, Beige"/>
    <x v="1460"/>
    <n v="8"/>
    <n v="111.3"/>
    <x v="11"/>
    <x v="0"/>
  </r>
  <r>
    <n v="44535"/>
    <x v="14"/>
    <x v="12"/>
    <x v="2"/>
    <x v="6"/>
    <s v="netTALK DUO VoIP Telephone Service"/>
    <x v="410"/>
    <n v="4"/>
    <n v="62.99"/>
    <x v="11"/>
    <x v="0"/>
  </r>
  <r>
    <n v="44535"/>
    <x v="553"/>
    <x v="1"/>
    <x v="0"/>
    <x v="2"/>
    <s v="Tenex File Box, Personal Filing Tote with Lid, Black"/>
    <x v="1461"/>
    <n v="2"/>
    <n v="1.86"/>
    <x v="11"/>
    <x v="0"/>
  </r>
  <r>
    <n v="44535"/>
    <x v="553"/>
    <x v="1"/>
    <x v="2"/>
    <x v="9"/>
    <s v="ImationÂ Secure+ Hardware Encrypted USB 2.0Â Flash Drive; 16GB"/>
    <x v="1462"/>
    <n v="7"/>
    <n v="76.64"/>
    <x v="11"/>
    <x v="0"/>
  </r>
  <r>
    <n v="44535"/>
    <x v="554"/>
    <x v="6"/>
    <x v="0"/>
    <x v="2"/>
    <s v="Recycled Eldon Regeneration Jumbo File"/>
    <x v="396"/>
    <n v="2"/>
    <n v="6.88"/>
    <x v="11"/>
    <x v="0"/>
  </r>
  <r>
    <n v="44535"/>
    <x v="555"/>
    <x v="2"/>
    <x v="0"/>
    <x v="10"/>
    <s v="Cameo Buff Policy Envelopes"/>
    <x v="1463"/>
    <n v="7"/>
    <n v="117.61"/>
    <x v="11"/>
    <x v="0"/>
  </r>
  <r>
    <n v="44535"/>
    <x v="555"/>
    <x v="2"/>
    <x v="0"/>
    <x v="2"/>
    <s v="Fellowes Bankers Box Recycled Super Stor/Drawer"/>
    <x v="1464"/>
    <n v="4"/>
    <n v="-30.23"/>
    <x v="11"/>
    <x v="0"/>
  </r>
  <r>
    <n v="44535"/>
    <x v="400"/>
    <x v="10"/>
    <x v="0"/>
    <x v="0"/>
    <s v="Xerox 1893"/>
    <x v="1465"/>
    <n v="3"/>
    <n v="35.659999999999997"/>
    <x v="11"/>
    <x v="0"/>
  </r>
  <r>
    <n v="44535"/>
    <x v="400"/>
    <x v="10"/>
    <x v="0"/>
    <x v="3"/>
    <s v="Large Capacity Hanging Post Binders"/>
    <x v="1466"/>
    <n v="4"/>
    <n v="-23.95"/>
    <x v="11"/>
    <x v="0"/>
  </r>
  <r>
    <n v="44535"/>
    <x v="400"/>
    <x v="10"/>
    <x v="0"/>
    <x v="0"/>
    <s v="Black Print Carbonless 8 1/2&quot; x 8 1/4&quot; Rapid Memo Book"/>
    <x v="124"/>
    <n v="3"/>
    <n v="5.68"/>
    <x v="11"/>
    <x v="0"/>
  </r>
  <r>
    <n v="44535"/>
    <x v="400"/>
    <x v="10"/>
    <x v="2"/>
    <x v="6"/>
    <s v="Lunatik TT5L-002 Taktik Strike Impact Protection System for iPhone 5"/>
    <x v="1467"/>
    <n v="1"/>
    <n v="-9.18"/>
    <x v="11"/>
    <x v="0"/>
  </r>
  <r>
    <n v="44535"/>
    <x v="400"/>
    <x v="10"/>
    <x v="2"/>
    <x v="6"/>
    <s v="Panasonic KX T7736-B Digital phone"/>
    <x v="1468"/>
    <n v="2"/>
    <n v="-44.99"/>
    <x v="11"/>
    <x v="0"/>
  </r>
  <r>
    <n v="44535"/>
    <x v="556"/>
    <x v="3"/>
    <x v="0"/>
    <x v="4"/>
    <s v="Prang Colored Pencils"/>
    <x v="1469"/>
    <n v="9"/>
    <n v="11.91"/>
    <x v="11"/>
    <x v="0"/>
  </r>
  <r>
    <n v="44535"/>
    <x v="556"/>
    <x v="3"/>
    <x v="0"/>
    <x v="0"/>
    <s v="Xerox 1933"/>
    <x v="644"/>
    <n v="4"/>
    <n v="23.09"/>
    <x v="11"/>
    <x v="0"/>
  </r>
  <r>
    <n v="44535"/>
    <x v="556"/>
    <x v="3"/>
    <x v="0"/>
    <x v="7"/>
    <s v="Advantus Plastic Paper Clips"/>
    <x v="87"/>
    <n v="3"/>
    <n v="7.2"/>
    <x v="11"/>
    <x v="0"/>
  </r>
  <r>
    <n v="44535"/>
    <x v="557"/>
    <x v="3"/>
    <x v="0"/>
    <x v="12"/>
    <s v="Fellowes 8 Outlet Superior Workstation Surge Protector"/>
    <x v="1470"/>
    <n v="6"/>
    <n v="72.58"/>
    <x v="11"/>
    <x v="0"/>
  </r>
  <r>
    <n v="44536"/>
    <x v="321"/>
    <x v="0"/>
    <x v="1"/>
    <x v="8"/>
    <s v="12-1/2 Diameter Round Wall Clock"/>
    <x v="837"/>
    <n v="3"/>
    <n v="-14.39"/>
    <x v="11"/>
    <x v="0"/>
  </r>
  <r>
    <n v="44536"/>
    <x v="361"/>
    <x v="11"/>
    <x v="0"/>
    <x v="2"/>
    <s v="File Shuttle I and Handi-File"/>
    <x v="1471"/>
    <n v="3"/>
    <n v="4.67"/>
    <x v="11"/>
    <x v="0"/>
  </r>
  <r>
    <n v="44536"/>
    <x v="361"/>
    <x v="11"/>
    <x v="1"/>
    <x v="13"/>
    <s v="Chromcraft Bull-Nose Wood 48&quot; x 96&quot; Rectangular Conference Tables"/>
    <x v="1472"/>
    <n v="1"/>
    <n v="-170.8"/>
    <x v="11"/>
    <x v="0"/>
  </r>
  <r>
    <n v="44536"/>
    <x v="328"/>
    <x v="1"/>
    <x v="0"/>
    <x v="12"/>
    <s v="Bionaire 99.97% HEPA Air Cleaner"/>
    <x v="1473"/>
    <n v="4"/>
    <n v="-31.54"/>
    <x v="11"/>
    <x v="0"/>
  </r>
  <r>
    <n v="44536"/>
    <x v="328"/>
    <x v="1"/>
    <x v="1"/>
    <x v="13"/>
    <s v="KI Adjustable-Height Table"/>
    <x v="1474"/>
    <n v="5"/>
    <n v="-120.37"/>
    <x v="11"/>
    <x v="0"/>
  </r>
  <r>
    <n v="44536"/>
    <x v="328"/>
    <x v="1"/>
    <x v="2"/>
    <x v="6"/>
    <s v="Shocksock Galaxy S4 Armband"/>
    <x v="1475"/>
    <n v="4"/>
    <n v="-7.01"/>
    <x v="11"/>
    <x v="0"/>
  </r>
  <r>
    <n v="44536"/>
    <x v="328"/>
    <x v="1"/>
    <x v="1"/>
    <x v="8"/>
    <s v="Nu-Dell Float Frame 11 x 14 1/2"/>
    <x v="1142"/>
    <n v="3"/>
    <n v="-4.8499999999999996"/>
    <x v="11"/>
    <x v="0"/>
  </r>
  <r>
    <n v="44536"/>
    <x v="328"/>
    <x v="1"/>
    <x v="0"/>
    <x v="3"/>
    <s v="Ibico Covers for Plastic or Wire Binding Elements"/>
    <x v="1476"/>
    <n v="2"/>
    <n v="-8.0500000000000007"/>
    <x v="11"/>
    <x v="0"/>
  </r>
  <r>
    <n v="44536"/>
    <x v="328"/>
    <x v="1"/>
    <x v="0"/>
    <x v="2"/>
    <s v="Rogers Deluxe File Chest"/>
    <x v="1395"/>
    <n v="2"/>
    <n v="-8.35"/>
    <x v="11"/>
    <x v="0"/>
  </r>
  <r>
    <n v="44536"/>
    <x v="138"/>
    <x v="3"/>
    <x v="0"/>
    <x v="2"/>
    <s v="Standard Rollaway File with Lock"/>
    <x v="1477"/>
    <n v="7"/>
    <n v="327.95"/>
    <x v="11"/>
    <x v="0"/>
  </r>
  <r>
    <n v="44536"/>
    <x v="497"/>
    <x v="15"/>
    <x v="0"/>
    <x v="0"/>
    <s v="Xerox 1909"/>
    <x v="1478"/>
    <n v="2"/>
    <n v="13.72"/>
    <x v="11"/>
    <x v="0"/>
  </r>
  <r>
    <n v="44537"/>
    <x v="487"/>
    <x v="6"/>
    <x v="0"/>
    <x v="0"/>
    <s v="Xerox 1909"/>
    <x v="1479"/>
    <n v="4"/>
    <n v="48.54"/>
    <x v="11"/>
    <x v="0"/>
  </r>
  <r>
    <n v="44537"/>
    <x v="558"/>
    <x v="3"/>
    <x v="0"/>
    <x v="4"/>
    <s v="Newell 32"/>
    <x v="406"/>
    <n v="3"/>
    <n v="2.42"/>
    <x v="11"/>
    <x v="0"/>
  </r>
  <r>
    <n v="44537"/>
    <x v="326"/>
    <x v="22"/>
    <x v="0"/>
    <x v="2"/>
    <s v="Advantus Rolling Drawer Organizers"/>
    <x v="1480"/>
    <n v="7"/>
    <n v="70.03"/>
    <x v="11"/>
    <x v="0"/>
  </r>
  <r>
    <n v="44537"/>
    <x v="200"/>
    <x v="3"/>
    <x v="0"/>
    <x v="0"/>
    <s v="Green Bar Computer Printout Paper"/>
    <x v="1481"/>
    <n v="3"/>
    <n v="80.790000000000006"/>
    <x v="11"/>
    <x v="0"/>
  </r>
  <r>
    <n v="44538"/>
    <x v="559"/>
    <x v="0"/>
    <x v="0"/>
    <x v="2"/>
    <s v="Companion Letter/Legal File, Black"/>
    <x v="1482"/>
    <n v="2"/>
    <n v="6.04"/>
    <x v="11"/>
    <x v="0"/>
  </r>
  <r>
    <n v="44538"/>
    <x v="560"/>
    <x v="11"/>
    <x v="0"/>
    <x v="1"/>
    <s v="Avery 499"/>
    <x v="1483"/>
    <n v="7"/>
    <n v="9.06"/>
    <x v="11"/>
    <x v="0"/>
  </r>
  <r>
    <n v="44538"/>
    <x v="560"/>
    <x v="11"/>
    <x v="0"/>
    <x v="3"/>
    <s v="Acco PRESSTEX Data Binder with Storage Hooks, Dark Blue, 9 1/2&quot; X 11&quot;"/>
    <x v="1484"/>
    <n v="4"/>
    <n v="-4.5199999999999996"/>
    <x v="11"/>
    <x v="0"/>
  </r>
  <r>
    <n v="44538"/>
    <x v="560"/>
    <x v="11"/>
    <x v="2"/>
    <x v="6"/>
    <s v="Samsung HM1900 Bluetooth Headset"/>
    <x v="1485"/>
    <n v="3"/>
    <n v="19.760000000000002"/>
    <x v="11"/>
    <x v="0"/>
  </r>
  <r>
    <n v="44538"/>
    <x v="560"/>
    <x v="11"/>
    <x v="0"/>
    <x v="14"/>
    <s v="Acco Side-Punched Conventional Columnar Pads"/>
    <x v="1486"/>
    <n v="5"/>
    <n v="-2.6"/>
    <x v="11"/>
    <x v="0"/>
  </r>
  <r>
    <n v="44538"/>
    <x v="560"/>
    <x v="11"/>
    <x v="2"/>
    <x v="9"/>
    <s v="SanDisk Ultra 16 GB MicroSDHC Class 10 Memory Card"/>
    <x v="1487"/>
    <n v="10"/>
    <n v="-18.190000000000001"/>
    <x v="11"/>
    <x v="0"/>
  </r>
  <r>
    <n v="44538"/>
    <x v="560"/>
    <x v="11"/>
    <x v="0"/>
    <x v="1"/>
    <s v="Avery 492"/>
    <x v="697"/>
    <n v="5"/>
    <n v="3.74"/>
    <x v="11"/>
    <x v="0"/>
  </r>
  <r>
    <n v="44538"/>
    <x v="560"/>
    <x v="11"/>
    <x v="0"/>
    <x v="0"/>
    <s v="Xerox 232"/>
    <x v="320"/>
    <n v="2"/>
    <n v="3.63"/>
    <x v="11"/>
    <x v="0"/>
  </r>
  <r>
    <n v="44538"/>
    <x v="560"/>
    <x v="11"/>
    <x v="0"/>
    <x v="2"/>
    <s v="Adjustable Personal File Tote"/>
    <x v="340"/>
    <n v="3"/>
    <n v="2.93"/>
    <x v="11"/>
    <x v="0"/>
  </r>
  <r>
    <n v="44538"/>
    <x v="232"/>
    <x v="22"/>
    <x v="0"/>
    <x v="0"/>
    <s v="Xerox 1964"/>
    <x v="1488"/>
    <n v="2"/>
    <n v="21.01"/>
    <x v="11"/>
    <x v="0"/>
  </r>
  <r>
    <n v="44538"/>
    <x v="232"/>
    <x v="22"/>
    <x v="1"/>
    <x v="5"/>
    <s v="DMI Arturo Collection Mission-style Design Wood Chair"/>
    <x v="1044"/>
    <n v="5"/>
    <n v="45.29"/>
    <x v="11"/>
    <x v="0"/>
  </r>
  <r>
    <n v="44538"/>
    <x v="561"/>
    <x v="3"/>
    <x v="1"/>
    <x v="8"/>
    <s v="Luxo Economy Swing Arm Lamp"/>
    <x v="1277"/>
    <n v="2"/>
    <n v="11.17"/>
    <x v="11"/>
    <x v="0"/>
  </r>
  <r>
    <n v="44538"/>
    <x v="561"/>
    <x v="3"/>
    <x v="1"/>
    <x v="8"/>
    <s v="DAX Natural Wood-Tone Poster Frame"/>
    <x v="1489"/>
    <n v="3"/>
    <n v="28.6"/>
    <x v="11"/>
    <x v="0"/>
  </r>
  <r>
    <n v="44539"/>
    <x v="38"/>
    <x v="3"/>
    <x v="0"/>
    <x v="0"/>
    <s v="Xerox 1987"/>
    <x v="1490"/>
    <n v="6"/>
    <n v="16.989999999999998"/>
    <x v="11"/>
    <x v="0"/>
  </r>
  <r>
    <n v="44539"/>
    <x v="441"/>
    <x v="12"/>
    <x v="0"/>
    <x v="2"/>
    <s v="Acco Perma 3000 Stacking Storage Drawers"/>
    <x v="1491"/>
    <n v="6"/>
    <n v="-1.26"/>
    <x v="11"/>
    <x v="0"/>
  </r>
  <r>
    <n v="44539"/>
    <x v="379"/>
    <x v="0"/>
    <x v="0"/>
    <x v="0"/>
    <s v="Xerox 195"/>
    <x v="1048"/>
    <n v="2"/>
    <n v="3.74"/>
    <x v="11"/>
    <x v="0"/>
  </r>
  <r>
    <n v="44539"/>
    <x v="379"/>
    <x v="0"/>
    <x v="0"/>
    <x v="2"/>
    <s v="Recycled Data-Pak for Archival Bound Computer Printouts, 12-1/2 x 12-1/2 x 16"/>
    <x v="1492"/>
    <n v="3"/>
    <n v="20.75"/>
    <x v="11"/>
    <x v="0"/>
  </r>
  <r>
    <n v="44539"/>
    <x v="93"/>
    <x v="1"/>
    <x v="0"/>
    <x v="0"/>
    <s v="Astroparche Fine Business Paper"/>
    <x v="174"/>
    <n v="2"/>
    <n v="2.96"/>
    <x v="11"/>
    <x v="0"/>
  </r>
  <r>
    <n v="44539"/>
    <x v="93"/>
    <x v="1"/>
    <x v="0"/>
    <x v="12"/>
    <s v="Tripp Lite TLP810NET Broadband Surge for Modem/Fax"/>
    <x v="1493"/>
    <n v="2"/>
    <n v="-53.01"/>
    <x v="11"/>
    <x v="0"/>
  </r>
  <r>
    <n v="44539"/>
    <x v="558"/>
    <x v="2"/>
    <x v="0"/>
    <x v="10"/>
    <s v="Globe Weis Peel &amp; Seel First Class Envelopes"/>
    <x v="1494"/>
    <n v="3"/>
    <n v="9.59"/>
    <x v="11"/>
    <x v="0"/>
  </r>
  <r>
    <n v="44539"/>
    <x v="558"/>
    <x v="2"/>
    <x v="2"/>
    <x v="16"/>
    <s v="Canon PC940 Copier"/>
    <x v="1495"/>
    <n v="4"/>
    <n v="126"/>
    <x v="11"/>
    <x v="0"/>
  </r>
  <r>
    <n v="44540"/>
    <x v="533"/>
    <x v="20"/>
    <x v="0"/>
    <x v="0"/>
    <s v="Adams Write n' Stick Phone Message Book, 11&quot; X 5 1/4&quot;, 200 Messages"/>
    <x v="21"/>
    <n v="2"/>
    <n v="5.23"/>
    <x v="11"/>
    <x v="0"/>
  </r>
  <r>
    <n v="44540"/>
    <x v="533"/>
    <x v="20"/>
    <x v="0"/>
    <x v="3"/>
    <s v="Poly Designer Cover &amp; Back"/>
    <x v="1496"/>
    <n v="7"/>
    <n v="37.22"/>
    <x v="11"/>
    <x v="0"/>
  </r>
  <r>
    <n v="44540"/>
    <x v="562"/>
    <x v="34"/>
    <x v="1"/>
    <x v="5"/>
    <s v="Office Star - Contemporary Swivel Chair with Padded Adjustable Arms and Flex Back"/>
    <x v="1497"/>
    <n v="3"/>
    <n v="4.2300000000000004"/>
    <x v="11"/>
    <x v="0"/>
  </r>
  <r>
    <n v="44540"/>
    <x v="562"/>
    <x v="34"/>
    <x v="0"/>
    <x v="0"/>
    <s v="Xerox 1931"/>
    <x v="499"/>
    <n v="4"/>
    <n v="12.44"/>
    <x v="11"/>
    <x v="0"/>
  </r>
  <r>
    <n v="44540"/>
    <x v="562"/>
    <x v="34"/>
    <x v="0"/>
    <x v="0"/>
    <s v="Xerox Color Copier Paper, 11&quot; x 17&quot;, Ream"/>
    <x v="802"/>
    <n v="4"/>
    <n v="42.03"/>
    <x v="11"/>
    <x v="0"/>
  </r>
  <r>
    <n v="44542"/>
    <x v="377"/>
    <x v="3"/>
    <x v="1"/>
    <x v="13"/>
    <s v="Hon Non-Folding Utility Tables"/>
    <x v="1498"/>
    <n v="6"/>
    <n v="95.59"/>
    <x v="11"/>
    <x v="0"/>
  </r>
  <r>
    <n v="44542"/>
    <x v="377"/>
    <x v="3"/>
    <x v="1"/>
    <x v="13"/>
    <s v="Bretford Rectangular Conference Table Tops"/>
    <x v="1499"/>
    <n v="12"/>
    <n v="135.41"/>
    <x v="11"/>
    <x v="0"/>
  </r>
  <r>
    <n v="44542"/>
    <x v="377"/>
    <x v="3"/>
    <x v="1"/>
    <x v="11"/>
    <s v="Bestar Classic Bookcase"/>
    <x v="1500"/>
    <n v="3"/>
    <n v="12"/>
    <x v="11"/>
    <x v="0"/>
  </r>
  <r>
    <n v="44542"/>
    <x v="494"/>
    <x v="3"/>
    <x v="1"/>
    <x v="8"/>
    <s v="Eldon Advantage Chair Mats for Low to Medium Pile Carpets"/>
    <x v="1501"/>
    <n v="1"/>
    <n v="4.33"/>
    <x v="11"/>
    <x v="0"/>
  </r>
  <r>
    <n v="44542"/>
    <x v="563"/>
    <x v="0"/>
    <x v="0"/>
    <x v="3"/>
    <s v="GBC DocuBind 300 Electric Binding Machine"/>
    <x v="1502"/>
    <n v="2"/>
    <n v="-336.63"/>
    <x v="11"/>
    <x v="0"/>
  </r>
  <r>
    <n v="44542"/>
    <x v="564"/>
    <x v="3"/>
    <x v="1"/>
    <x v="8"/>
    <s v="Eldon Image Series Desk Accessories, Burgundy"/>
    <x v="1503"/>
    <n v="3"/>
    <n v="4.51"/>
    <x v="11"/>
    <x v="0"/>
  </r>
  <r>
    <n v="44542"/>
    <x v="564"/>
    <x v="3"/>
    <x v="0"/>
    <x v="2"/>
    <s v="Woodgrain Magazine Files by Perma"/>
    <x v="1504"/>
    <n v="3"/>
    <n v="0.63"/>
    <x v="11"/>
    <x v="0"/>
  </r>
  <r>
    <n v="44542"/>
    <x v="564"/>
    <x v="3"/>
    <x v="1"/>
    <x v="8"/>
    <s v="Longer-Life Soft White Bulbs"/>
    <x v="703"/>
    <n v="3"/>
    <n v="4.4400000000000004"/>
    <x v="11"/>
    <x v="0"/>
  </r>
  <r>
    <n v="44542"/>
    <x v="300"/>
    <x v="16"/>
    <x v="0"/>
    <x v="10"/>
    <s v="Staple envelope"/>
    <x v="1098"/>
    <n v="3"/>
    <n v="7.63"/>
    <x v="11"/>
    <x v="0"/>
  </r>
  <r>
    <n v="44543"/>
    <x v="375"/>
    <x v="3"/>
    <x v="0"/>
    <x v="0"/>
    <s v="White GlueTop Scratch Pads"/>
    <x v="1505"/>
    <n v="6"/>
    <n v="41.51"/>
    <x v="11"/>
    <x v="0"/>
  </r>
  <r>
    <n v="44543"/>
    <x v="565"/>
    <x v="0"/>
    <x v="0"/>
    <x v="14"/>
    <s v="Acme Value Line Scissors"/>
    <x v="885"/>
    <n v="1"/>
    <n v="0.37"/>
    <x v="11"/>
    <x v="0"/>
  </r>
  <r>
    <n v="44543"/>
    <x v="227"/>
    <x v="1"/>
    <x v="1"/>
    <x v="8"/>
    <s v="Howard Miller 12-3/4 Diameter Accuwave DS  Wall Clock"/>
    <x v="1506"/>
    <n v="3"/>
    <n v="-42.49"/>
    <x v="11"/>
    <x v="0"/>
  </r>
  <r>
    <n v="44543"/>
    <x v="211"/>
    <x v="12"/>
    <x v="1"/>
    <x v="8"/>
    <s v="Electrix Incandescent Magnifying Lamp, Black"/>
    <x v="1507"/>
    <n v="3"/>
    <n v="7.7"/>
    <x v="11"/>
    <x v="0"/>
  </r>
  <r>
    <n v="44543"/>
    <x v="211"/>
    <x v="12"/>
    <x v="0"/>
    <x v="3"/>
    <s v="Cardinal Slant-D Ring Binder, Heavy Gauge Vinyl"/>
    <x v="1508"/>
    <n v="2"/>
    <n v="-4.17"/>
    <x v="11"/>
    <x v="0"/>
  </r>
  <r>
    <n v="44543"/>
    <x v="566"/>
    <x v="5"/>
    <x v="0"/>
    <x v="3"/>
    <s v="ACCOHIDE 3-Ring Binder, Blue, 1&quot;"/>
    <x v="1192"/>
    <n v="3"/>
    <n v="5.82"/>
    <x v="11"/>
    <x v="0"/>
  </r>
  <r>
    <n v="44544"/>
    <x v="448"/>
    <x v="1"/>
    <x v="0"/>
    <x v="3"/>
    <s v="Avery Heavy-Duty EZD View Binder with Locking Rings"/>
    <x v="1509"/>
    <n v="4"/>
    <n v="-8.68"/>
    <x v="11"/>
    <x v="0"/>
  </r>
  <r>
    <n v="44544"/>
    <x v="448"/>
    <x v="1"/>
    <x v="0"/>
    <x v="7"/>
    <s v="Assorted Color Push Pins"/>
    <x v="1510"/>
    <n v="2"/>
    <n v="0.47"/>
    <x v="11"/>
    <x v="0"/>
  </r>
  <r>
    <n v="44544"/>
    <x v="448"/>
    <x v="1"/>
    <x v="2"/>
    <x v="9"/>
    <s v="Belkin Standard 104 key USB Keyboard"/>
    <x v="1511"/>
    <n v="3"/>
    <n v="-2.19"/>
    <x v="11"/>
    <x v="0"/>
  </r>
  <r>
    <n v="44544"/>
    <x v="240"/>
    <x v="16"/>
    <x v="1"/>
    <x v="5"/>
    <s v="Iceberg Nesting Folding Chair, 19w x 6d x 43h"/>
    <x v="1512"/>
    <n v="4"/>
    <n v="13.97"/>
    <x v="11"/>
    <x v="0"/>
  </r>
  <r>
    <n v="44544"/>
    <x v="567"/>
    <x v="10"/>
    <x v="0"/>
    <x v="4"/>
    <s v="Newell 35"/>
    <x v="1386"/>
    <n v="1"/>
    <n v="0.3"/>
    <x v="11"/>
    <x v="0"/>
  </r>
  <r>
    <n v="44544"/>
    <x v="567"/>
    <x v="10"/>
    <x v="1"/>
    <x v="13"/>
    <s v="Hon Rectangular Conference Tables"/>
    <x v="1513"/>
    <n v="1"/>
    <n v="-52.34"/>
    <x v="11"/>
    <x v="0"/>
  </r>
  <r>
    <n v="44544"/>
    <x v="567"/>
    <x v="10"/>
    <x v="2"/>
    <x v="9"/>
    <s v="Plantronics CS510 - Over-the-Head monaural Wireless Headset System"/>
    <x v="592"/>
    <n v="1"/>
    <n v="42.89"/>
    <x v="11"/>
    <x v="0"/>
  </r>
  <r>
    <n v="44544"/>
    <x v="23"/>
    <x v="20"/>
    <x v="2"/>
    <x v="15"/>
    <s v="HP Designjet T520 Inkjet Large Format Printer - 24&quot; Color"/>
    <x v="1514"/>
    <n v="4"/>
    <n v="2239.9899999999998"/>
    <x v="11"/>
    <x v="0"/>
  </r>
  <r>
    <n v="44544"/>
    <x v="568"/>
    <x v="1"/>
    <x v="0"/>
    <x v="3"/>
    <s v="GBC VeloBind Cover Sets"/>
    <x v="1515"/>
    <n v="3"/>
    <n v="-13.9"/>
    <x v="11"/>
    <x v="0"/>
  </r>
  <r>
    <n v="44545"/>
    <x v="260"/>
    <x v="0"/>
    <x v="2"/>
    <x v="6"/>
    <s v="ARKON Windshield Dashboard Air Vent Car Mount Holder"/>
    <x v="1015"/>
    <n v="3"/>
    <n v="-9.15"/>
    <x v="11"/>
    <x v="0"/>
  </r>
  <r>
    <n v="44545"/>
    <x v="260"/>
    <x v="0"/>
    <x v="1"/>
    <x v="5"/>
    <s v="Lifetime Advantage Folding Chairs, 4/Carton"/>
    <x v="1516"/>
    <n v="5"/>
    <n v="-21.81"/>
    <x v="11"/>
    <x v="0"/>
  </r>
  <r>
    <n v="44545"/>
    <x v="117"/>
    <x v="3"/>
    <x v="1"/>
    <x v="8"/>
    <s v="Stackable Trays"/>
    <x v="1059"/>
    <n v="2"/>
    <n v="1.97"/>
    <x v="11"/>
    <x v="0"/>
  </r>
  <r>
    <n v="44545"/>
    <x v="569"/>
    <x v="1"/>
    <x v="1"/>
    <x v="8"/>
    <s v="Dana Swing-Arm Lamps"/>
    <x v="1009"/>
    <n v="2"/>
    <n v="-7.48"/>
    <x v="11"/>
    <x v="0"/>
  </r>
  <r>
    <n v="44545"/>
    <x v="290"/>
    <x v="2"/>
    <x v="1"/>
    <x v="5"/>
    <s v="Global Wood Trimmed Manager's Task Chair, Khaki"/>
    <x v="1517"/>
    <n v="7"/>
    <n v="-108.27"/>
    <x v="11"/>
    <x v="0"/>
  </r>
  <r>
    <n v="44546"/>
    <x v="148"/>
    <x v="16"/>
    <x v="0"/>
    <x v="3"/>
    <s v="Avery Binder Labels"/>
    <x v="1518"/>
    <n v="1"/>
    <n v="-0.86"/>
    <x v="11"/>
    <x v="0"/>
  </r>
  <r>
    <n v="44546"/>
    <x v="570"/>
    <x v="3"/>
    <x v="1"/>
    <x v="8"/>
    <s v="Executive Impressions 14&quot; Contract Wall Clock"/>
    <x v="1519"/>
    <n v="2"/>
    <n v="14.67"/>
    <x v="11"/>
    <x v="0"/>
  </r>
  <r>
    <n v="44546"/>
    <x v="570"/>
    <x v="3"/>
    <x v="1"/>
    <x v="5"/>
    <s v="DMI Arturo Collection Mission-style Design Wood Chair"/>
    <x v="1520"/>
    <n v="2"/>
    <n v="18.12"/>
    <x v="11"/>
    <x v="0"/>
  </r>
  <r>
    <n v="44546"/>
    <x v="570"/>
    <x v="3"/>
    <x v="2"/>
    <x v="9"/>
    <s v="First Data FD10 PIN Pad"/>
    <x v="1521"/>
    <n v="5"/>
    <n v="39.5"/>
    <x v="11"/>
    <x v="0"/>
  </r>
  <r>
    <n v="44546"/>
    <x v="570"/>
    <x v="3"/>
    <x v="2"/>
    <x v="6"/>
    <s v="GE 30524EE4"/>
    <x v="1522"/>
    <n v="4"/>
    <n v="70.56"/>
    <x v="11"/>
    <x v="0"/>
  </r>
  <r>
    <n v="44546"/>
    <x v="127"/>
    <x v="16"/>
    <x v="1"/>
    <x v="5"/>
    <s v="Hon Olson Stacker Stools"/>
    <x v="1523"/>
    <n v="9"/>
    <n v="101.38"/>
    <x v="11"/>
    <x v="0"/>
  </r>
  <r>
    <n v="44546"/>
    <x v="127"/>
    <x v="16"/>
    <x v="0"/>
    <x v="7"/>
    <s v="OIC Binder Clips, Mini, 1/4&quot; Capacity, Black"/>
    <x v="1183"/>
    <n v="2"/>
    <n v="0.67"/>
    <x v="11"/>
    <x v="0"/>
  </r>
  <r>
    <n v="44546"/>
    <x v="28"/>
    <x v="0"/>
    <x v="0"/>
    <x v="0"/>
    <s v="Xerox 224"/>
    <x v="1308"/>
    <n v="7"/>
    <n v="12.7"/>
    <x v="11"/>
    <x v="0"/>
  </r>
  <r>
    <n v="44546"/>
    <x v="28"/>
    <x v="0"/>
    <x v="1"/>
    <x v="8"/>
    <s v="Tenex Carpeted, Granite-Look or Clear Contemporary Contour Shape Chair Mats"/>
    <x v="1524"/>
    <n v="2"/>
    <n v="-74.95"/>
    <x v="11"/>
    <x v="0"/>
  </r>
  <r>
    <n v="44546"/>
    <x v="571"/>
    <x v="14"/>
    <x v="0"/>
    <x v="0"/>
    <s v="Xerox 1929"/>
    <x v="809"/>
    <n v="5"/>
    <n v="52.53"/>
    <x v="11"/>
    <x v="0"/>
  </r>
  <r>
    <n v="44546"/>
    <x v="572"/>
    <x v="3"/>
    <x v="1"/>
    <x v="5"/>
    <s v="Office Star - Professional Matrix Back Chair with 2-to-1 Synchro Tilt and Mesh Fabric Seat"/>
    <x v="1525"/>
    <n v="5"/>
    <n v="70.2"/>
    <x v="11"/>
    <x v="0"/>
  </r>
  <r>
    <n v="44546"/>
    <x v="224"/>
    <x v="6"/>
    <x v="2"/>
    <x v="9"/>
    <s v="Case Logic 2.4GHz Wireless Keyboard"/>
    <x v="287"/>
    <n v="2"/>
    <n v="8"/>
    <x v="11"/>
    <x v="0"/>
  </r>
  <r>
    <n v="44546"/>
    <x v="224"/>
    <x v="6"/>
    <x v="1"/>
    <x v="8"/>
    <s v="Ultra Door Push Plate"/>
    <x v="1526"/>
    <n v="6"/>
    <n v="9.7200000000000006"/>
    <x v="11"/>
    <x v="0"/>
  </r>
  <r>
    <n v="44546"/>
    <x v="573"/>
    <x v="0"/>
    <x v="2"/>
    <x v="9"/>
    <s v="Razer Kraken 7.1 Surround Sound Over Ear USB Gaming Headset"/>
    <x v="1160"/>
    <n v="4"/>
    <n v="95.99"/>
    <x v="11"/>
    <x v="0"/>
  </r>
  <r>
    <n v="44546"/>
    <x v="573"/>
    <x v="0"/>
    <x v="1"/>
    <x v="8"/>
    <s v="Longer-Life Soft White Bulbs"/>
    <x v="1527"/>
    <n v="7"/>
    <n v="-2.59"/>
    <x v="11"/>
    <x v="0"/>
  </r>
  <r>
    <n v="44547"/>
    <x v="503"/>
    <x v="4"/>
    <x v="0"/>
    <x v="4"/>
    <s v="Stanley Contemporary Battery Pencil Sharpeners"/>
    <x v="1528"/>
    <n v="3"/>
    <n v="11.21"/>
    <x v="11"/>
    <x v="0"/>
  </r>
  <r>
    <n v="44547"/>
    <x v="574"/>
    <x v="10"/>
    <x v="0"/>
    <x v="3"/>
    <s v="Newell 3-Hole Punched Plastic Slotted Magazine Holders for Binders"/>
    <x v="9"/>
    <n v="4"/>
    <n v="-4.0199999999999996"/>
    <x v="11"/>
    <x v="0"/>
  </r>
  <r>
    <n v="44549"/>
    <x v="575"/>
    <x v="16"/>
    <x v="0"/>
    <x v="3"/>
    <s v="Insertable Tab Post Binder Dividers"/>
    <x v="1529"/>
    <n v="2"/>
    <n v="-3.69"/>
    <x v="11"/>
    <x v="0"/>
  </r>
  <r>
    <n v="44549"/>
    <x v="575"/>
    <x v="16"/>
    <x v="2"/>
    <x v="9"/>
    <s v="Belkin QODE FastFit Bluetooth Keyboard"/>
    <x v="1530"/>
    <n v="5"/>
    <n v="-18.59"/>
    <x v="11"/>
    <x v="0"/>
  </r>
  <r>
    <n v="44549"/>
    <x v="576"/>
    <x v="33"/>
    <x v="0"/>
    <x v="3"/>
    <s v="Canvas Sectional Post Binders"/>
    <x v="1531"/>
    <n v="6"/>
    <n v="74.849999999999994"/>
    <x v="11"/>
    <x v="0"/>
  </r>
  <r>
    <n v="44549"/>
    <x v="576"/>
    <x v="33"/>
    <x v="0"/>
    <x v="14"/>
    <s v="Acme Stainless Steel Office Snips"/>
    <x v="1532"/>
    <n v="1"/>
    <n v="1.96"/>
    <x v="11"/>
    <x v="0"/>
  </r>
  <r>
    <n v="44549"/>
    <x v="576"/>
    <x v="33"/>
    <x v="1"/>
    <x v="5"/>
    <s v="High-Back Leather Manager's Chair"/>
    <x v="1533"/>
    <n v="14"/>
    <n v="163.79"/>
    <x v="11"/>
    <x v="0"/>
  </r>
  <r>
    <n v="44549"/>
    <x v="244"/>
    <x v="3"/>
    <x v="0"/>
    <x v="1"/>
    <s v="Avery 516"/>
    <x v="471"/>
    <n v="2"/>
    <n v="6.87"/>
    <x v="11"/>
    <x v="0"/>
  </r>
  <r>
    <n v="44549"/>
    <x v="244"/>
    <x v="3"/>
    <x v="0"/>
    <x v="7"/>
    <s v="Advantus T-Pin Paper Clips"/>
    <x v="1534"/>
    <n v="5"/>
    <n v="8.7899999999999991"/>
    <x v="11"/>
    <x v="0"/>
  </r>
  <r>
    <n v="44549"/>
    <x v="244"/>
    <x v="3"/>
    <x v="2"/>
    <x v="6"/>
    <s v="Wi-Ex zBoost YX540 Cellular Phone Signal Booster"/>
    <x v="1535"/>
    <n v="5"/>
    <n v="72.98"/>
    <x v="11"/>
    <x v="0"/>
  </r>
  <r>
    <n v="44549"/>
    <x v="244"/>
    <x v="3"/>
    <x v="2"/>
    <x v="6"/>
    <s v="Clarity 53712"/>
    <x v="1536"/>
    <n v="4"/>
    <n v="15.84"/>
    <x v="11"/>
    <x v="0"/>
  </r>
  <r>
    <n v="44549"/>
    <x v="25"/>
    <x v="1"/>
    <x v="2"/>
    <x v="6"/>
    <s v="RCA ViSYS 25425RE1 Corded phone"/>
    <x v="210"/>
    <n v="3"/>
    <n v="36.450000000000003"/>
    <x v="11"/>
    <x v="0"/>
  </r>
  <r>
    <n v="44549"/>
    <x v="25"/>
    <x v="1"/>
    <x v="0"/>
    <x v="0"/>
    <s v="Xerox 229"/>
    <x v="143"/>
    <n v="3"/>
    <n v="5.44"/>
    <x v="11"/>
    <x v="0"/>
  </r>
  <r>
    <n v="44549"/>
    <x v="25"/>
    <x v="1"/>
    <x v="0"/>
    <x v="2"/>
    <s v="Rogers Jumbo File, Granite"/>
    <x v="1537"/>
    <n v="3"/>
    <n v="-7.74"/>
    <x v="11"/>
    <x v="0"/>
  </r>
  <r>
    <n v="44550"/>
    <x v="577"/>
    <x v="6"/>
    <x v="0"/>
    <x v="2"/>
    <s v="SAFCO Commercial Wire Shelving, 72h"/>
    <x v="1538"/>
    <n v="2"/>
    <n v="0"/>
    <x v="11"/>
    <x v="0"/>
  </r>
  <r>
    <n v="44550"/>
    <x v="577"/>
    <x v="6"/>
    <x v="1"/>
    <x v="13"/>
    <s v="Chromcraft 48&quot; x 96&quot; Racetrack Double Pedestal Table"/>
    <x v="1539"/>
    <n v="7"/>
    <n v="493.79"/>
    <x v="11"/>
    <x v="0"/>
  </r>
  <r>
    <n v="44550"/>
    <x v="577"/>
    <x v="6"/>
    <x v="0"/>
    <x v="3"/>
    <s v="Wilson Jones Century Plastic Molded Ring Binders"/>
    <x v="113"/>
    <n v="3"/>
    <n v="29.29"/>
    <x v="11"/>
    <x v="0"/>
  </r>
  <r>
    <n v="44550"/>
    <x v="577"/>
    <x v="6"/>
    <x v="1"/>
    <x v="13"/>
    <s v="Hon Practical Foundations 30 x 60 Training Table, Light Gray/Charcoal"/>
    <x v="1540"/>
    <n v="2"/>
    <n v="100.12"/>
    <x v="11"/>
    <x v="0"/>
  </r>
  <r>
    <n v="44550"/>
    <x v="348"/>
    <x v="22"/>
    <x v="0"/>
    <x v="1"/>
    <s v="Avery 489"/>
    <x v="1541"/>
    <n v="3"/>
    <n v="14.9"/>
    <x v="11"/>
    <x v="0"/>
  </r>
  <r>
    <n v="44550"/>
    <x v="578"/>
    <x v="15"/>
    <x v="0"/>
    <x v="12"/>
    <s v="Hoover Commercial Soft Guard Upright Vacuum And Disposable Filtration Bags"/>
    <x v="1542"/>
    <n v="7"/>
    <n v="3.81"/>
    <x v="11"/>
    <x v="0"/>
  </r>
  <r>
    <n v="44550"/>
    <x v="578"/>
    <x v="15"/>
    <x v="1"/>
    <x v="5"/>
    <s v="SAFCO Arco Folding Chair"/>
    <x v="1543"/>
    <n v="3"/>
    <n v="74.569999999999993"/>
    <x v="11"/>
    <x v="0"/>
  </r>
  <r>
    <n v="44550"/>
    <x v="578"/>
    <x v="15"/>
    <x v="0"/>
    <x v="0"/>
    <s v="Weyerhaeuser First Choice Laser/Copy Paper (20Lb. and 88 Bright)"/>
    <x v="499"/>
    <n v="5"/>
    <n v="9.07"/>
    <x v="11"/>
    <x v="0"/>
  </r>
  <r>
    <n v="44550"/>
    <x v="283"/>
    <x v="3"/>
    <x v="0"/>
    <x v="3"/>
    <s v="Ibico Hi-Tech Manual Binding System"/>
    <x v="1544"/>
    <n v="2"/>
    <n v="152.5"/>
    <x v="11"/>
    <x v="0"/>
  </r>
  <r>
    <n v="44550"/>
    <x v="283"/>
    <x v="3"/>
    <x v="0"/>
    <x v="4"/>
    <s v="Boston Home &amp; Office Model 2000 Electric Pencil Sharpeners"/>
    <x v="1545"/>
    <n v="2"/>
    <n v="12.3"/>
    <x v="11"/>
    <x v="0"/>
  </r>
  <r>
    <n v="44550"/>
    <x v="283"/>
    <x v="3"/>
    <x v="0"/>
    <x v="4"/>
    <s v="Newell 31"/>
    <x v="1546"/>
    <n v="1"/>
    <n v="1.1599999999999999"/>
    <x v="11"/>
    <x v="0"/>
  </r>
  <r>
    <n v="44550"/>
    <x v="283"/>
    <x v="3"/>
    <x v="0"/>
    <x v="3"/>
    <s v="Premium Transparent Presentation Covers, No Pattern/Clear, 8 1/2&quot; x 11&quot;"/>
    <x v="1547"/>
    <n v="5"/>
    <n v="50.41"/>
    <x v="11"/>
    <x v="0"/>
  </r>
  <r>
    <n v="44550"/>
    <x v="460"/>
    <x v="26"/>
    <x v="2"/>
    <x v="9"/>
    <s v="Logitech G430 Surround Sound Gaming Headset with Dolby 7.1 Technology"/>
    <x v="1548"/>
    <n v="7"/>
    <n v="89.59"/>
    <x v="11"/>
    <x v="0"/>
  </r>
  <r>
    <n v="44550"/>
    <x v="579"/>
    <x v="18"/>
    <x v="0"/>
    <x v="1"/>
    <s v="Avery 487"/>
    <x v="1549"/>
    <n v="1"/>
    <n v="1.73"/>
    <x v="11"/>
    <x v="0"/>
  </r>
  <r>
    <n v="44550"/>
    <x v="579"/>
    <x v="18"/>
    <x v="0"/>
    <x v="3"/>
    <s v="Ibico Ibimaster 300 Manual Binding System"/>
    <x v="1550"/>
    <n v="3"/>
    <n v="496.79"/>
    <x v="11"/>
    <x v="0"/>
  </r>
  <r>
    <n v="44550"/>
    <x v="294"/>
    <x v="10"/>
    <x v="1"/>
    <x v="8"/>
    <s v="Eldon Cleatmat Plus Chair Mats for High Pile Carpets"/>
    <x v="1551"/>
    <n v="3"/>
    <n v="-21.47"/>
    <x v="11"/>
    <x v="0"/>
  </r>
  <r>
    <n v="44550"/>
    <x v="189"/>
    <x v="12"/>
    <x v="1"/>
    <x v="8"/>
    <s v="Computer Room Manger, 14&quot;"/>
    <x v="1552"/>
    <n v="2"/>
    <n v="10.39"/>
    <x v="11"/>
    <x v="0"/>
  </r>
  <r>
    <n v="44550"/>
    <x v="189"/>
    <x v="12"/>
    <x v="2"/>
    <x v="9"/>
    <s v="Logitech 910-002974 M325 Wireless Mouse for Web Scrolling"/>
    <x v="1553"/>
    <n v="3"/>
    <n v="21.59"/>
    <x v="11"/>
    <x v="0"/>
  </r>
  <r>
    <n v="44550"/>
    <x v="189"/>
    <x v="12"/>
    <x v="1"/>
    <x v="5"/>
    <s v="Global Low Back Tilter Chair"/>
    <x v="1554"/>
    <n v="3"/>
    <n v="-42.41"/>
    <x v="11"/>
    <x v="0"/>
  </r>
  <r>
    <n v="44550"/>
    <x v="189"/>
    <x v="12"/>
    <x v="0"/>
    <x v="0"/>
    <s v="Xerox 1888"/>
    <x v="1555"/>
    <n v="5"/>
    <n v="77.67"/>
    <x v="11"/>
    <x v="0"/>
  </r>
  <r>
    <n v="44550"/>
    <x v="189"/>
    <x v="12"/>
    <x v="0"/>
    <x v="0"/>
    <s v="Xerox 1954"/>
    <x v="174"/>
    <n v="2"/>
    <n v="2.64"/>
    <x v="11"/>
    <x v="0"/>
  </r>
  <r>
    <n v="44550"/>
    <x v="494"/>
    <x v="0"/>
    <x v="0"/>
    <x v="12"/>
    <s v="Belkin Premiere Surge Master II 8-outlet surge protector"/>
    <x v="1556"/>
    <n v="2"/>
    <n v="-49.55"/>
    <x v="11"/>
    <x v="0"/>
  </r>
  <r>
    <n v="44550"/>
    <x v="494"/>
    <x v="0"/>
    <x v="2"/>
    <x v="9"/>
    <s v="Logitech Desktop MK120 Mouse and keyboard Combo"/>
    <x v="1557"/>
    <n v="5"/>
    <n v="-8.18"/>
    <x v="11"/>
    <x v="0"/>
  </r>
  <r>
    <n v="44550"/>
    <x v="436"/>
    <x v="20"/>
    <x v="1"/>
    <x v="5"/>
    <s v="Harbour Creations 67200 Series Stacking Chairs"/>
    <x v="1558"/>
    <n v="3"/>
    <n v="36.299999999999997"/>
    <x v="11"/>
    <x v="0"/>
  </r>
  <r>
    <n v="44551"/>
    <x v="95"/>
    <x v="3"/>
    <x v="1"/>
    <x v="5"/>
    <s v="SAFCO Arco Folding Chair"/>
    <x v="1559"/>
    <n v="6"/>
    <n v="149.15"/>
    <x v="11"/>
    <x v="0"/>
  </r>
  <r>
    <n v="44551"/>
    <x v="95"/>
    <x v="3"/>
    <x v="1"/>
    <x v="5"/>
    <s v="Safco Contoured Stacking Chairs"/>
    <x v="1560"/>
    <n v="3"/>
    <n v="35.76"/>
    <x v="11"/>
    <x v="0"/>
  </r>
  <r>
    <n v="44551"/>
    <x v="285"/>
    <x v="15"/>
    <x v="0"/>
    <x v="3"/>
    <s v="Ibico Plastic Spiral Binding Combs"/>
    <x v="459"/>
    <n v="2"/>
    <n v="-14.59"/>
    <x v="11"/>
    <x v="0"/>
  </r>
  <r>
    <n v="44551"/>
    <x v="405"/>
    <x v="7"/>
    <x v="0"/>
    <x v="1"/>
    <s v="Avery 492"/>
    <x v="1561"/>
    <n v="6"/>
    <n v="7.95"/>
    <x v="11"/>
    <x v="0"/>
  </r>
  <r>
    <n v="44552"/>
    <x v="580"/>
    <x v="3"/>
    <x v="0"/>
    <x v="4"/>
    <s v="Newell 332"/>
    <x v="1562"/>
    <n v="4"/>
    <n v="3.18"/>
    <x v="11"/>
    <x v="0"/>
  </r>
  <r>
    <n v="44552"/>
    <x v="214"/>
    <x v="20"/>
    <x v="0"/>
    <x v="2"/>
    <s v="Desktop 3-Pocket Hot File"/>
    <x v="1563"/>
    <n v="4"/>
    <n v="56.26"/>
    <x v="11"/>
    <x v="0"/>
  </r>
  <r>
    <n v="44552"/>
    <x v="377"/>
    <x v="1"/>
    <x v="0"/>
    <x v="2"/>
    <s v="Economy Rollaway Files"/>
    <x v="1564"/>
    <n v="1"/>
    <n v="9.91"/>
    <x v="11"/>
    <x v="0"/>
  </r>
  <r>
    <n v="44552"/>
    <x v="377"/>
    <x v="1"/>
    <x v="0"/>
    <x v="3"/>
    <s v="Recycled Easel Ring Binders"/>
    <x v="558"/>
    <n v="6"/>
    <n v="-31.33"/>
    <x v="11"/>
    <x v="0"/>
  </r>
  <r>
    <n v="44552"/>
    <x v="377"/>
    <x v="1"/>
    <x v="0"/>
    <x v="0"/>
    <s v="White Computer Printout Paper by Universal"/>
    <x v="1565"/>
    <n v="4"/>
    <n v="44.96"/>
    <x v="11"/>
    <x v="0"/>
  </r>
  <r>
    <n v="44552"/>
    <x v="581"/>
    <x v="20"/>
    <x v="0"/>
    <x v="3"/>
    <s v="Lock-Up Easel 'Spel-Binder'"/>
    <x v="1566"/>
    <n v="13"/>
    <n v="100.14"/>
    <x v="11"/>
    <x v="0"/>
  </r>
  <r>
    <n v="44553"/>
    <x v="582"/>
    <x v="18"/>
    <x v="0"/>
    <x v="12"/>
    <s v="Belkin F9H710-06 7 Outlet SurgeMaster Surge Protector"/>
    <x v="1567"/>
    <n v="11"/>
    <n v="58.03"/>
    <x v="11"/>
    <x v="0"/>
  </r>
  <r>
    <n v="44553"/>
    <x v="495"/>
    <x v="20"/>
    <x v="1"/>
    <x v="13"/>
    <s v="Hon 61000 Series Interactive Training Tables"/>
    <x v="1568"/>
    <n v="2"/>
    <n v="-19.55"/>
    <x v="11"/>
    <x v="0"/>
  </r>
  <r>
    <n v="44553"/>
    <x v="495"/>
    <x v="20"/>
    <x v="0"/>
    <x v="12"/>
    <s v="Belkin F9H710-06 7 Outlet SurgeMaster Surge Protector"/>
    <x v="1274"/>
    <n v="3"/>
    <n v="15.83"/>
    <x v="11"/>
    <x v="0"/>
  </r>
  <r>
    <n v="44553"/>
    <x v="311"/>
    <x v="0"/>
    <x v="0"/>
    <x v="0"/>
    <s v="Xerox 2000"/>
    <x v="193"/>
    <n v="1"/>
    <n v="1.81"/>
    <x v="11"/>
    <x v="0"/>
  </r>
  <r>
    <n v="44553"/>
    <x v="583"/>
    <x v="16"/>
    <x v="0"/>
    <x v="0"/>
    <s v="Computer Printout Paper with Letter-Trim Perforations"/>
    <x v="1569"/>
    <n v="3"/>
    <n v="15.93"/>
    <x v="11"/>
    <x v="0"/>
  </r>
  <r>
    <n v="44553"/>
    <x v="583"/>
    <x v="16"/>
    <x v="1"/>
    <x v="5"/>
    <s v="Padded Folding Chairs, Black, 4/Carton"/>
    <x v="876"/>
    <n v="1"/>
    <n v="6.48"/>
    <x v="11"/>
    <x v="0"/>
  </r>
  <r>
    <n v="44553"/>
    <x v="583"/>
    <x v="16"/>
    <x v="0"/>
    <x v="2"/>
    <s v="Tennsco 6- and 18-Compartment Lockers"/>
    <x v="1570"/>
    <n v="2"/>
    <n v="-10.61"/>
    <x v="11"/>
    <x v="0"/>
  </r>
  <r>
    <n v="44553"/>
    <x v="583"/>
    <x v="16"/>
    <x v="0"/>
    <x v="4"/>
    <s v="Prang Dustless Chalk Sticks"/>
    <x v="1151"/>
    <n v="1"/>
    <n v="0.5"/>
    <x v="11"/>
    <x v="0"/>
  </r>
  <r>
    <n v="44553"/>
    <x v="583"/>
    <x v="16"/>
    <x v="0"/>
    <x v="2"/>
    <s v="Acco Perma 3000 Stacking Storage Drawers"/>
    <x v="894"/>
    <n v="5"/>
    <n v="-1.05"/>
    <x v="11"/>
    <x v="0"/>
  </r>
  <r>
    <n v="44554"/>
    <x v="321"/>
    <x v="16"/>
    <x v="0"/>
    <x v="0"/>
    <s v="Xerox 1974"/>
    <x v="1571"/>
    <n v="2"/>
    <n v="3.47"/>
    <x v="11"/>
    <x v="0"/>
  </r>
  <r>
    <n v="44554"/>
    <x v="218"/>
    <x v="10"/>
    <x v="1"/>
    <x v="8"/>
    <s v="Master Giant Foot Doorstop, Safety Yellow"/>
    <x v="1572"/>
    <n v="5"/>
    <n v="8.73"/>
    <x v="11"/>
    <x v="0"/>
  </r>
  <r>
    <n v="44554"/>
    <x v="520"/>
    <x v="3"/>
    <x v="0"/>
    <x v="2"/>
    <s v="Letter Size Cart"/>
    <x v="1573"/>
    <n v="1"/>
    <n v="41.43"/>
    <x v="11"/>
    <x v="0"/>
  </r>
  <r>
    <n v="44554"/>
    <x v="520"/>
    <x v="3"/>
    <x v="1"/>
    <x v="5"/>
    <s v="Global Value Mid-Back Manager's Chair, Gray"/>
    <x v="1574"/>
    <n v="6"/>
    <n v="18.27"/>
    <x v="11"/>
    <x v="0"/>
  </r>
  <r>
    <n v="44554"/>
    <x v="151"/>
    <x v="3"/>
    <x v="2"/>
    <x v="6"/>
    <s v="Seidio BD2-HK3IPH5-BK DILEX Case and Holster Combo for Apple iPhone 5/5s - Black"/>
    <x v="1575"/>
    <n v="7"/>
    <n v="17.37"/>
    <x v="11"/>
    <x v="0"/>
  </r>
  <r>
    <n v="44554"/>
    <x v="151"/>
    <x v="3"/>
    <x v="0"/>
    <x v="12"/>
    <s v="Avanti 4.4 Cu. Ft. Refrigerator"/>
    <x v="1576"/>
    <n v="2"/>
    <n v="101.35"/>
    <x v="11"/>
    <x v="0"/>
  </r>
  <r>
    <n v="44554"/>
    <x v="151"/>
    <x v="3"/>
    <x v="2"/>
    <x v="9"/>
    <s v="Sony 32GB Class 10 Micro SDHC R40 Memory Card"/>
    <x v="1577"/>
    <n v="3"/>
    <n v="13.2"/>
    <x v="11"/>
    <x v="0"/>
  </r>
  <r>
    <n v="44554"/>
    <x v="151"/>
    <x v="3"/>
    <x v="2"/>
    <x v="6"/>
    <s v="Cisco Unified IP Phone 7945G VoIP phone"/>
    <x v="1578"/>
    <n v="3"/>
    <n v="51.15"/>
    <x v="11"/>
    <x v="0"/>
  </r>
  <r>
    <n v="44554"/>
    <x v="151"/>
    <x v="3"/>
    <x v="0"/>
    <x v="2"/>
    <s v="Tennsco Commercial Shelving"/>
    <x v="1579"/>
    <n v="1"/>
    <n v="0.2"/>
    <x v="11"/>
    <x v="0"/>
  </r>
  <r>
    <n v="44554"/>
    <x v="151"/>
    <x v="3"/>
    <x v="1"/>
    <x v="8"/>
    <s v="Westinghouse Floor Lamp with Metal Mesh Shade, Black"/>
    <x v="664"/>
    <n v="1"/>
    <n v="5.52"/>
    <x v="11"/>
    <x v="0"/>
  </r>
  <r>
    <n v="44554"/>
    <x v="423"/>
    <x v="3"/>
    <x v="0"/>
    <x v="12"/>
    <s v="Belkin 7-Outlet SurgeMaster Home Series"/>
    <x v="1580"/>
    <n v="1"/>
    <n v="3.63"/>
    <x v="11"/>
    <x v="0"/>
  </r>
  <r>
    <n v="44556"/>
    <x v="525"/>
    <x v="0"/>
    <x v="1"/>
    <x v="5"/>
    <s v="Global Deluxe High-Back Manager's Chair"/>
    <x v="1581"/>
    <n v="3"/>
    <n v="-8.58"/>
    <x v="11"/>
    <x v="0"/>
  </r>
  <r>
    <n v="44556"/>
    <x v="254"/>
    <x v="26"/>
    <x v="1"/>
    <x v="8"/>
    <s v="Howard Miller 13&quot; Diameter Goldtone Round Wall Clock"/>
    <x v="1582"/>
    <n v="8"/>
    <n v="78.86"/>
    <x v="11"/>
    <x v="0"/>
  </r>
  <r>
    <n v="44556"/>
    <x v="254"/>
    <x v="26"/>
    <x v="1"/>
    <x v="5"/>
    <s v="Global Deluxe Office Fabric Chairs"/>
    <x v="1583"/>
    <n v="3"/>
    <n v="20.16"/>
    <x v="11"/>
    <x v="0"/>
  </r>
  <r>
    <n v="44556"/>
    <x v="254"/>
    <x v="26"/>
    <x v="1"/>
    <x v="8"/>
    <s v="Eldon ClusterMat Chair Mat with Cordless Antistatic Protection"/>
    <x v="1584"/>
    <n v="3"/>
    <n v="-24.56"/>
    <x v="11"/>
    <x v="0"/>
  </r>
  <r>
    <n v="44556"/>
    <x v="254"/>
    <x v="26"/>
    <x v="0"/>
    <x v="3"/>
    <s v="Ibico Laser Imprintable Binding System Covers"/>
    <x v="1585"/>
    <n v="5"/>
    <n v="-62.88"/>
    <x v="11"/>
    <x v="0"/>
  </r>
  <r>
    <n v="44556"/>
    <x v="254"/>
    <x v="26"/>
    <x v="0"/>
    <x v="7"/>
    <s v="Vinyl Coated Wire Paper Clips in Organizer Box, 800/Box"/>
    <x v="1586"/>
    <n v="3"/>
    <n v="9.3000000000000007"/>
    <x v="11"/>
    <x v="0"/>
  </r>
  <r>
    <n v="44556"/>
    <x v="103"/>
    <x v="1"/>
    <x v="0"/>
    <x v="3"/>
    <s v="Cardinal Slant-D Ring Binder, Heavy Gauge Vinyl"/>
    <x v="1587"/>
    <n v="5"/>
    <n v="-14.77"/>
    <x v="11"/>
    <x v="0"/>
  </r>
  <r>
    <n v="44556"/>
    <x v="584"/>
    <x v="3"/>
    <x v="0"/>
    <x v="14"/>
    <s v="Acme Rosewood Handle Letter Opener"/>
    <x v="1588"/>
    <n v="3"/>
    <n v="0.12"/>
    <x v="11"/>
    <x v="0"/>
  </r>
  <r>
    <n v="44556"/>
    <x v="584"/>
    <x v="3"/>
    <x v="1"/>
    <x v="8"/>
    <s v="Eldon Regeneration Recycled Desk Accessories, Smoke"/>
    <x v="1589"/>
    <n v="2"/>
    <n v="1.1100000000000001"/>
    <x v="11"/>
    <x v="0"/>
  </r>
  <r>
    <n v="44556"/>
    <x v="585"/>
    <x v="2"/>
    <x v="0"/>
    <x v="0"/>
    <s v="Wirebound Message Books, Two 4 1/4&quot; x 5&quot; Forms per Page"/>
    <x v="1109"/>
    <n v="3"/>
    <n v="6.16"/>
    <x v="11"/>
    <x v="0"/>
  </r>
  <r>
    <n v="44556"/>
    <x v="585"/>
    <x v="2"/>
    <x v="0"/>
    <x v="12"/>
    <s v="Holmes 99% HEPA Air Purifier"/>
    <x v="1590"/>
    <n v="2"/>
    <n v="5.63"/>
    <x v="11"/>
    <x v="0"/>
  </r>
  <r>
    <n v="44556"/>
    <x v="585"/>
    <x v="2"/>
    <x v="0"/>
    <x v="12"/>
    <s v="Tripp Lite TLP810NET Broadband Surge for Modem/Fax"/>
    <x v="1591"/>
    <n v="2"/>
    <n v="8.16"/>
    <x v="11"/>
    <x v="0"/>
  </r>
  <r>
    <n v="44556"/>
    <x v="585"/>
    <x v="2"/>
    <x v="0"/>
    <x v="2"/>
    <s v="Sensible Storage WireTech Storage Systems"/>
    <x v="1592"/>
    <n v="4"/>
    <n v="-42.59"/>
    <x v="11"/>
    <x v="0"/>
  </r>
  <r>
    <n v="44556"/>
    <x v="463"/>
    <x v="20"/>
    <x v="0"/>
    <x v="2"/>
    <s v="Fellowes Bankers Box Stor/Drawer Steel Plus"/>
    <x v="1593"/>
    <n v="6"/>
    <n v="19.190000000000001"/>
    <x v="11"/>
    <x v="0"/>
  </r>
  <r>
    <n v="44556"/>
    <x v="135"/>
    <x v="2"/>
    <x v="0"/>
    <x v="4"/>
    <s v="Eldon Spacemaker Box, Quick-Snap Lid, Clear"/>
    <x v="202"/>
    <n v="3"/>
    <n v="1.1000000000000001"/>
    <x v="11"/>
    <x v="0"/>
  </r>
  <r>
    <n v="44557"/>
    <x v="538"/>
    <x v="3"/>
    <x v="0"/>
    <x v="1"/>
    <s v="Staple-on labels"/>
    <x v="825"/>
    <n v="4"/>
    <n v="5.43"/>
    <x v="11"/>
    <x v="0"/>
  </r>
  <r>
    <n v="44557"/>
    <x v="261"/>
    <x v="1"/>
    <x v="1"/>
    <x v="8"/>
    <s v="DAX Wood Document Frame"/>
    <x v="226"/>
    <n v="6"/>
    <n v="-19.77"/>
    <x v="11"/>
    <x v="0"/>
  </r>
  <r>
    <n v="44557"/>
    <x v="261"/>
    <x v="1"/>
    <x v="0"/>
    <x v="2"/>
    <s v="Staple magnet"/>
    <x v="1594"/>
    <n v="4"/>
    <n v="3"/>
    <x v="11"/>
    <x v="0"/>
  </r>
  <r>
    <n v="44557"/>
    <x v="467"/>
    <x v="3"/>
    <x v="1"/>
    <x v="5"/>
    <s v="Bevis Steel Folding Chairs"/>
    <x v="367"/>
    <n v="3"/>
    <n v="23.03"/>
    <x v="11"/>
    <x v="0"/>
  </r>
  <r>
    <n v="44557"/>
    <x v="467"/>
    <x v="3"/>
    <x v="0"/>
    <x v="0"/>
    <s v="Xerox 1927"/>
    <x v="1282"/>
    <n v="3"/>
    <n v="5.78"/>
    <x v="11"/>
    <x v="0"/>
  </r>
  <r>
    <n v="44557"/>
    <x v="586"/>
    <x v="20"/>
    <x v="1"/>
    <x v="5"/>
    <s v="Global Push Button Manager's Chair, Indigo"/>
    <x v="1595"/>
    <n v="14"/>
    <n v="161.97"/>
    <x v="11"/>
    <x v="0"/>
  </r>
  <r>
    <n v="44557"/>
    <x v="33"/>
    <x v="3"/>
    <x v="0"/>
    <x v="12"/>
    <s v="Staple holder"/>
    <x v="1300"/>
    <n v="1"/>
    <n v="2.96"/>
    <x v="11"/>
    <x v="0"/>
  </r>
  <r>
    <n v="44557"/>
    <x v="33"/>
    <x v="3"/>
    <x v="0"/>
    <x v="7"/>
    <s v="Staples"/>
    <x v="1230"/>
    <n v="3"/>
    <n v="3.62"/>
    <x v="11"/>
    <x v="0"/>
  </r>
  <r>
    <n v="44557"/>
    <x v="33"/>
    <x v="3"/>
    <x v="0"/>
    <x v="2"/>
    <s v="Advantus Rolling Storage Box"/>
    <x v="1596"/>
    <n v="3"/>
    <n v="13.89"/>
    <x v="11"/>
    <x v="0"/>
  </r>
  <r>
    <n v="44557"/>
    <x v="33"/>
    <x v="3"/>
    <x v="0"/>
    <x v="3"/>
    <s v="GBC VeloBind Cover Sets"/>
    <x v="1597"/>
    <n v="3"/>
    <n v="13.9"/>
    <x v="11"/>
    <x v="0"/>
  </r>
  <r>
    <n v="44557"/>
    <x v="498"/>
    <x v="33"/>
    <x v="0"/>
    <x v="0"/>
    <s v="Xerox 1983"/>
    <x v="635"/>
    <n v="4"/>
    <n v="11.72"/>
    <x v="11"/>
    <x v="0"/>
  </r>
  <r>
    <n v="44557"/>
    <x v="498"/>
    <x v="33"/>
    <x v="2"/>
    <x v="9"/>
    <s v="Enermax Acrylux Wireless Keyboard"/>
    <x v="1598"/>
    <n v="5"/>
    <n v="184.26"/>
    <x v="11"/>
    <x v="0"/>
  </r>
  <r>
    <n v="44557"/>
    <x v="180"/>
    <x v="0"/>
    <x v="0"/>
    <x v="3"/>
    <s v="GBC Standard Therm-A-Bind Covers"/>
    <x v="1599"/>
    <n v="1"/>
    <n v="-8.4700000000000006"/>
    <x v="11"/>
    <x v="0"/>
  </r>
  <r>
    <n v="44557"/>
    <x v="366"/>
    <x v="10"/>
    <x v="1"/>
    <x v="8"/>
    <s v="Eldon &quot;L&quot; Workstation Diamond Chairmat"/>
    <x v="1600"/>
    <n v="3"/>
    <n v="-18.239999999999998"/>
    <x v="11"/>
    <x v="0"/>
  </r>
  <r>
    <n v="44557"/>
    <x v="366"/>
    <x v="10"/>
    <x v="0"/>
    <x v="2"/>
    <s v="Safco Industrial Shelving"/>
    <x v="1601"/>
    <n v="2"/>
    <n v="-25.11"/>
    <x v="11"/>
    <x v="0"/>
  </r>
  <r>
    <n v="44557"/>
    <x v="218"/>
    <x v="12"/>
    <x v="0"/>
    <x v="3"/>
    <s v="GBC DocuBind 300 Electric Binding Machine"/>
    <x v="1602"/>
    <n v="6"/>
    <n v="-694.29"/>
    <x v="11"/>
    <x v="0"/>
  </r>
  <r>
    <n v="44558"/>
    <x v="569"/>
    <x v="2"/>
    <x v="0"/>
    <x v="4"/>
    <s v="Boston School Pro Electric Pencil Sharpener, 1670"/>
    <x v="1603"/>
    <n v="4"/>
    <n v="8.67"/>
    <x v="11"/>
    <x v="0"/>
  </r>
  <r>
    <n v="44558"/>
    <x v="8"/>
    <x v="32"/>
    <x v="0"/>
    <x v="12"/>
    <s v="Hoover Upright Vacuum With Dirt Cup"/>
    <x v="1604"/>
    <n v="6"/>
    <n v="503.78"/>
    <x v="11"/>
    <x v="0"/>
  </r>
  <r>
    <n v="44558"/>
    <x v="8"/>
    <x v="32"/>
    <x v="0"/>
    <x v="2"/>
    <s v="Fellowes Strictly Business Drawer File, Letter/Legal Size"/>
    <x v="1605"/>
    <n v="5"/>
    <n v="84.51"/>
    <x v="11"/>
    <x v="0"/>
  </r>
  <r>
    <n v="44558"/>
    <x v="8"/>
    <x v="32"/>
    <x v="0"/>
    <x v="0"/>
    <s v="Xerox 1906"/>
    <x v="1606"/>
    <n v="4"/>
    <n v="66.63"/>
    <x v="11"/>
    <x v="0"/>
  </r>
  <r>
    <n v="44558"/>
    <x v="496"/>
    <x v="3"/>
    <x v="0"/>
    <x v="2"/>
    <s v="Carina Mini System Audio Rack, Model AR050B"/>
    <x v="1607"/>
    <n v="9"/>
    <n v="29.96"/>
    <x v="11"/>
    <x v="0"/>
  </r>
  <r>
    <n v="44558"/>
    <x v="496"/>
    <x v="3"/>
    <x v="0"/>
    <x v="14"/>
    <s v="Acme Box Cutter Scissors"/>
    <x v="1608"/>
    <n v="5"/>
    <n v="13.3"/>
    <x v="11"/>
    <x v="0"/>
  </r>
  <r>
    <n v="44559"/>
    <x v="587"/>
    <x v="28"/>
    <x v="0"/>
    <x v="2"/>
    <s v="Recycled Eldon Regeneration Jumbo File"/>
    <x v="396"/>
    <n v="2"/>
    <n v="6.88"/>
    <x v="11"/>
    <x v="0"/>
  </r>
  <r>
    <n v="44559"/>
    <x v="587"/>
    <x v="28"/>
    <x v="2"/>
    <x v="9"/>
    <s v="ImationÂ 32GB Pocket Pro USB 3.0Â Flash DriveÂ - 32 GB - Black - 1 P ..."/>
    <x v="1451"/>
    <n v="4"/>
    <n v="47.92"/>
    <x v="11"/>
    <x v="0"/>
  </r>
  <r>
    <n v="44559"/>
    <x v="202"/>
    <x v="3"/>
    <x v="1"/>
    <x v="8"/>
    <s v="Stacking Trays by OIC"/>
    <x v="236"/>
    <n v="5"/>
    <n v="8.2200000000000006"/>
    <x v="11"/>
    <x v="0"/>
  </r>
  <r>
    <n v="44559"/>
    <x v="202"/>
    <x v="3"/>
    <x v="0"/>
    <x v="0"/>
    <s v="Xerox 1981"/>
    <x v="1609"/>
    <n v="4"/>
    <n v="9.5"/>
    <x v="11"/>
    <x v="0"/>
  </r>
  <r>
    <n v="44559"/>
    <x v="202"/>
    <x v="3"/>
    <x v="2"/>
    <x v="15"/>
    <s v="DYMO CardScan Personal V9 Business Card Scanner"/>
    <x v="1610"/>
    <n v="6"/>
    <n v="287.98"/>
    <x v="11"/>
    <x v="0"/>
  </r>
  <r>
    <n v="44559"/>
    <x v="202"/>
    <x v="3"/>
    <x v="0"/>
    <x v="3"/>
    <s v="Avery Hanging File Binders"/>
    <x v="632"/>
    <n v="3"/>
    <n v="4.66"/>
    <x v="11"/>
    <x v="0"/>
  </r>
  <r>
    <n v="44559"/>
    <x v="202"/>
    <x v="3"/>
    <x v="2"/>
    <x v="6"/>
    <s v="Mophie Juice Pack Helium for iPhone"/>
    <x v="1611"/>
    <n v="3"/>
    <n v="19.2"/>
    <x v="11"/>
    <x v="0"/>
  </r>
  <r>
    <n v="44559"/>
    <x v="202"/>
    <x v="3"/>
    <x v="0"/>
    <x v="1"/>
    <s v="Avery 477"/>
    <x v="1612"/>
    <n v="9"/>
    <n v="126.39"/>
    <x v="11"/>
    <x v="0"/>
  </r>
  <r>
    <n v="44559"/>
    <x v="202"/>
    <x v="3"/>
    <x v="1"/>
    <x v="8"/>
    <s v="Executive Impressions 10&quot; Spectator Wall Clock"/>
    <x v="672"/>
    <n v="6"/>
    <n v="23.99"/>
    <x v="11"/>
    <x v="0"/>
  </r>
  <r>
    <n v="44559"/>
    <x v="43"/>
    <x v="31"/>
    <x v="2"/>
    <x v="6"/>
    <s v="Mediabridge Sport Armband iPhone 5s"/>
    <x v="837"/>
    <n v="3"/>
    <n v="-5.69"/>
    <x v="11"/>
    <x v="0"/>
  </r>
  <r>
    <n v="44559"/>
    <x v="43"/>
    <x v="31"/>
    <x v="0"/>
    <x v="2"/>
    <s v="Fellowes Bases and Tops For Staxonsteel/High-Stak Systems"/>
    <x v="1613"/>
    <n v="1"/>
    <n v="7.99"/>
    <x v="11"/>
    <x v="0"/>
  </r>
  <r>
    <n v="44559"/>
    <x v="456"/>
    <x v="1"/>
    <x v="1"/>
    <x v="8"/>
    <s v="Tenex Chairmats For Use with Hard Floors"/>
    <x v="1614"/>
    <n v="3"/>
    <n v="-50.67"/>
    <x v="11"/>
    <x v="0"/>
  </r>
  <r>
    <n v="44559"/>
    <x v="588"/>
    <x v="1"/>
    <x v="1"/>
    <x v="8"/>
    <s v="Master Caster Door Stop, Large Brown"/>
    <x v="1615"/>
    <n v="3"/>
    <n v="-4.8"/>
    <x v="11"/>
    <x v="0"/>
  </r>
  <r>
    <n v="44559"/>
    <x v="170"/>
    <x v="3"/>
    <x v="0"/>
    <x v="1"/>
    <s v="Alphabetical Labels for Top Tab Filing"/>
    <x v="1616"/>
    <n v="6"/>
    <n v="44.4"/>
    <x v="11"/>
    <x v="0"/>
  </r>
  <r>
    <n v="44559"/>
    <x v="170"/>
    <x v="3"/>
    <x v="2"/>
    <x v="6"/>
    <s v="HTC One"/>
    <x v="1160"/>
    <n v="4"/>
    <n v="36"/>
    <x v="11"/>
    <x v="0"/>
  </r>
  <r>
    <n v="44559"/>
    <x v="589"/>
    <x v="10"/>
    <x v="0"/>
    <x v="12"/>
    <s v="Acco 6 Outlet Guardian Standard Surge Suppressor"/>
    <x v="1617"/>
    <n v="5"/>
    <n v="6.05"/>
    <x v="11"/>
    <x v="0"/>
  </r>
  <r>
    <n v="44560"/>
    <x v="590"/>
    <x v="14"/>
    <x v="0"/>
    <x v="4"/>
    <s v="Newell 350"/>
    <x v="1026"/>
    <n v="3"/>
    <n v="2.85"/>
    <x v="11"/>
    <x v="0"/>
  </r>
  <r>
    <n v="44560"/>
    <x v="386"/>
    <x v="0"/>
    <x v="0"/>
    <x v="10"/>
    <s v="Fashion Color Clasp Envelopes"/>
    <x v="1618"/>
    <n v="3"/>
    <n v="4.71"/>
    <x v="11"/>
    <x v="0"/>
  </r>
  <r>
    <n v="44560"/>
    <x v="386"/>
    <x v="0"/>
    <x v="2"/>
    <x v="6"/>
    <s v="Plantronics CS 50-USB -Â headsetÂ - Convertible, Monaural"/>
    <x v="1619"/>
    <n v="2"/>
    <n v="19.04"/>
    <x v="11"/>
    <x v="0"/>
  </r>
  <r>
    <n v="44560"/>
    <x v="386"/>
    <x v="0"/>
    <x v="2"/>
    <x v="6"/>
    <s v="AT&amp;T 1080 Corded phone"/>
    <x v="1620"/>
    <n v="3"/>
    <n v="28.77"/>
    <x v="11"/>
    <x v="0"/>
  </r>
  <r>
    <n v="44560"/>
    <x v="386"/>
    <x v="0"/>
    <x v="0"/>
    <x v="3"/>
    <s v="Acco Hanging Data Binders"/>
    <x v="1621"/>
    <n v="3"/>
    <n v="-3.66"/>
    <x v="11"/>
    <x v="0"/>
  </r>
  <r>
    <n v="44560"/>
    <x v="386"/>
    <x v="0"/>
    <x v="2"/>
    <x v="9"/>
    <s v="Logitech 910-002974 M325 Wireless Mouse for Web Scrolling"/>
    <x v="972"/>
    <n v="2"/>
    <n v="14.4"/>
    <x v="11"/>
    <x v="0"/>
  </r>
  <r>
    <n v="44560"/>
    <x v="591"/>
    <x v="12"/>
    <x v="0"/>
    <x v="3"/>
    <s v="Ibico Ibimaster 300 Manual Binding System"/>
    <x v="1622"/>
    <n v="5"/>
    <n v="-459.99"/>
    <x v="11"/>
    <x v="0"/>
  </r>
  <r>
    <n v="44560"/>
    <x v="41"/>
    <x v="2"/>
    <x v="2"/>
    <x v="9"/>
    <s v="Maxell Pro 80 Minute CD-R, 10/Pack"/>
    <x v="1623"/>
    <n v="2"/>
    <n v="6.99"/>
    <x v="11"/>
    <x v="0"/>
  </r>
  <r>
    <n v="44560"/>
    <x v="592"/>
    <x v="2"/>
    <x v="2"/>
    <x v="6"/>
    <s v="ClearSounds CSC500 Amplified Spirit Phone Corded phone"/>
    <x v="1624"/>
    <n v="6"/>
    <n v="-50.39"/>
    <x v="11"/>
    <x v="0"/>
  </r>
  <r>
    <n v="44560"/>
    <x v="592"/>
    <x v="2"/>
    <x v="1"/>
    <x v="13"/>
    <s v="Hon 5100 Series Wood Tables"/>
    <x v="1625"/>
    <n v="3"/>
    <n v="-192.05"/>
    <x v="11"/>
    <x v="0"/>
  </r>
  <r>
    <n v="44560"/>
    <x v="404"/>
    <x v="20"/>
    <x v="0"/>
    <x v="12"/>
    <s v="Kensington 6 Outlet SmartSocket Surge Protector"/>
    <x v="224"/>
    <n v="3"/>
    <n v="30.74"/>
    <x v="11"/>
    <x v="0"/>
  </r>
  <r>
    <n v="44560"/>
    <x v="404"/>
    <x v="20"/>
    <x v="0"/>
    <x v="3"/>
    <s v="Cardinal HOLDit! Binder Insert Strips,Extra Strips"/>
    <x v="1626"/>
    <n v="7"/>
    <n v="12.85"/>
    <x v="11"/>
    <x v="0"/>
  </r>
  <r>
    <n v="44560"/>
    <x v="118"/>
    <x v="15"/>
    <x v="0"/>
    <x v="2"/>
    <s v="Tennsco Industrial Shelving"/>
    <x v="1627"/>
    <n v="1"/>
    <n v="-8.8000000000000007"/>
    <x v="11"/>
    <x v="0"/>
  </r>
  <r>
    <n v="44561"/>
    <x v="593"/>
    <x v="20"/>
    <x v="1"/>
    <x v="11"/>
    <s v="Atlantic Metals Mobile 4-Shelf Bookcases, Custom Colors"/>
    <x v="1628"/>
    <n v="7"/>
    <n v="196.69"/>
    <x v="11"/>
    <x v="0"/>
  </r>
  <r>
    <n v="44561"/>
    <x v="274"/>
    <x v="24"/>
    <x v="0"/>
    <x v="4"/>
    <s v="BIC Brite Liner Grip Highlighters, Assorted, 5/Pack"/>
    <x v="1629"/>
    <n v="7"/>
    <n v="11.58"/>
    <x v="11"/>
    <x v="0"/>
  </r>
  <r>
    <n v="44561"/>
    <x v="274"/>
    <x v="24"/>
    <x v="2"/>
    <x v="9"/>
    <s v="Sabrent 4-Port USB 2.0 Hub"/>
    <x v="1630"/>
    <n v="7"/>
    <n v="16.16"/>
    <x v="11"/>
    <x v="0"/>
  </r>
  <r>
    <n v="44561"/>
    <x v="146"/>
    <x v="32"/>
    <x v="1"/>
    <x v="8"/>
    <s v="Nu-Dell Executive Frame"/>
    <x v="1631"/>
    <n v="5"/>
    <n v="23.38"/>
    <x v="11"/>
    <x v="0"/>
  </r>
  <r>
    <n v="44561"/>
    <x v="146"/>
    <x v="32"/>
    <x v="2"/>
    <x v="9"/>
    <s v="ImationÂ SecureÂ DriveÂ + Hardware Encrypted USBÂ flash driveÂ - 16 GB"/>
    <x v="1632"/>
    <n v="3"/>
    <n v="27.35"/>
    <x v="11"/>
    <x v="0"/>
  </r>
  <r>
    <n v="44561"/>
    <x v="507"/>
    <x v="0"/>
    <x v="0"/>
    <x v="10"/>
    <s v="Staple envelope"/>
    <x v="827"/>
    <n v="2"/>
    <n v="17.97"/>
    <x v="11"/>
    <x v="0"/>
  </r>
  <r>
    <n v="44561"/>
    <x v="307"/>
    <x v="43"/>
    <x v="0"/>
    <x v="0"/>
    <s v="Xerox 1917"/>
    <x v="1633"/>
    <n v="4"/>
    <n v="91.95"/>
    <x v="11"/>
    <x v="0"/>
  </r>
  <r>
    <n v="44561"/>
    <x v="307"/>
    <x v="43"/>
    <x v="0"/>
    <x v="0"/>
    <s v="Xerox 1970"/>
    <x v="98"/>
    <n v="3"/>
    <n v="7.02"/>
    <x v="11"/>
    <x v="0"/>
  </r>
  <r>
    <n v="44561"/>
    <x v="307"/>
    <x v="43"/>
    <x v="2"/>
    <x v="9"/>
    <s v="Plantronics Savi W720 Multi-Device Wireless Headset System"/>
    <x v="1634"/>
    <n v="4"/>
    <n v="742.63"/>
    <x v="11"/>
    <x v="0"/>
  </r>
  <r>
    <n v="44561"/>
    <x v="307"/>
    <x v="43"/>
    <x v="1"/>
    <x v="11"/>
    <s v="Sauder Inglewood Library Bookcases"/>
    <x v="1635"/>
    <n v="2"/>
    <n v="78.650000000000006"/>
    <x v="11"/>
    <x v="0"/>
  </r>
  <r>
    <n v="44561"/>
    <x v="307"/>
    <x v="43"/>
    <x v="1"/>
    <x v="5"/>
    <s v="Global Fabric Manager's Chair, Dark Gray"/>
    <x v="1636"/>
    <n v="6"/>
    <n v="151.47"/>
    <x v="11"/>
    <x v="0"/>
  </r>
  <r>
    <n v="44561"/>
    <x v="594"/>
    <x v="17"/>
    <x v="2"/>
    <x v="6"/>
    <s v="Panasonic KX TS3282W Corded phone"/>
    <x v="871"/>
    <n v="7"/>
    <n v="59.49"/>
    <x v="11"/>
    <x v="0"/>
  </r>
  <r>
    <n v="44561"/>
    <x v="160"/>
    <x v="20"/>
    <x v="2"/>
    <x v="9"/>
    <s v="Verbatim 25 GB 6x Blu-ray Single Layer Recordable Disc, 10/Pack"/>
    <x v="1637"/>
    <n v="3"/>
    <n v="11.47"/>
    <x v="11"/>
    <x v="0"/>
  </r>
  <r>
    <n v="44561"/>
    <x v="160"/>
    <x v="20"/>
    <x v="0"/>
    <x v="1"/>
    <s v="Avery 51"/>
    <x v="282"/>
    <n v="3"/>
    <n v="8.69"/>
    <x v="11"/>
    <x v="0"/>
  </r>
  <r>
    <n v="44563"/>
    <x v="197"/>
    <x v="10"/>
    <x v="0"/>
    <x v="1"/>
    <s v="Avery 505"/>
    <x v="1379"/>
    <n v="2"/>
    <n v="8.8800000000000008"/>
    <x v="0"/>
    <x v="1"/>
  </r>
  <r>
    <n v="44563"/>
    <x v="197"/>
    <x v="10"/>
    <x v="1"/>
    <x v="11"/>
    <s v="O'Sullivan 2-Door Barrister Bookcase in Odessa Pine"/>
    <x v="1638"/>
    <n v="5"/>
    <n v="-244.32"/>
    <x v="0"/>
    <x v="1"/>
  </r>
  <r>
    <n v="44563"/>
    <x v="197"/>
    <x v="10"/>
    <x v="2"/>
    <x v="6"/>
    <s v="Speck Products Candyshell Flip Case"/>
    <x v="1639"/>
    <n v="3"/>
    <n v="-14.7"/>
    <x v="0"/>
    <x v="1"/>
  </r>
  <r>
    <n v="44563"/>
    <x v="197"/>
    <x v="10"/>
    <x v="2"/>
    <x v="15"/>
    <s v="Cisco 9971 IP Video Phone Charcoal"/>
    <x v="1640"/>
    <n v="9"/>
    <n v="-950.4"/>
    <x v="0"/>
    <x v="1"/>
  </r>
  <r>
    <n v="44563"/>
    <x v="197"/>
    <x v="10"/>
    <x v="2"/>
    <x v="9"/>
    <s v="Sony Micro Vault Click 16 GB USB 2.0 Flash Drive"/>
    <x v="1641"/>
    <n v="2"/>
    <n v="4.4800000000000004"/>
    <x v="0"/>
    <x v="1"/>
  </r>
  <r>
    <n v="44563"/>
    <x v="595"/>
    <x v="7"/>
    <x v="0"/>
    <x v="2"/>
    <s v="SAFCO Mobile Desk Side File, Wire Frame"/>
    <x v="1642"/>
    <n v="2"/>
    <n v="22.24"/>
    <x v="0"/>
    <x v="1"/>
  </r>
  <r>
    <n v="44563"/>
    <x v="595"/>
    <x v="7"/>
    <x v="0"/>
    <x v="4"/>
    <s v="Newell 313"/>
    <x v="1026"/>
    <n v="3"/>
    <n v="2.66"/>
    <x v="0"/>
    <x v="1"/>
  </r>
  <r>
    <n v="44563"/>
    <x v="595"/>
    <x v="7"/>
    <x v="0"/>
    <x v="0"/>
    <s v="Xerox 1959"/>
    <x v="1251"/>
    <n v="3"/>
    <n v="9.6199999999999992"/>
    <x v="0"/>
    <x v="1"/>
  </r>
  <r>
    <n v="44564"/>
    <x v="472"/>
    <x v="0"/>
    <x v="0"/>
    <x v="0"/>
    <s v="Xerox 21"/>
    <x v="320"/>
    <n v="2"/>
    <n v="3.63"/>
    <x v="0"/>
    <x v="1"/>
  </r>
  <r>
    <n v="44564"/>
    <x v="596"/>
    <x v="0"/>
    <x v="2"/>
    <x v="9"/>
    <s v="Enermax Acrylux Wireless Keyboard"/>
    <x v="1643"/>
    <n v="5"/>
    <n v="84.66"/>
    <x v="0"/>
    <x v="1"/>
  </r>
  <r>
    <n v="44564"/>
    <x v="596"/>
    <x v="0"/>
    <x v="0"/>
    <x v="4"/>
    <s v="Newell 317"/>
    <x v="1644"/>
    <n v="3"/>
    <n v="0.79"/>
    <x v="0"/>
    <x v="1"/>
  </r>
  <r>
    <n v="44564"/>
    <x v="596"/>
    <x v="0"/>
    <x v="1"/>
    <x v="11"/>
    <s v="O'Sullivan Living Dimensions 5-Shelf Bookcases"/>
    <x v="1645"/>
    <n v="9"/>
    <n v="-437.54"/>
    <x v="0"/>
    <x v="1"/>
  </r>
  <r>
    <n v="44565"/>
    <x v="10"/>
    <x v="28"/>
    <x v="0"/>
    <x v="3"/>
    <s v="GBC Standard Recycled Report Covers, Clear Plastic Sheets"/>
    <x v="39"/>
    <n v="3"/>
    <n v="15.52"/>
    <x v="0"/>
    <x v="1"/>
  </r>
  <r>
    <n v="44565"/>
    <x v="10"/>
    <x v="28"/>
    <x v="0"/>
    <x v="0"/>
    <s v="Adams Telephone Message Book w/Frequently-Called Numbers Space, 400 Messages per Book"/>
    <x v="1646"/>
    <n v="5"/>
    <n v="19.95"/>
    <x v="0"/>
    <x v="1"/>
  </r>
  <r>
    <n v="44565"/>
    <x v="597"/>
    <x v="6"/>
    <x v="1"/>
    <x v="8"/>
    <s v="DAX Wood Document Frame"/>
    <x v="1647"/>
    <n v="14"/>
    <n v="69.2"/>
    <x v="0"/>
    <x v="1"/>
  </r>
  <r>
    <n v="44566"/>
    <x v="50"/>
    <x v="22"/>
    <x v="1"/>
    <x v="5"/>
    <s v="Global Deluxe Steno Chair"/>
    <x v="1648"/>
    <n v="1"/>
    <n v="-6.93"/>
    <x v="0"/>
    <x v="1"/>
  </r>
  <r>
    <n v="44566"/>
    <x v="196"/>
    <x v="20"/>
    <x v="0"/>
    <x v="4"/>
    <s v="Newell 34"/>
    <x v="144"/>
    <n v="3"/>
    <n v="15.48"/>
    <x v="0"/>
    <x v="1"/>
  </r>
  <r>
    <n v="44566"/>
    <x v="196"/>
    <x v="20"/>
    <x v="0"/>
    <x v="10"/>
    <s v="#10- 4 1/8&quot; x 9 1/2&quot; Recycled Envelopes"/>
    <x v="1649"/>
    <n v="2"/>
    <n v="8.2200000000000006"/>
    <x v="0"/>
    <x v="1"/>
  </r>
  <r>
    <n v="44566"/>
    <x v="196"/>
    <x v="20"/>
    <x v="0"/>
    <x v="3"/>
    <s v="Wilson Jones data.warehouse D-Ring Binders with DublLock"/>
    <x v="1650"/>
    <n v="2"/>
    <n v="4.6100000000000003"/>
    <x v="0"/>
    <x v="1"/>
  </r>
  <r>
    <n v="44566"/>
    <x v="594"/>
    <x v="3"/>
    <x v="0"/>
    <x v="12"/>
    <s v="Acco 6 Outlet Guardian Premium Surge Suppressor"/>
    <x v="1651"/>
    <n v="6"/>
    <n v="23.59"/>
    <x v="0"/>
    <x v="1"/>
  </r>
  <r>
    <n v="44566"/>
    <x v="594"/>
    <x v="3"/>
    <x v="0"/>
    <x v="3"/>
    <s v="Fellowes Binding Cases"/>
    <x v="1652"/>
    <n v="6"/>
    <n v="17.55"/>
    <x v="0"/>
    <x v="1"/>
  </r>
  <r>
    <n v="44567"/>
    <x v="386"/>
    <x v="26"/>
    <x v="0"/>
    <x v="0"/>
    <s v="It's Hot Message Books with Stickers, 2 3/4&quot; x 5&quot;"/>
    <x v="271"/>
    <n v="5"/>
    <n v="9.25"/>
    <x v="0"/>
    <x v="1"/>
  </r>
  <r>
    <n v="44567"/>
    <x v="386"/>
    <x v="26"/>
    <x v="0"/>
    <x v="3"/>
    <s v="Recycled Pressboard Report Cover with Reinforced Top Hinge"/>
    <x v="1343"/>
    <n v="2"/>
    <n v="-1.36"/>
    <x v="0"/>
    <x v="1"/>
  </r>
  <r>
    <n v="44570"/>
    <x v="96"/>
    <x v="5"/>
    <x v="0"/>
    <x v="0"/>
    <s v="Easy-staple paper"/>
    <x v="1653"/>
    <n v="3"/>
    <n v="49.97"/>
    <x v="0"/>
    <x v="1"/>
  </r>
  <r>
    <n v="44570"/>
    <x v="96"/>
    <x v="5"/>
    <x v="0"/>
    <x v="12"/>
    <s v="Belkin 5 Outlet SurgeMaster Power Centers"/>
    <x v="1654"/>
    <n v="3"/>
    <n v="45.76"/>
    <x v="0"/>
    <x v="1"/>
  </r>
  <r>
    <n v="44570"/>
    <x v="96"/>
    <x v="5"/>
    <x v="0"/>
    <x v="4"/>
    <s v="Boston 1730 StandUp Electric Pencil Sharpener"/>
    <x v="1655"/>
    <n v="2"/>
    <n v="11.12"/>
    <x v="0"/>
    <x v="1"/>
  </r>
  <r>
    <n v="44570"/>
    <x v="96"/>
    <x v="5"/>
    <x v="0"/>
    <x v="0"/>
    <s v="Speediset Carbonless Redi-Letter 7&quot; x 8 1/2&quot;"/>
    <x v="1656"/>
    <n v="5"/>
    <n v="24.23"/>
    <x v="0"/>
    <x v="1"/>
  </r>
  <r>
    <n v="44571"/>
    <x v="13"/>
    <x v="20"/>
    <x v="1"/>
    <x v="13"/>
    <s v="Bush Advantage Collection Racetrack Conference Table"/>
    <x v="1657"/>
    <n v="4"/>
    <n v="-373.3"/>
    <x v="0"/>
    <x v="1"/>
  </r>
  <r>
    <n v="44573"/>
    <x v="598"/>
    <x v="7"/>
    <x v="0"/>
    <x v="2"/>
    <s v="Dual Level, Single-Width Filing Carts"/>
    <x v="1658"/>
    <n v="3"/>
    <n v="120.95"/>
    <x v="0"/>
    <x v="1"/>
  </r>
  <r>
    <n v="44573"/>
    <x v="599"/>
    <x v="10"/>
    <x v="0"/>
    <x v="4"/>
    <s v="BIC Brite Liner Highlighters, Chisel Tip"/>
    <x v="320"/>
    <n v="2"/>
    <n v="1.56"/>
    <x v="0"/>
    <x v="1"/>
  </r>
  <r>
    <n v="44573"/>
    <x v="599"/>
    <x v="10"/>
    <x v="2"/>
    <x v="6"/>
    <s v="GE 30524EE4"/>
    <x v="1659"/>
    <n v="2"/>
    <n v="-43.12"/>
    <x v="0"/>
    <x v="1"/>
  </r>
  <r>
    <n v="44573"/>
    <x v="599"/>
    <x v="10"/>
    <x v="2"/>
    <x v="6"/>
    <s v="Anker 24W Portable Micro USB Car Charger"/>
    <x v="1660"/>
    <n v="4"/>
    <n v="2.64"/>
    <x v="0"/>
    <x v="1"/>
  </r>
  <r>
    <n v="44573"/>
    <x v="599"/>
    <x v="10"/>
    <x v="2"/>
    <x v="9"/>
    <s v="SanDisk Cruzer 4 GB USB Flash Drive"/>
    <x v="1661"/>
    <n v="2"/>
    <n v="2.21"/>
    <x v="0"/>
    <x v="1"/>
  </r>
  <r>
    <n v="44573"/>
    <x v="599"/>
    <x v="10"/>
    <x v="2"/>
    <x v="6"/>
    <s v="LG Electronics Tone+ HBS-730 Bluetooth Headset"/>
    <x v="1662"/>
    <n v="3"/>
    <n v="-21.42"/>
    <x v="0"/>
    <x v="1"/>
  </r>
  <r>
    <n v="44574"/>
    <x v="300"/>
    <x v="3"/>
    <x v="0"/>
    <x v="3"/>
    <s v="Binding Machine Supplies"/>
    <x v="1663"/>
    <n v="3"/>
    <n v="24.5"/>
    <x v="0"/>
    <x v="1"/>
  </r>
  <r>
    <n v="44574"/>
    <x v="300"/>
    <x v="3"/>
    <x v="1"/>
    <x v="8"/>
    <s v="Floodlight Indoor Halogen Bulbs, 1 Bulb per Pack, 60 Watts"/>
    <x v="1664"/>
    <n v="4"/>
    <n v="38.020000000000003"/>
    <x v="0"/>
    <x v="1"/>
  </r>
  <r>
    <n v="44574"/>
    <x v="300"/>
    <x v="3"/>
    <x v="1"/>
    <x v="8"/>
    <s v="Deflect-o EconoMat Nonstudded, No Bevel Mat"/>
    <x v="1665"/>
    <n v="9"/>
    <n v="92.97"/>
    <x v="0"/>
    <x v="1"/>
  </r>
  <r>
    <n v="44574"/>
    <x v="600"/>
    <x v="4"/>
    <x v="0"/>
    <x v="1"/>
    <s v="Avery 508"/>
    <x v="1445"/>
    <n v="2"/>
    <n v="4.8099999999999996"/>
    <x v="0"/>
    <x v="1"/>
  </r>
  <r>
    <n v="44578"/>
    <x v="179"/>
    <x v="1"/>
    <x v="1"/>
    <x v="8"/>
    <s v="Eldon ClusterMat Chair Mat with Cordless Antistatic Protection"/>
    <x v="1666"/>
    <n v="7"/>
    <n v="-312.06"/>
    <x v="0"/>
    <x v="1"/>
  </r>
  <r>
    <n v="44578"/>
    <x v="134"/>
    <x v="32"/>
    <x v="0"/>
    <x v="4"/>
    <s v="Avery Fluorescent Highlighter Four-Color Set"/>
    <x v="1667"/>
    <n v="2"/>
    <n v="2"/>
    <x v="0"/>
    <x v="1"/>
  </r>
  <r>
    <n v="44578"/>
    <x v="596"/>
    <x v="15"/>
    <x v="0"/>
    <x v="14"/>
    <s v="Acme Hot Forged Carbon Steel Scissors with Nickel-Plated Handles, 3 7/8&quot; Cut, 8&quot;L"/>
    <x v="1668"/>
    <n v="8"/>
    <n v="10.01"/>
    <x v="0"/>
    <x v="1"/>
  </r>
  <r>
    <n v="44580"/>
    <x v="181"/>
    <x v="0"/>
    <x v="1"/>
    <x v="13"/>
    <s v="Bevis Round Conference Table Top &amp; Single Column Base"/>
    <x v="1669"/>
    <n v="1"/>
    <n v="-13.17"/>
    <x v="0"/>
    <x v="1"/>
  </r>
  <r>
    <n v="44580"/>
    <x v="181"/>
    <x v="0"/>
    <x v="1"/>
    <x v="5"/>
    <s v="Harbour Creations 67200 Series Stacking Chairs"/>
    <x v="1670"/>
    <n v="4"/>
    <n v="-8.5399999999999991"/>
    <x v="0"/>
    <x v="1"/>
  </r>
  <r>
    <n v="44584"/>
    <x v="249"/>
    <x v="35"/>
    <x v="0"/>
    <x v="0"/>
    <s v="Wirebound Service Call Books, 5 1/2&quot; x 4&quot;"/>
    <x v="1671"/>
    <n v="3"/>
    <n v="13.94"/>
    <x v="0"/>
    <x v="1"/>
  </r>
  <r>
    <n v="44584"/>
    <x v="249"/>
    <x v="35"/>
    <x v="0"/>
    <x v="1"/>
    <s v="Avery 500"/>
    <x v="471"/>
    <n v="2"/>
    <n v="6.87"/>
    <x v="0"/>
    <x v="1"/>
  </r>
  <r>
    <n v="44585"/>
    <x v="601"/>
    <x v="16"/>
    <x v="0"/>
    <x v="4"/>
    <s v="Crayola Colored Pencils"/>
    <x v="342"/>
    <n v="5"/>
    <n v="2.13"/>
    <x v="0"/>
    <x v="1"/>
  </r>
  <r>
    <n v="44587"/>
    <x v="551"/>
    <x v="3"/>
    <x v="0"/>
    <x v="0"/>
    <s v="Xerox 1991"/>
    <x v="1672"/>
    <n v="8"/>
    <n v="84.05"/>
    <x v="0"/>
    <x v="1"/>
  </r>
  <r>
    <n v="44588"/>
    <x v="9"/>
    <x v="10"/>
    <x v="1"/>
    <x v="5"/>
    <s v="High-Back Leather Manager's Chair"/>
    <x v="1673"/>
    <n v="2"/>
    <n v="-54.6"/>
    <x v="0"/>
    <x v="1"/>
  </r>
  <r>
    <n v="44588"/>
    <x v="9"/>
    <x v="10"/>
    <x v="2"/>
    <x v="6"/>
    <s v="Polycom VVX 310 VoIP phone"/>
    <x v="1674"/>
    <n v="4"/>
    <n v="-100.79"/>
    <x v="0"/>
    <x v="1"/>
  </r>
  <r>
    <n v="44588"/>
    <x v="9"/>
    <x v="10"/>
    <x v="2"/>
    <x v="6"/>
    <s v="Nortel Meridian M5316 Digital phone"/>
    <x v="1384"/>
    <n v="1"/>
    <n v="-36.25"/>
    <x v="0"/>
    <x v="1"/>
  </r>
  <r>
    <n v="44588"/>
    <x v="573"/>
    <x v="3"/>
    <x v="1"/>
    <x v="5"/>
    <s v="HON 5400 Series Task Chairs for Big and Tall"/>
    <x v="1675"/>
    <n v="5"/>
    <n v="0"/>
    <x v="0"/>
    <x v="1"/>
  </r>
  <r>
    <n v="44589"/>
    <x v="343"/>
    <x v="25"/>
    <x v="1"/>
    <x v="13"/>
    <s v="Chromcraft Bull-Nose Wood Oval Conference Tables &amp; Bases"/>
    <x v="1676"/>
    <n v="13"/>
    <n v="-1862.31"/>
    <x v="0"/>
    <x v="1"/>
  </r>
  <r>
    <n v="44591"/>
    <x v="355"/>
    <x v="0"/>
    <x v="0"/>
    <x v="0"/>
    <s v="Rediform Voice Mail Log Books"/>
    <x v="636"/>
    <n v="6"/>
    <n v="5.01"/>
    <x v="0"/>
    <x v="1"/>
  </r>
  <r>
    <n v="44591"/>
    <x v="309"/>
    <x v="3"/>
    <x v="1"/>
    <x v="8"/>
    <s v="Computer Room Manger, 14&quot;"/>
    <x v="1677"/>
    <n v="7"/>
    <n v="81.849999999999994"/>
    <x v="0"/>
    <x v="1"/>
  </r>
  <r>
    <n v="44591"/>
    <x v="309"/>
    <x v="3"/>
    <x v="2"/>
    <x v="15"/>
    <s v="Bady BDG101FRU Card Printer"/>
    <x v="1678"/>
    <n v="3"/>
    <n v="216"/>
    <x v="0"/>
    <x v="1"/>
  </r>
  <r>
    <n v="44592"/>
    <x v="366"/>
    <x v="28"/>
    <x v="0"/>
    <x v="0"/>
    <s v="Xerox 1999"/>
    <x v="115"/>
    <n v="2"/>
    <n v="6.22"/>
    <x v="0"/>
    <x v="1"/>
  </r>
  <r>
    <n v="44592"/>
    <x v="366"/>
    <x v="28"/>
    <x v="1"/>
    <x v="8"/>
    <s v="Seth Thomas 13 1/2&quot; Wall Clock"/>
    <x v="1679"/>
    <n v="3"/>
    <n v="16.54"/>
    <x v="0"/>
    <x v="1"/>
  </r>
  <r>
    <n v="44592"/>
    <x v="366"/>
    <x v="28"/>
    <x v="0"/>
    <x v="3"/>
    <s v="Ibico Standard Transparent Covers"/>
    <x v="164"/>
    <n v="2"/>
    <n v="16.149999999999999"/>
    <x v="0"/>
    <x v="1"/>
  </r>
  <r>
    <n v="44595"/>
    <x v="158"/>
    <x v="40"/>
    <x v="1"/>
    <x v="8"/>
    <s v="Coloredge Poster Frame"/>
    <x v="1680"/>
    <n v="2"/>
    <n v="11.08"/>
    <x v="1"/>
    <x v="1"/>
  </r>
  <r>
    <n v="44595"/>
    <x v="158"/>
    <x v="40"/>
    <x v="2"/>
    <x v="9"/>
    <s v="Kensington SlimBlade Notebook Wireless Mouse with Nano Receiver"/>
    <x v="434"/>
    <n v="3"/>
    <n v="50.99"/>
    <x v="1"/>
    <x v="1"/>
  </r>
  <r>
    <n v="44595"/>
    <x v="602"/>
    <x v="3"/>
    <x v="1"/>
    <x v="8"/>
    <s v="Hand-Finished Solid Wood Document Frame"/>
    <x v="1681"/>
    <n v="4"/>
    <n v="41.08"/>
    <x v="1"/>
    <x v="1"/>
  </r>
  <r>
    <n v="44595"/>
    <x v="484"/>
    <x v="27"/>
    <x v="0"/>
    <x v="3"/>
    <s v="Wilson Jones Standard D-Ring Binders"/>
    <x v="1682"/>
    <n v="3"/>
    <n v="4.0999999999999996"/>
    <x v="1"/>
    <x v="1"/>
  </r>
  <r>
    <n v="44595"/>
    <x v="251"/>
    <x v="4"/>
    <x v="0"/>
    <x v="10"/>
    <s v="Staple envelope"/>
    <x v="1683"/>
    <n v="9"/>
    <n v="35.020000000000003"/>
    <x v="1"/>
    <x v="1"/>
  </r>
  <r>
    <n v="44595"/>
    <x v="203"/>
    <x v="20"/>
    <x v="1"/>
    <x v="5"/>
    <s v="Global Fabric Manager's Chair, Dark Gray"/>
    <x v="1684"/>
    <n v="1"/>
    <n v="15.15"/>
    <x v="1"/>
    <x v="1"/>
  </r>
  <r>
    <n v="44598"/>
    <x v="197"/>
    <x v="22"/>
    <x v="0"/>
    <x v="4"/>
    <s v="Newell 310"/>
    <x v="1685"/>
    <n v="3"/>
    <n v="1.53"/>
    <x v="1"/>
    <x v="1"/>
  </r>
  <r>
    <n v="44598"/>
    <x v="325"/>
    <x v="7"/>
    <x v="1"/>
    <x v="5"/>
    <s v="Office Star - Contemporary Swivel Chair with Padded Adjustable Arms and Flex Back"/>
    <x v="1686"/>
    <n v="9"/>
    <n v="266.45"/>
    <x v="1"/>
    <x v="1"/>
  </r>
  <r>
    <n v="44598"/>
    <x v="325"/>
    <x v="7"/>
    <x v="1"/>
    <x v="11"/>
    <s v="Hon Metal Bookcases, Putty"/>
    <x v="1687"/>
    <n v="4"/>
    <n v="82.34"/>
    <x v="1"/>
    <x v="1"/>
  </r>
  <r>
    <n v="44598"/>
    <x v="325"/>
    <x v="7"/>
    <x v="0"/>
    <x v="4"/>
    <s v="SANFORD Liquid Accent Tank-Style Highlighters"/>
    <x v="739"/>
    <n v="2"/>
    <n v="1.76"/>
    <x v="1"/>
    <x v="1"/>
  </r>
  <r>
    <n v="44598"/>
    <x v="603"/>
    <x v="0"/>
    <x v="0"/>
    <x v="3"/>
    <s v="UniKeep View Case Binders"/>
    <x v="1688"/>
    <n v="3"/>
    <n v="-4.99"/>
    <x v="1"/>
    <x v="1"/>
  </r>
  <r>
    <n v="44598"/>
    <x v="603"/>
    <x v="0"/>
    <x v="2"/>
    <x v="9"/>
    <s v="Memorex Mini Travel Drive 8 GB USB 2.0 Flash Drive"/>
    <x v="1689"/>
    <n v="2"/>
    <n v="4.4000000000000004"/>
    <x v="1"/>
    <x v="1"/>
  </r>
  <r>
    <n v="44598"/>
    <x v="603"/>
    <x v="0"/>
    <x v="0"/>
    <x v="2"/>
    <s v="Tennsco Snap-Together Open Shelving Units, Starter Sets and Add-On Units"/>
    <x v="1690"/>
    <n v="3"/>
    <n v="-125.77"/>
    <x v="1"/>
    <x v="1"/>
  </r>
  <r>
    <n v="44598"/>
    <x v="604"/>
    <x v="6"/>
    <x v="0"/>
    <x v="2"/>
    <s v="Tennsco Industrial Shelving"/>
    <x v="1155"/>
    <n v="3"/>
    <n v="2.93"/>
    <x v="1"/>
    <x v="1"/>
  </r>
  <r>
    <n v="44598"/>
    <x v="604"/>
    <x v="6"/>
    <x v="0"/>
    <x v="0"/>
    <s v="Xerox 1920"/>
    <x v="1691"/>
    <n v="5"/>
    <n v="13.46"/>
    <x v="1"/>
    <x v="1"/>
  </r>
  <r>
    <n v="44599"/>
    <x v="105"/>
    <x v="6"/>
    <x v="0"/>
    <x v="10"/>
    <s v="Cameo Buff Policy Envelopes"/>
    <x v="1692"/>
    <n v="5"/>
    <n v="146.24"/>
    <x v="1"/>
    <x v="1"/>
  </r>
  <r>
    <n v="44599"/>
    <x v="105"/>
    <x v="6"/>
    <x v="0"/>
    <x v="0"/>
    <s v="Xerox 1957"/>
    <x v="115"/>
    <n v="2"/>
    <n v="6.35"/>
    <x v="1"/>
    <x v="1"/>
  </r>
  <r>
    <n v="44600"/>
    <x v="384"/>
    <x v="10"/>
    <x v="2"/>
    <x v="6"/>
    <s v="JBL Micro Wireless Portable Bluetooth Speaker"/>
    <x v="1693"/>
    <n v="3"/>
    <n v="-27"/>
    <x v="1"/>
    <x v="1"/>
  </r>
  <r>
    <n v="44600"/>
    <x v="248"/>
    <x v="42"/>
    <x v="0"/>
    <x v="0"/>
    <s v="Wirebound Message Books, Four 2 3/4 x 5 Forms per Page, 200 Sets per Book"/>
    <x v="1694"/>
    <n v="2"/>
    <n v="4.29"/>
    <x v="1"/>
    <x v="1"/>
  </r>
  <r>
    <n v="44600"/>
    <x v="248"/>
    <x v="42"/>
    <x v="0"/>
    <x v="7"/>
    <s v="Advantus Push Pins, Aluminum Head"/>
    <x v="1695"/>
    <n v="1"/>
    <n v="1.8"/>
    <x v="1"/>
    <x v="1"/>
  </r>
  <r>
    <n v="44600"/>
    <x v="248"/>
    <x v="42"/>
    <x v="0"/>
    <x v="4"/>
    <s v="Sanford Colorific Colored Pencils, 12/Box"/>
    <x v="1235"/>
    <n v="2"/>
    <n v="1.73"/>
    <x v="1"/>
    <x v="1"/>
  </r>
  <r>
    <n v="44601"/>
    <x v="279"/>
    <x v="0"/>
    <x v="2"/>
    <x v="9"/>
    <s v="Memorex Micro Travel Drive 8 GB"/>
    <x v="1696"/>
    <n v="2"/>
    <n v="6.5"/>
    <x v="1"/>
    <x v="1"/>
  </r>
  <r>
    <n v="44601"/>
    <x v="410"/>
    <x v="0"/>
    <x v="0"/>
    <x v="1"/>
    <s v="Round Specialty Laser Printer Labels"/>
    <x v="835"/>
    <n v="4"/>
    <n v="13.53"/>
    <x v="1"/>
    <x v="1"/>
  </r>
  <r>
    <n v="44601"/>
    <x v="410"/>
    <x v="0"/>
    <x v="1"/>
    <x v="8"/>
    <s v="Dana Fluorescent Magnifying Lamp, White, 36&quot;"/>
    <x v="1174"/>
    <n v="2"/>
    <n v="-30.59"/>
    <x v="1"/>
    <x v="1"/>
  </r>
  <r>
    <n v="44601"/>
    <x v="605"/>
    <x v="3"/>
    <x v="1"/>
    <x v="5"/>
    <s v="Global Deluxe Stacking Chair, Gray"/>
    <x v="1697"/>
    <n v="5"/>
    <n v="22.94"/>
    <x v="1"/>
    <x v="1"/>
  </r>
  <r>
    <n v="44601"/>
    <x v="453"/>
    <x v="1"/>
    <x v="2"/>
    <x v="9"/>
    <s v="Logitech Wireless Headset h800"/>
    <x v="1698"/>
    <n v="6"/>
    <n v="89.99"/>
    <x v="1"/>
    <x v="1"/>
  </r>
  <r>
    <n v="44602"/>
    <x v="555"/>
    <x v="2"/>
    <x v="0"/>
    <x v="2"/>
    <s v="Eldon ProFile File 'N Store Portable File Tub Letter/Legal Size Black"/>
    <x v="1699"/>
    <n v="5"/>
    <n v="7.72"/>
    <x v="1"/>
    <x v="1"/>
  </r>
  <r>
    <n v="44606"/>
    <x v="366"/>
    <x v="10"/>
    <x v="0"/>
    <x v="3"/>
    <s v="GBC Standard Therm-A-Bind Covers"/>
    <x v="1700"/>
    <n v="2"/>
    <n v="-11.96"/>
    <x v="1"/>
    <x v="1"/>
  </r>
  <r>
    <n v="44606"/>
    <x v="366"/>
    <x v="10"/>
    <x v="2"/>
    <x v="6"/>
    <s v="Google Nexus 5"/>
    <x v="210"/>
    <n v="3"/>
    <n v="-81"/>
    <x v="1"/>
    <x v="1"/>
  </r>
  <r>
    <n v="44606"/>
    <x v="366"/>
    <x v="10"/>
    <x v="0"/>
    <x v="3"/>
    <s v="Acco Hanging Data Binders"/>
    <x v="1621"/>
    <n v="2"/>
    <n v="-1.68"/>
    <x v="1"/>
    <x v="1"/>
  </r>
  <r>
    <n v="44606"/>
    <x v="366"/>
    <x v="10"/>
    <x v="0"/>
    <x v="4"/>
    <s v="Newell 315"/>
    <x v="632"/>
    <n v="3"/>
    <n v="0.9"/>
    <x v="1"/>
    <x v="1"/>
  </r>
  <r>
    <n v="44606"/>
    <x v="366"/>
    <x v="10"/>
    <x v="2"/>
    <x v="9"/>
    <s v="Belkin F8E887 USB Wired Ergonomic Keyboard"/>
    <x v="1553"/>
    <n v="3"/>
    <n v="0.9"/>
    <x v="1"/>
    <x v="1"/>
  </r>
  <r>
    <n v="44606"/>
    <x v="207"/>
    <x v="20"/>
    <x v="0"/>
    <x v="3"/>
    <s v="Black Avery Memo-Size 3-Ring Binder, 5 1/2&quot; x 8 1/2&quot;"/>
    <x v="1701"/>
    <n v="9"/>
    <n v="9.58"/>
    <x v="1"/>
    <x v="1"/>
  </r>
  <r>
    <n v="44606"/>
    <x v="207"/>
    <x v="20"/>
    <x v="2"/>
    <x v="6"/>
    <s v="Samsung Galaxy S4"/>
    <x v="1702"/>
    <n v="1"/>
    <n v="187.8"/>
    <x v="1"/>
    <x v="1"/>
  </r>
  <r>
    <n v="44607"/>
    <x v="132"/>
    <x v="21"/>
    <x v="2"/>
    <x v="6"/>
    <s v="Innergie mMini Combo Duo USB Travel Charging Kit"/>
    <x v="1703"/>
    <n v="3"/>
    <n v="64.790000000000006"/>
    <x v="1"/>
    <x v="1"/>
  </r>
  <r>
    <n v="44607"/>
    <x v="132"/>
    <x v="21"/>
    <x v="2"/>
    <x v="6"/>
    <s v="Samsung Galaxy S III - 16GB - pebble blue (T-Mobile)"/>
    <x v="1704"/>
    <n v="2"/>
    <n v="195.99"/>
    <x v="1"/>
    <x v="1"/>
  </r>
  <r>
    <n v="44607"/>
    <x v="132"/>
    <x v="21"/>
    <x v="2"/>
    <x v="9"/>
    <s v="MaxellÂ LTO Ultrium - 800 GB"/>
    <x v="1705"/>
    <n v="5"/>
    <n v="26.59"/>
    <x v="1"/>
    <x v="1"/>
  </r>
  <r>
    <n v="44607"/>
    <x v="176"/>
    <x v="3"/>
    <x v="0"/>
    <x v="0"/>
    <s v="Xerox 1959"/>
    <x v="518"/>
    <n v="2"/>
    <n v="6.41"/>
    <x v="1"/>
    <x v="1"/>
  </r>
  <r>
    <n v="44607"/>
    <x v="176"/>
    <x v="3"/>
    <x v="0"/>
    <x v="3"/>
    <s v="Acco Data Flex Cable Posts For Top &amp; Bottom Load Binders, 6&quot; Capacity"/>
    <x v="1706"/>
    <n v="5"/>
    <n v="13.04"/>
    <x v="1"/>
    <x v="1"/>
  </r>
  <r>
    <n v="44607"/>
    <x v="176"/>
    <x v="3"/>
    <x v="0"/>
    <x v="3"/>
    <s v="Avery Durable Binders"/>
    <x v="697"/>
    <n v="5"/>
    <n v="4.18"/>
    <x v="1"/>
    <x v="1"/>
  </r>
  <r>
    <n v="44607"/>
    <x v="176"/>
    <x v="3"/>
    <x v="0"/>
    <x v="12"/>
    <s v="Kensington 6 Outlet MasterPiece HOMEOFFICE Power Control Center"/>
    <x v="1707"/>
    <n v="6"/>
    <n v="157.02000000000001"/>
    <x v="1"/>
    <x v="1"/>
  </r>
  <r>
    <n v="44607"/>
    <x v="176"/>
    <x v="3"/>
    <x v="0"/>
    <x v="0"/>
    <s v="Xerox 22"/>
    <x v="5"/>
    <n v="3"/>
    <n v="9.33"/>
    <x v="1"/>
    <x v="1"/>
  </r>
  <r>
    <n v="44608"/>
    <x v="569"/>
    <x v="38"/>
    <x v="0"/>
    <x v="0"/>
    <s v="Xerox 1920"/>
    <x v="186"/>
    <n v="6"/>
    <n v="16.149999999999999"/>
    <x v="1"/>
    <x v="1"/>
  </r>
  <r>
    <n v="44608"/>
    <x v="122"/>
    <x v="3"/>
    <x v="0"/>
    <x v="0"/>
    <s v="Xerox 1881"/>
    <x v="570"/>
    <n v="3"/>
    <n v="17.309999999999999"/>
    <x v="1"/>
    <x v="1"/>
  </r>
  <r>
    <n v="44608"/>
    <x v="122"/>
    <x v="3"/>
    <x v="0"/>
    <x v="1"/>
    <s v="Avery 485"/>
    <x v="1708"/>
    <n v="7"/>
    <n v="41.22"/>
    <x v="1"/>
    <x v="1"/>
  </r>
  <r>
    <n v="44610"/>
    <x v="518"/>
    <x v="3"/>
    <x v="0"/>
    <x v="1"/>
    <s v="Smead Alpha-Z Color-Coded Second Alphabetical Labels and Starter Set"/>
    <x v="703"/>
    <n v="3"/>
    <n v="4.4400000000000004"/>
    <x v="1"/>
    <x v="1"/>
  </r>
  <r>
    <n v="44610"/>
    <x v="606"/>
    <x v="3"/>
    <x v="0"/>
    <x v="1"/>
    <s v="Avery 4027 File Folder Labels for Dot Matrix Printers, 5000 Labels per Box, White"/>
    <x v="1709"/>
    <n v="2"/>
    <n v="28.09"/>
    <x v="1"/>
    <x v="1"/>
  </r>
  <r>
    <n v="44610"/>
    <x v="606"/>
    <x v="3"/>
    <x v="1"/>
    <x v="13"/>
    <s v="Hon 61000 Series Interactive Training Tables"/>
    <x v="1710"/>
    <n v="1"/>
    <n v="-0.89"/>
    <x v="1"/>
    <x v="1"/>
  </r>
  <r>
    <n v="44612"/>
    <x v="272"/>
    <x v="13"/>
    <x v="2"/>
    <x v="9"/>
    <s v="Anker Ultrathin Bluetooth Wireless Keyboard Aluminum Cover with Stand"/>
    <x v="1377"/>
    <n v="1"/>
    <n v="3"/>
    <x v="1"/>
    <x v="1"/>
  </r>
  <r>
    <n v="44612"/>
    <x v="75"/>
    <x v="23"/>
    <x v="0"/>
    <x v="4"/>
    <s v="Sanford 52201 APSCO Electric Pencil Sharpener"/>
    <x v="1711"/>
    <n v="7"/>
    <n v="74.569999999999993"/>
    <x v="1"/>
    <x v="1"/>
  </r>
  <r>
    <n v="44613"/>
    <x v="364"/>
    <x v="31"/>
    <x v="0"/>
    <x v="0"/>
    <s v="Easy-staple paper"/>
    <x v="644"/>
    <n v="4"/>
    <n v="23.09"/>
    <x v="1"/>
    <x v="1"/>
  </r>
  <r>
    <n v="44613"/>
    <x v="517"/>
    <x v="36"/>
    <x v="0"/>
    <x v="3"/>
    <s v="Fellowes PB500 Electric Punch Plastic Comb Binding Machine with Manual Bind"/>
    <x v="1712"/>
    <n v="2"/>
    <n v="1270.99"/>
    <x v="1"/>
    <x v="1"/>
  </r>
  <r>
    <n v="44614"/>
    <x v="577"/>
    <x v="14"/>
    <x v="0"/>
    <x v="4"/>
    <s v="Newell 34"/>
    <x v="284"/>
    <n v="4"/>
    <n v="20.63"/>
    <x v="1"/>
    <x v="1"/>
  </r>
  <r>
    <n v="44615"/>
    <x v="607"/>
    <x v="20"/>
    <x v="0"/>
    <x v="12"/>
    <s v="Hoover Portapower Portable Vacuum"/>
    <x v="1713"/>
    <n v="6"/>
    <n v="6.72"/>
    <x v="1"/>
    <x v="1"/>
  </r>
  <r>
    <n v="44615"/>
    <x v="607"/>
    <x v="20"/>
    <x v="0"/>
    <x v="3"/>
    <s v="Avery Self-Adhesive Photo Pockets for Polaroid Photos"/>
    <x v="389"/>
    <n v="2"/>
    <n v="3.81"/>
    <x v="1"/>
    <x v="1"/>
  </r>
  <r>
    <n v="44617"/>
    <x v="567"/>
    <x v="32"/>
    <x v="0"/>
    <x v="1"/>
    <s v="Avery 518"/>
    <x v="374"/>
    <n v="1"/>
    <n v="1.51"/>
    <x v="1"/>
    <x v="1"/>
  </r>
  <r>
    <n v="44617"/>
    <x v="567"/>
    <x v="32"/>
    <x v="0"/>
    <x v="0"/>
    <s v="Adams Telephone Message Book W/Dividers/Space For Phone Numbers, 5 1/4&quot;X8 1/2&quot;, 200/Messages"/>
    <x v="850"/>
    <n v="4"/>
    <n v="10.220000000000001"/>
    <x v="1"/>
    <x v="1"/>
  </r>
  <r>
    <n v="44619"/>
    <x v="478"/>
    <x v="2"/>
    <x v="0"/>
    <x v="3"/>
    <s v="Pressboard Covers with Storage Hooks, 9 1/2&quot; x 11&quot;, Light Blue"/>
    <x v="1714"/>
    <n v="3"/>
    <n v="-3.39"/>
    <x v="1"/>
    <x v="1"/>
  </r>
  <r>
    <n v="44619"/>
    <x v="478"/>
    <x v="2"/>
    <x v="0"/>
    <x v="4"/>
    <s v="Eldon Spacemaker Box, Quick-Snap Lid, Clear"/>
    <x v="658"/>
    <n v="6"/>
    <n v="2.2000000000000002"/>
    <x v="1"/>
    <x v="1"/>
  </r>
  <r>
    <n v="44619"/>
    <x v="442"/>
    <x v="43"/>
    <x v="2"/>
    <x v="6"/>
    <s v="i.Sound Portable Power - 8000 mAh"/>
    <x v="1715"/>
    <n v="2"/>
    <n v="1.06"/>
    <x v="1"/>
    <x v="1"/>
  </r>
  <r>
    <n v="44619"/>
    <x v="442"/>
    <x v="43"/>
    <x v="1"/>
    <x v="13"/>
    <s v="Barricks 18&quot; x 48&quot; Non-Folding Utility Table with Bottom Storage Shelf"/>
    <x v="1716"/>
    <n v="7"/>
    <n v="-28.22"/>
    <x v="1"/>
    <x v="1"/>
  </r>
  <r>
    <n v="44619"/>
    <x v="608"/>
    <x v="22"/>
    <x v="2"/>
    <x v="9"/>
    <s v="Microsoft Natural Keyboard Elite"/>
    <x v="1717"/>
    <n v="9"/>
    <n v="80.84"/>
    <x v="1"/>
    <x v="1"/>
  </r>
  <r>
    <n v="44620"/>
    <x v="329"/>
    <x v="15"/>
    <x v="1"/>
    <x v="5"/>
    <s v="Global Low Back Tilter Chair"/>
    <x v="1718"/>
    <n v="2"/>
    <n v="-28.27"/>
    <x v="1"/>
    <x v="1"/>
  </r>
  <r>
    <n v="44620"/>
    <x v="329"/>
    <x v="15"/>
    <x v="1"/>
    <x v="5"/>
    <s v="Global Push Button Manager's Chair, Indigo"/>
    <x v="1719"/>
    <n v="8"/>
    <n v="43.84"/>
    <x v="1"/>
    <x v="1"/>
  </r>
  <r>
    <n v="44621"/>
    <x v="43"/>
    <x v="4"/>
    <x v="0"/>
    <x v="3"/>
    <s v="XtraLife ClearVue Slant-D Ring Binder, White, 3&quot;"/>
    <x v="1720"/>
    <n v="4"/>
    <n v="27.01"/>
    <x v="2"/>
    <x v="1"/>
  </r>
  <r>
    <n v="44621"/>
    <x v="526"/>
    <x v="3"/>
    <x v="2"/>
    <x v="6"/>
    <s v="Square Credit Card Reader"/>
    <x v="1721"/>
    <n v="2"/>
    <n v="1.2"/>
    <x v="2"/>
    <x v="1"/>
  </r>
  <r>
    <n v="44621"/>
    <x v="526"/>
    <x v="3"/>
    <x v="1"/>
    <x v="5"/>
    <s v="Global Deluxe Steno Chair"/>
    <x v="1722"/>
    <n v="3"/>
    <n v="-20.78"/>
    <x v="2"/>
    <x v="1"/>
  </r>
  <r>
    <n v="44621"/>
    <x v="218"/>
    <x v="2"/>
    <x v="0"/>
    <x v="12"/>
    <s v="Hoover Replacement Belt for Commercial Guardsman Heavy-Duty Upright Vacuum"/>
    <x v="1723"/>
    <n v="2"/>
    <n v="0.44"/>
    <x v="2"/>
    <x v="1"/>
  </r>
  <r>
    <n v="44621"/>
    <x v="71"/>
    <x v="0"/>
    <x v="0"/>
    <x v="4"/>
    <s v="Panasonic KP-350BK Electric Pencil Sharpener with Auto Stop"/>
    <x v="1724"/>
    <n v="2"/>
    <n v="6.22"/>
    <x v="2"/>
    <x v="1"/>
  </r>
  <r>
    <n v="44621"/>
    <x v="71"/>
    <x v="0"/>
    <x v="1"/>
    <x v="11"/>
    <s v="Atlantic Metals Mobile 5-Shelf Bookcases, Custom Colors"/>
    <x v="1725"/>
    <n v="6"/>
    <n v="-36.119999999999997"/>
    <x v="2"/>
    <x v="1"/>
  </r>
  <r>
    <n v="44621"/>
    <x v="609"/>
    <x v="0"/>
    <x v="2"/>
    <x v="6"/>
    <s v="Jackery Bar Premium Fast-charging Portable Charger"/>
    <x v="1726"/>
    <n v="4"/>
    <n v="34.74"/>
    <x v="2"/>
    <x v="1"/>
  </r>
  <r>
    <n v="44622"/>
    <x v="610"/>
    <x v="22"/>
    <x v="1"/>
    <x v="13"/>
    <s v="Hon Racetrack Conference Tables"/>
    <x v="1727"/>
    <n v="3"/>
    <n v="165.38"/>
    <x v="2"/>
    <x v="1"/>
  </r>
  <r>
    <n v="44622"/>
    <x v="205"/>
    <x v="18"/>
    <x v="0"/>
    <x v="4"/>
    <s v="50 Colored Long Pencils"/>
    <x v="1194"/>
    <n v="1"/>
    <n v="2.64"/>
    <x v="2"/>
    <x v="1"/>
  </r>
  <r>
    <n v="44622"/>
    <x v="205"/>
    <x v="18"/>
    <x v="0"/>
    <x v="10"/>
    <s v="Brown Kraft Recycled Envelopes"/>
    <x v="1728"/>
    <n v="6"/>
    <n v="50.94"/>
    <x v="2"/>
    <x v="1"/>
  </r>
  <r>
    <n v="44625"/>
    <x v="321"/>
    <x v="20"/>
    <x v="0"/>
    <x v="10"/>
    <s v="Staple envelope"/>
    <x v="1729"/>
    <n v="3"/>
    <n v="14.67"/>
    <x v="2"/>
    <x v="1"/>
  </r>
  <r>
    <n v="44625"/>
    <x v="321"/>
    <x v="20"/>
    <x v="1"/>
    <x v="5"/>
    <s v="Global Value Mid-Back Manager's Chair, Gray"/>
    <x v="1730"/>
    <n v="7"/>
    <n v="63.93"/>
    <x v="2"/>
    <x v="1"/>
  </r>
  <r>
    <n v="44625"/>
    <x v="321"/>
    <x v="20"/>
    <x v="0"/>
    <x v="2"/>
    <s v="Fellowes Strictly Business Drawer File, Letter/Legal Size"/>
    <x v="1731"/>
    <n v="4"/>
    <n v="67.61"/>
    <x v="2"/>
    <x v="1"/>
  </r>
  <r>
    <n v="44625"/>
    <x v="582"/>
    <x v="18"/>
    <x v="2"/>
    <x v="6"/>
    <s v="I Need's 3d Hello Kitty Hybrid Silicone Case Cover for HTC One X 4g with 3d Hello Kitty Stylus Pen Green/pink"/>
    <x v="635"/>
    <n v="2"/>
    <n v="6.7"/>
    <x v="2"/>
    <x v="1"/>
  </r>
  <r>
    <n v="44625"/>
    <x v="582"/>
    <x v="18"/>
    <x v="0"/>
    <x v="12"/>
    <s v="Staple holder"/>
    <x v="1732"/>
    <n v="7"/>
    <n v="16.39"/>
    <x v="2"/>
    <x v="1"/>
  </r>
  <r>
    <n v="44625"/>
    <x v="549"/>
    <x v="2"/>
    <x v="2"/>
    <x v="6"/>
    <s v="Samsung Convoy 3"/>
    <x v="1733"/>
    <n v="7"/>
    <n v="-93.23"/>
    <x v="2"/>
    <x v="1"/>
  </r>
  <r>
    <n v="44625"/>
    <x v="549"/>
    <x v="2"/>
    <x v="2"/>
    <x v="9"/>
    <s v="Sony 16GB Class 10 Micro SDHC R40 Memory Card"/>
    <x v="1734"/>
    <n v="1"/>
    <n v="-1.29"/>
    <x v="2"/>
    <x v="1"/>
  </r>
  <r>
    <n v="44625"/>
    <x v="549"/>
    <x v="2"/>
    <x v="0"/>
    <x v="3"/>
    <s v="Avery Round Ring Poly Binders"/>
    <x v="1735"/>
    <n v="3"/>
    <n v="-1.79"/>
    <x v="2"/>
    <x v="1"/>
  </r>
  <r>
    <n v="44625"/>
    <x v="611"/>
    <x v="2"/>
    <x v="1"/>
    <x v="5"/>
    <s v="Situations Contoured Folding Chairs, 4/Set"/>
    <x v="1736"/>
    <n v="2"/>
    <n v="-7.1"/>
    <x v="2"/>
    <x v="1"/>
  </r>
  <r>
    <n v="44625"/>
    <x v="611"/>
    <x v="2"/>
    <x v="1"/>
    <x v="8"/>
    <s v="36X48 HARDFLOOR CHAIRMAT"/>
    <x v="213"/>
    <n v="2"/>
    <n v="-5.45"/>
    <x v="2"/>
    <x v="1"/>
  </r>
  <r>
    <n v="44625"/>
    <x v="30"/>
    <x v="0"/>
    <x v="2"/>
    <x v="6"/>
    <s v="Cisco SPA525G2 IP Phone - Wireless"/>
    <x v="1115"/>
    <n v="2"/>
    <n v="2.39"/>
    <x v="2"/>
    <x v="1"/>
  </r>
  <r>
    <n v="44625"/>
    <x v="612"/>
    <x v="1"/>
    <x v="0"/>
    <x v="7"/>
    <s v="Binder Clips by OIC"/>
    <x v="432"/>
    <n v="6"/>
    <n v="2.4900000000000002"/>
    <x v="2"/>
    <x v="1"/>
  </r>
  <r>
    <n v="44625"/>
    <x v="389"/>
    <x v="1"/>
    <x v="0"/>
    <x v="3"/>
    <s v="Performers Binder/Pad Holder, Black"/>
    <x v="1737"/>
    <n v="2"/>
    <n v="-16.82"/>
    <x v="2"/>
    <x v="1"/>
  </r>
  <r>
    <n v="44625"/>
    <x v="389"/>
    <x v="1"/>
    <x v="1"/>
    <x v="8"/>
    <s v="Eldon Wave Desk Accessories"/>
    <x v="1070"/>
    <n v="2"/>
    <n v="-1.88"/>
    <x v="2"/>
    <x v="1"/>
  </r>
  <r>
    <n v="44625"/>
    <x v="389"/>
    <x v="1"/>
    <x v="0"/>
    <x v="12"/>
    <s v="Avanti 4.4 Cu. Ft. Refrigerator"/>
    <x v="1738"/>
    <n v="5"/>
    <n v="-470.55"/>
    <x v="2"/>
    <x v="1"/>
  </r>
  <r>
    <n v="44625"/>
    <x v="389"/>
    <x v="1"/>
    <x v="0"/>
    <x v="2"/>
    <s v="Companion Letter/Legal File, Black"/>
    <x v="1482"/>
    <n v="2"/>
    <n v="6.04"/>
    <x v="2"/>
    <x v="1"/>
  </r>
  <r>
    <n v="44626"/>
    <x v="315"/>
    <x v="3"/>
    <x v="1"/>
    <x v="8"/>
    <s v="Deflect-o Glass Clear Studded Chair Mats"/>
    <x v="1739"/>
    <n v="7"/>
    <n v="95.76"/>
    <x v="2"/>
    <x v="1"/>
  </r>
  <r>
    <n v="44626"/>
    <x v="315"/>
    <x v="3"/>
    <x v="2"/>
    <x v="16"/>
    <s v="Canon PC1060 Personal Laser Copier"/>
    <x v="1740"/>
    <n v="2"/>
    <n v="377.99"/>
    <x v="2"/>
    <x v="1"/>
  </r>
  <r>
    <n v="44627"/>
    <x v="306"/>
    <x v="7"/>
    <x v="2"/>
    <x v="9"/>
    <s v="Microsoft Sculpt Comfort Mouse"/>
    <x v="1741"/>
    <n v="3"/>
    <n v="52.73"/>
    <x v="2"/>
    <x v="1"/>
  </r>
  <r>
    <n v="44627"/>
    <x v="306"/>
    <x v="7"/>
    <x v="0"/>
    <x v="3"/>
    <s v="GBC Twin Loop Wire Binding Elements, 9/16&quot; Spine, Black"/>
    <x v="195"/>
    <n v="2"/>
    <n v="14.92"/>
    <x v="2"/>
    <x v="1"/>
  </r>
  <r>
    <n v="44627"/>
    <x v="306"/>
    <x v="7"/>
    <x v="0"/>
    <x v="3"/>
    <s v="Wilson Jones Heavy-Duty Casebound Ring Binders with Metal Hinges"/>
    <x v="1742"/>
    <n v="2"/>
    <n v="33.25"/>
    <x v="2"/>
    <x v="1"/>
  </r>
  <r>
    <n v="44627"/>
    <x v="306"/>
    <x v="7"/>
    <x v="2"/>
    <x v="6"/>
    <s v="LG G3"/>
    <x v="165"/>
    <n v="3"/>
    <n v="170.51"/>
    <x v="2"/>
    <x v="1"/>
  </r>
  <r>
    <n v="44628"/>
    <x v="613"/>
    <x v="21"/>
    <x v="1"/>
    <x v="11"/>
    <s v="Rush Hierlooms Collection 1&quot; Thick Stackable Bookcases"/>
    <x v="1743"/>
    <n v="3"/>
    <n v="97.46"/>
    <x v="2"/>
    <x v="1"/>
  </r>
  <r>
    <n v="44628"/>
    <x v="613"/>
    <x v="21"/>
    <x v="1"/>
    <x v="5"/>
    <s v="Hon Mobius Operator's Chair"/>
    <x v="1744"/>
    <n v="7"/>
    <n v="189.4"/>
    <x v="2"/>
    <x v="1"/>
  </r>
  <r>
    <n v="44628"/>
    <x v="613"/>
    <x v="21"/>
    <x v="2"/>
    <x v="6"/>
    <s v="Nortel Meridian M3904 Professional Digital phone"/>
    <x v="1745"/>
    <n v="5"/>
    <n v="223.29"/>
    <x v="2"/>
    <x v="1"/>
  </r>
  <r>
    <n v="44628"/>
    <x v="613"/>
    <x v="21"/>
    <x v="0"/>
    <x v="4"/>
    <s v="Boston 1900 Electric Pencil Sharpener"/>
    <x v="1746"/>
    <n v="1"/>
    <n v="4.49"/>
    <x v="2"/>
    <x v="1"/>
  </r>
  <r>
    <n v="44628"/>
    <x v="613"/>
    <x v="21"/>
    <x v="1"/>
    <x v="8"/>
    <s v="Deflect-o Glass Clear Studded Chair Mats"/>
    <x v="1747"/>
    <n v="6"/>
    <n v="82.08"/>
    <x v="2"/>
    <x v="1"/>
  </r>
  <r>
    <n v="44628"/>
    <x v="278"/>
    <x v="20"/>
    <x v="0"/>
    <x v="0"/>
    <s v="Xerox 1997"/>
    <x v="5"/>
    <n v="3"/>
    <n v="9.33"/>
    <x v="2"/>
    <x v="1"/>
  </r>
  <r>
    <n v="44628"/>
    <x v="452"/>
    <x v="26"/>
    <x v="0"/>
    <x v="4"/>
    <s v="Dixon Prang Watercolor Pencils, 10-Color Set with Brush"/>
    <x v="1748"/>
    <n v="1"/>
    <n v="0.89"/>
    <x v="2"/>
    <x v="1"/>
  </r>
  <r>
    <n v="44628"/>
    <x v="251"/>
    <x v="1"/>
    <x v="0"/>
    <x v="3"/>
    <s v="Avery Premier Heavy-Duty Binder with Round Locking Rings"/>
    <x v="551"/>
    <n v="3"/>
    <n v="-14.57"/>
    <x v="2"/>
    <x v="1"/>
  </r>
  <r>
    <n v="44629"/>
    <x v="270"/>
    <x v="0"/>
    <x v="2"/>
    <x v="9"/>
    <s v="Maxell 4.7GB DVD-R"/>
    <x v="1749"/>
    <n v="5"/>
    <n v="29.8"/>
    <x v="2"/>
    <x v="1"/>
  </r>
  <r>
    <n v="44629"/>
    <x v="270"/>
    <x v="0"/>
    <x v="2"/>
    <x v="6"/>
    <s v="Panasonic KX T7736-B Digital phone"/>
    <x v="1750"/>
    <n v="3"/>
    <n v="22.49"/>
    <x v="2"/>
    <x v="1"/>
  </r>
  <r>
    <n v="44629"/>
    <x v="614"/>
    <x v="25"/>
    <x v="0"/>
    <x v="1"/>
    <s v="Avery 514"/>
    <x v="1012"/>
    <n v="2"/>
    <n v="1.67"/>
    <x v="2"/>
    <x v="1"/>
  </r>
  <r>
    <n v="44630"/>
    <x v="18"/>
    <x v="0"/>
    <x v="0"/>
    <x v="3"/>
    <s v="Acco Suede Grain Vinyl Round Ring Binder"/>
    <x v="1751"/>
    <n v="2"/>
    <n v="-1.89"/>
    <x v="2"/>
    <x v="1"/>
  </r>
  <r>
    <n v="44630"/>
    <x v="127"/>
    <x v="36"/>
    <x v="0"/>
    <x v="2"/>
    <s v="Pizazz Global Quick File"/>
    <x v="1752"/>
    <n v="6"/>
    <n v="25.15"/>
    <x v="2"/>
    <x v="1"/>
  </r>
  <r>
    <n v="44632"/>
    <x v="615"/>
    <x v="16"/>
    <x v="0"/>
    <x v="10"/>
    <s v="Convenience Packs of Business Envelopes"/>
    <x v="1587"/>
    <n v="3"/>
    <n v="2.93"/>
    <x v="2"/>
    <x v="1"/>
  </r>
  <r>
    <n v="44632"/>
    <x v="615"/>
    <x v="16"/>
    <x v="1"/>
    <x v="8"/>
    <s v="Eldon Expressions Desk Accessory, Wood Pencil Holder, Oak"/>
    <x v="1753"/>
    <n v="4"/>
    <n v="3.86"/>
    <x v="2"/>
    <x v="1"/>
  </r>
  <r>
    <n v="44632"/>
    <x v="615"/>
    <x v="16"/>
    <x v="1"/>
    <x v="8"/>
    <s v="Acrylic Self-Standing Desk Frames"/>
    <x v="1754"/>
    <n v="3"/>
    <n v="1.44"/>
    <x v="2"/>
    <x v="1"/>
  </r>
  <r>
    <n v="44632"/>
    <x v="438"/>
    <x v="25"/>
    <x v="0"/>
    <x v="1"/>
    <s v="Avery 518"/>
    <x v="466"/>
    <n v="2"/>
    <n v="1.76"/>
    <x v="2"/>
    <x v="1"/>
  </r>
  <r>
    <n v="44633"/>
    <x v="387"/>
    <x v="22"/>
    <x v="1"/>
    <x v="11"/>
    <s v="Safco Value Mate Series Steel Bookcases, Baked Enamel Finish on Steel, Gray"/>
    <x v="70"/>
    <n v="2"/>
    <n v="39.75"/>
    <x v="2"/>
    <x v="1"/>
  </r>
  <r>
    <n v="44633"/>
    <x v="155"/>
    <x v="3"/>
    <x v="1"/>
    <x v="5"/>
    <s v="Global Deluxe High-Back Manager's Chair"/>
    <x v="1755"/>
    <n v="4"/>
    <n v="102.95"/>
    <x v="2"/>
    <x v="1"/>
  </r>
  <r>
    <n v="44633"/>
    <x v="155"/>
    <x v="3"/>
    <x v="1"/>
    <x v="8"/>
    <s v="Dana Halogen Swing-Arm Architect Lamp"/>
    <x v="770"/>
    <n v="8"/>
    <n v="91.77"/>
    <x v="2"/>
    <x v="1"/>
  </r>
  <r>
    <n v="44634"/>
    <x v="287"/>
    <x v="38"/>
    <x v="0"/>
    <x v="1"/>
    <s v="Avery 476"/>
    <x v="356"/>
    <n v="4"/>
    <n v="7.6"/>
    <x v="2"/>
    <x v="1"/>
  </r>
  <r>
    <n v="44634"/>
    <x v="287"/>
    <x v="38"/>
    <x v="0"/>
    <x v="3"/>
    <s v="GBC DocuBind TL200 Manual Binding Machine"/>
    <x v="1756"/>
    <n v="3"/>
    <n v="315.81"/>
    <x v="2"/>
    <x v="1"/>
  </r>
  <r>
    <n v="44634"/>
    <x v="170"/>
    <x v="3"/>
    <x v="0"/>
    <x v="0"/>
    <s v="Xerox 223"/>
    <x v="5"/>
    <n v="3"/>
    <n v="9.33"/>
    <x v="2"/>
    <x v="1"/>
  </r>
  <r>
    <n v="44635"/>
    <x v="600"/>
    <x v="27"/>
    <x v="2"/>
    <x v="6"/>
    <s v="SmartStand Mobile Device Holder, Assorted Colors"/>
    <x v="723"/>
    <n v="3"/>
    <n v="1.68"/>
    <x v="2"/>
    <x v="1"/>
  </r>
  <r>
    <n v="44636"/>
    <x v="616"/>
    <x v="4"/>
    <x v="0"/>
    <x v="4"/>
    <s v="Rogers Handheld Barrel Pencil Sharpener"/>
    <x v="1757"/>
    <n v="1"/>
    <n v="0.74"/>
    <x v="2"/>
    <x v="1"/>
  </r>
  <r>
    <n v="44636"/>
    <x v="616"/>
    <x v="4"/>
    <x v="0"/>
    <x v="4"/>
    <s v="Newell 344"/>
    <x v="1758"/>
    <n v="3"/>
    <n v="2.17"/>
    <x v="2"/>
    <x v="1"/>
  </r>
  <r>
    <n v="44636"/>
    <x v="616"/>
    <x v="4"/>
    <x v="0"/>
    <x v="2"/>
    <s v="Personal File Boxes with Fold-Down Carry Handle"/>
    <x v="1759"/>
    <n v="3"/>
    <n v="11.69"/>
    <x v="2"/>
    <x v="1"/>
  </r>
  <r>
    <n v="44636"/>
    <x v="616"/>
    <x v="4"/>
    <x v="0"/>
    <x v="3"/>
    <s v="Fellowes PB500 Electric Punch Plastic Comb Binding Machine with Manual Bind"/>
    <x v="1760"/>
    <n v="5"/>
    <n v="3177.48"/>
    <x v="2"/>
    <x v="1"/>
  </r>
  <r>
    <n v="44636"/>
    <x v="617"/>
    <x v="22"/>
    <x v="1"/>
    <x v="13"/>
    <s v="KI Adjustable-Height Table"/>
    <x v="1761"/>
    <n v="2"/>
    <n v="44.71"/>
    <x v="2"/>
    <x v="1"/>
  </r>
  <r>
    <n v="44636"/>
    <x v="407"/>
    <x v="3"/>
    <x v="1"/>
    <x v="8"/>
    <s v="Howard Miller 11-1/2&quot; Diameter Brentwood Wall Clock"/>
    <x v="1762"/>
    <n v="1"/>
    <n v="18.11"/>
    <x v="2"/>
    <x v="1"/>
  </r>
  <r>
    <n v="44636"/>
    <x v="279"/>
    <x v="20"/>
    <x v="2"/>
    <x v="6"/>
    <s v="Plantronics MX500i Earset"/>
    <x v="1763"/>
    <n v="2"/>
    <n v="2.58"/>
    <x v="2"/>
    <x v="1"/>
  </r>
  <r>
    <n v="44636"/>
    <x v="102"/>
    <x v="33"/>
    <x v="0"/>
    <x v="1"/>
    <s v="Dot Matrix Printer Tape Reel Labels, White, 5000/Box"/>
    <x v="547"/>
    <n v="5"/>
    <n v="240.86"/>
    <x v="2"/>
    <x v="1"/>
  </r>
  <r>
    <n v="44636"/>
    <x v="102"/>
    <x v="33"/>
    <x v="0"/>
    <x v="10"/>
    <s v="Colored Envelopes"/>
    <x v="1764"/>
    <n v="2"/>
    <n v="3.39"/>
    <x v="2"/>
    <x v="1"/>
  </r>
  <r>
    <n v="44636"/>
    <x v="412"/>
    <x v="20"/>
    <x v="0"/>
    <x v="4"/>
    <s v="Avery Hi-Liter Smear-Safe Highlighters"/>
    <x v="1765"/>
    <n v="3"/>
    <n v="6.31"/>
    <x v="2"/>
    <x v="1"/>
  </r>
  <r>
    <n v="44637"/>
    <x v="535"/>
    <x v="20"/>
    <x v="2"/>
    <x v="9"/>
    <s v="KeyTronicÂ KT800P2 -Â KeyboardÂ - Black"/>
    <x v="1766"/>
    <n v="1"/>
    <n v="2.7"/>
    <x v="2"/>
    <x v="1"/>
  </r>
  <r>
    <n v="44637"/>
    <x v="535"/>
    <x v="20"/>
    <x v="0"/>
    <x v="2"/>
    <s v="Tenex Personal Self-Stacking Standard File Box, Black/Gray"/>
    <x v="1767"/>
    <n v="2"/>
    <n v="9.1300000000000008"/>
    <x v="2"/>
    <x v="1"/>
  </r>
  <r>
    <n v="44639"/>
    <x v="618"/>
    <x v="22"/>
    <x v="2"/>
    <x v="6"/>
    <s v="Wireless Extenders zBoost YX545 SOHO Signal Booster"/>
    <x v="1768"/>
    <n v="3"/>
    <n v="39.69"/>
    <x v="2"/>
    <x v="1"/>
  </r>
  <r>
    <n v="44639"/>
    <x v="470"/>
    <x v="22"/>
    <x v="0"/>
    <x v="2"/>
    <s v="Deluxe Rollaway Locking File with Drawer"/>
    <x v="1769"/>
    <n v="3"/>
    <n v="349.34"/>
    <x v="2"/>
    <x v="1"/>
  </r>
  <r>
    <n v="44639"/>
    <x v="470"/>
    <x v="22"/>
    <x v="2"/>
    <x v="16"/>
    <s v="Canon PC940 Copier"/>
    <x v="1770"/>
    <n v="7"/>
    <n v="1480.47"/>
    <x v="2"/>
    <x v="1"/>
  </r>
  <r>
    <n v="44639"/>
    <x v="470"/>
    <x v="22"/>
    <x v="0"/>
    <x v="0"/>
    <s v="Multicolor Computer Printout Paper"/>
    <x v="1771"/>
    <n v="2"/>
    <n v="100.66"/>
    <x v="2"/>
    <x v="1"/>
  </r>
  <r>
    <n v="44639"/>
    <x v="328"/>
    <x v="3"/>
    <x v="0"/>
    <x v="3"/>
    <s v="GBC Imprintable Covers"/>
    <x v="1772"/>
    <n v="2"/>
    <n v="6.37"/>
    <x v="2"/>
    <x v="1"/>
  </r>
  <r>
    <n v="44639"/>
    <x v="328"/>
    <x v="3"/>
    <x v="0"/>
    <x v="1"/>
    <s v="Self-Adhesive Address Labels for Typewriters by Universal"/>
    <x v="471"/>
    <n v="2"/>
    <n v="6.87"/>
    <x v="2"/>
    <x v="1"/>
  </r>
  <r>
    <n v="44639"/>
    <x v="328"/>
    <x v="3"/>
    <x v="0"/>
    <x v="14"/>
    <s v="Acme Elite Stainless Steel Scissors"/>
    <x v="1773"/>
    <n v="4"/>
    <n v="8.67"/>
    <x v="2"/>
    <x v="1"/>
  </r>
  <r>
    <n v="44639"/>
    <x v="328"/>
    <x v="3"/>
    <x v="0"/>
    <x v="0"/>
    <s v="Wirebound Message Books, 5-1/2 x 4 Forms, 2 or 4 Forms per Page"/>
    <x v="1774"/>
    <n v="6"/>
    <n v="19.670000000000002"/>
    <x v="2"/>
    <x v="1"/>
  </r>
  <r>
    <n v="44639"/>
    <x v="284"/>
    <x v="16"/>
    <x v="0"/>
    <x v="0"/>
    <s v="Adams Telephone Message Books, 5 1/4Â” x 11Â”"/>
    <x v="1775"/>
    <n v="3"/>
    <n v="4.8899999999999997"/>
    <x v="2"/>
    <x v="1"/>
  </r>
  <r>
    <n v="44639"/>
    <x v="411"/>
    <x v="3"/>
    <x v="0"/>
    <x v="0"/>
    <s v="Xerox 1974"/>
    <x v="687"/>
    <n v="2"/>
    <n v="5.86"/>
    <x v="2"/>
    <x v="1"/>
  </r>
  <r>
    <n v="44639"/>
    <x v="41"/>
    <x v="3"/>
    <x v="0"/>
    <x v="7"/>
    <s v="Stockwell Push Pins"/>
    <x v="389"/>
    <n v="5"/>
    <n v="3.6"/>
    <x v="2"/>
    <x v="1"/>
  </r>
  <r>
    <n v="44639"/>
    <x v="619"/>
    <x v="0"/>
    <x v="0"/>
    <x v="0"/>
    <s v="Xerox 1919"/>
    <x v="1776"/>
    <n v="2"/>
    <n v="23.77"/>
    <x v="2"/>
    <x v="1"/>
  </r>
  <r>
    <n v="44639"/>
    <x v="619"/>
    <x v="0"/>
    <x v="1"/>
    <x v="11"/>
    <s v="Bush Heritage Pine Collection 5-Shelf Bookcase, Albany Pine Finish, *Special Order"/>
    <x v="1777"/>
    <n v="4"/>
    <n v="-67.67"/>
    <x v="2"/>
    <x v="1"/>
  </r>
  <r>
    <n v="44640"/>
    <x v="620"/>
    <x v="21"/>
    <x v="0"/>
    <x v="0"/>
    <s v="Xerox 205"/>
    <x v="1778"/>
    <n v="8"/>
    <n v="24.88"/>
    <x v="2"/>
    <x v="1"/>
  </r>
  <r>
    <n v="44640"/>
    <x v="519"/>
    <x v="0"/>
    <x v="0"/>
    <x v="3"/>
    <s v="GBC Standard Plastic Binding Systems' Combs"/>
    <x v="1779"/>
    <n v="2"/>
    <n v="-4.4000000000000004"/>
    <x v="2"/>
    <x v="1"/>
  </r>
  <r>
    <n v="44640"/>
    <x v="519"/>
    <x v="0"/>
    <x v="0"/>
    <x v="7"/>
    <s v="Staples"/>
    <x v="1780"/>
    <n v="9"/>
    <n v="6.13"/>
    <x v="2"/>
    <x v="1"/>
  </r>
  <r>
    <n v="44640"/>
    <x v="240"/>
    <x v="11"/>
    <x v="0"/>
    <x v="2"/>
    <s v="Portable Personal File Box"/>
    <x v="1781"/>
    <n v="3"/>
    <n v="2.56"/>
    <x v="2"/>
    <x v="1"/>
  </r>
  <r>
    <n v="44640"/>
    <x v="526"/>
    <x v="20"/>
    <x v="0"/>
    <x v="3"/>
    <s v="Wilson Jones Century Plastic Molded Ring Binders"/>
    <x v="1782"/>
    <n v="3"/>
    <n v="16.82"/>
    <x v="2"/>
    <x v="1"/>
  </r>
  <r>
    <n v="44640"/>
    <x v="526"/>
    <x v="20"/>
    <x v="0"/>
    <x v="10"/>
    <s v="Recycled Interoffice Envelopes with String and Button Closure, 10 x 13"/>
    <x v="664"/>
    <n v="1"/>
    <n v="12"/>
    <x v="2"/>
    <x v="1"/>
  </r>
  <r>
    <n v="44640"/>
    <x v="526"/>
    <x v="20"/>
    <x v="0"/>
    <x v="3"/>
    <s v="Fellowes PB200 Plastic Comb Binding Machine"/>
    <x v="1783"/>
    <n v="8"/>
    <n v="353.58"/>
    <x v="2"/>
    <x v="1"/>
  </r>
  <r>
    <n v="44640"/>
    <x v="526"/>
    <x v="20"/>
    <x v="2"/>
    <x v="6"/>
    <s v="Panasonic KX T7731-B Digital phone"/>
    <x v="766"/>
    <n v="2"/>
    <n v="53.99"/>
    <x v="2"/>
    <x v="1"/>
  </r>
  <r>
    <n v="44640"/>
    <x v="526"/>
    <x v="20"/>
    <x v="0"/>
    <x v="2"/>
    <s v="Tennsco Lockers, Sand"/>
    <x v="894"/>
    <n v="4"/>
    <n v="20.14"/>
    <x v="2"/>
    <x v="1"/>
  </r>
  <r>
    <n v="44641"/>
    <x v="621"/>
    <x v="25"/>
    <x v="0"/>
    <x v="12"/>
    <s v="Honeywell Enviracaire Portable HEPA Air Cleaner for 17' x 22' Room"/>
    <x v="1784"/>
    <n v="4"/>
    <n v="156.34"/>
    <x v="2"/>
    <x v="1"/>
  </r>
  <r>
    <n v="44641"/>
    <x v="621"/>
    <x v="25"/>
    <x v="0"/>
    <x v="3"/>
    <s v="GBC Laser Imprintable Binding System Covers, Desert Sand"/>
    <x v="1282"/>
    <n v="3"/>
    <n v="-9.85"/>
    <x v="2"/>
    <x v="1"/>
  </r>
  <r>
    <n v="44641"/>
    <x v="621"/>
    <x v="25"/>
    <x v="0"/>
    <x v="0"/>
    <s v="Xerox 1883"/>
    <x v="1785"/>
    <n v="14"/>
    <n v="96.02"/>
    <x v="2"/>
    <x v="1"/>
  </r>
  <r>
    <n v="44642"/>
    <x v="622"/>
    <x v="0"/>
    <x v="2"/>
    <x v="9"/>
    <s v="Verbatim 25 GB 6x Blu-ray Single Layer Recordable Disc, 25/Pack"/>
    <x v="1786"/>
    <n v="1"/>
    <n v="5.29"/>
    <x v="2"/>
    <x v="1"/>
  </r>
  <r>
    <n v="44642"/>
    <x v="622"/>
    <x v="0"/>
    <x v="0"/>
    <x v="2"/>
    <s v="Carina Double Wide Media Storage Towers in Natural &amp; Black"/>
    <x v="102"/>
    <n v="2"/>
    <n v="-25.91"/>
    <x v="2"/>
    <x v="1"/>
  </r>
  <r>
    <n v="44642"/>
    <x v="622"/>
    <x v="0"/>
    <x v="0"/>
    <x v="3"/>
    <s v="XtraLife ClearVue Slant-D Ring Binders by Cardinal"/>
    <x v="1787"/>
    <n v="9"/>
    <n v="-21.17"/>
    <x v="2"/>
    <x v="1"/>
  </r>
  <r>
    <n v="44642"/>
    <x v="131"/>
    <x v="3"/>
    <x v="2"/>
    <x v="6"/>
    <s v="Square Credit Card Reader"/>
    <x v="1721"/>
    <n v="2"/>
    <n v="1.2"/>
    <x v="2"/>
    <x v="1"/>
  </r>
  <r>
    <n v="44642"/>
    <x v="514"/>
    <x v="3"/>
    <x v="0"/>
    <x v="0"/>
    <s v="Easy-staple paper"/>
    <x v="1479"/>
    <n v="4"/>
    <n v="48.54"/>
    <x v="2"/>
    <x v="1"/>
  </r>
  <r>
    <n v="44642"/>
    <x v="514"/>
    <x v="3"/>
    <x v="1"/>
    <x v="8"/>
    <s v="Tenex B1-RE Series Chair Mats for Low Pile Carpets"/>
    <x v="302"/>
    <n v="2"/>
    <n v="15.63"/>
    <x v="2"/>
    <x v="1"/>
  </r>
  <r>
    <n v="44642"/>
    <x v="514"/>
    <x v="3"/>
    <x v="2"/>
    <x v="6"/>
    <s v="ClearOne CHATAttach 160 -Â speaker phone"/>
    <x v="1788"/>
    <n v="3"/>
    <n v="186"/>
    <x v="2"/>
    <x v="1"/>
  </r>
  <r>
    <n v="44642"/>
    <x v="623"/>
    <x v="33"/>
    <x v="0"/>
    <x v="4"/>
    <s v="Newell 316"/>
    <x v="1789"/>
    <n v="4"/>
    <n v="5.48"/>
    <x v="2"/>
    <x v="1"/>
  </r>
  <r>
    <n v="44642"/>
    <x v="587"/>
    <x v="16"/>
    <x v="2"/>
    <x v="9"/>
    <s v="Logitech G602 Wireless Gaming Mouse"/>
    <x v="1548"/>
    <n v="7"/>
    <n v="89.59"/>
    <x v="2"/>
    <x v="1"/>
  </r>
  <r>
    <n v="44642"/>
    <x v="587"/>
    <x v="16"/>
    <x v="0"/>
    <x v="2"/>
    <s v="Iris 3-Drawer Stacking Bin, Black"/>
    <x v="1790"/>
    <n v="9"/>
    <n v="-33.840000000000003"/>
    <x v="2"/>
    <x v="1"/>
  </r>
  <r>
    <n v="44643"/>
    <x v="427"/>
    <x v="0"/>
    <x v="1"/>
    <x v="5"/>
    <s v="Global Deluxe Steno Chair"/>
    <x v="457"/>
    <n v="2"/>
    <n v="-29.25"/>
    <x v="2"/>
    <x v="1"/>
  </r>
  <r>
    <n v="44643"/>
    <x v="320"/>
    <x v="9"/>
    <x v="0"/>
    <x v="7"/>
    <s v="Staples"/>
    <x v="1791"/>
    <n v="4"/>
    <n v="14.2"/>
    <x v="2"/>
    <x v="1"/>
  </r>
  <r>
    <n v="44643"/>
    <x v="320"/>
    <x v="9"/>
    <x v="0"/>
    <x v="2"/>
    <s v="Eldon Shelf Savers Cubes and Bins"/>
    <x v="1792"/>
    <n v="4"/>
    <n v="0.56000000000000005"/>
    <x v="2"/>
    <x v="1"/>
  </r>
  <r>
    <n v="44643"/>
    <x v="244"/>
    <x v="3"/>
    <x v="0"/>
    <x v="0"/>
    <s v="REDIFORM Incoming/Outgoing Call Register, 11&quot; X 8 1/2&quot;, 100 Messages"/>
    <x v="1773"/>
    <n v="4"/>
    <n v="16.68"/>
    <x v="2"/>
    <x v="1"/>
  </r>
  <r>
    <n v="44643"/>
    <x v="450"/>
    <x v="3"/>
    <x v="0"/>
    <x v="0"/>
    <s v="TOPS Carbonless Receipt Book, Four 2-3/4 x 7-1/4 Money Receipts per Page"/>
    <x v="1793"/>
    <n v="11"/>
    <n v="92.51"/>
    <x v="2"/>
    <x v="1"/>
  </r>
  <r>
    <n v="44643"/>
    <x v="450"/>
    <x v="3"/>
    <x v="2"/>
    <x v="9"/>
    <s v="Logitech G600 MMO Gaming Mouse"/>
    <x v="104"/>
    <n v="3"/>
    <n v="86.39"/>
    <x v="2"/>
    <x v="1"/>
  </r>
  <r>
    <n v="44644"/>
    <x v="285"/>
    <x v="1"/>
    <x v="1"/>
    <x v="11"/>
    <s v="Sauder Inglewood Library Bookcases"/>
    <x v="1794"/>
    <n v="3"/>
    <n v="-35.909999999999997"/>
    <x v="2"/>
    <x v="1"/>
  </r>
  <r>
    <n v="44644"/>
    <x v="624"/>
    <x v="16"/>
    <x v="0"/>
    <x v="12"/>
    <s v="Eureka Sanitaire  Multi-Pro Heavy-Duty Upright, Disposable Bags"/>
    <x v="1795"/>
    <n v="2"/>
    <n v="0.52"/>
    <x v="2"/>
    <x v="1"/>
  </r>
  <r>
    <n v="44644"/>
    <x v="552"/>
    <x v="22"/>
    <x v="1"/>
    <x v="8"/>
    <s v="Eldon Expressions Punched Metal &amp; Wood Desk Accessories, Black &amp; Cherry"/>
    <x v="1796"/>
    <n v="5"/>
    <n v="13.13"/>
    <x v="2"/>
    <x v="1"/>
  </r>
  <r>
    <n v="44646"/>
    <x v="625"/>
    <x v="16"/>
    <x v="0"/>
    <x v="0"/>
    <s v="Xerox 1988"/>
    <x v="230"/>
    <n v="3"/>
    <n v="23.24"/>
    <x v="2"/>
    <x v="1"/>
  </r>
  <r>
    <n v="44646"/>
    <x v="344"/>
    <x v="2"/>
    <x v="0"/>
    <x v="0"/>
    <s v="Southworth 25% Cotton Antique Laid Paper &amp; Envelopes"/>
    <x v="1797"/>
    <n v="6"/>
    <n v="12.51"/>
    <x v="2"/>
    <x v="1"/>
  </r>
  <r>
    <n v="44646"/>
    <x v="344"/>
    <x v="2"/>
    <x v="2"/>
    <x v="9"/>
    <s v="Verbatim 25 GB 6x Blu-ray Single Layer Recordable Disc, 3/Pack"/>
    <x v="723"/>
    <n v="3"/>
    <n v="5.03"/>
    <x v="2"/>
    <x v="1"/>
  </r>
  <r>
    <n v="44646"/>
    <x v="227"/>
    <x v="22"/>
    <x v="1"/>
    <x v="13"/>
    <s v="Bush Advantage Collection Racetrack Conference Table"/>
    <x v="1798"/>
    <n v="8"/>
    <n v="610.86"/>
    <x v="2"/>
    <x v="1"/>
  </r>
  <r>
    <n v="44646"/>
    <x v="436"/>
    <x v="20"/>
    <x v="0"/>
    <x v="2"/>
    <s v="Dual Level, Single-Width Filing Carts"/>
    <x v="1799"/>
    <n v="7"/>
    <n v="282.20999999999998"/>
    <x v="2"/>
    <x v="1"/>
  </r>
  <r>
    <n v="44646"/>
    <x v="436"/>
    <x v="20"/>
    <x v="0"/>
    <x v="12"/>
    <s v="Disposable Triple-Filter Dust Bags"/>
    <x v="1800"/>
    <n v="3"/>
    <n v="3.41"/>
    <x v="2"/>
    <x v="1"/>
  </r>
  <r>
    <n v="44647"/>
    <x v="20"/>
    <x v="22"/>
    <x v="0"/>
    <x v="2"/>
    <s v="Rogers Profile Extra Capacity Storage Tub"/>
    <x v="1801"/>
    <n v="5"/>
    <n v="3.35"/>
    <x v="2"/>
    <x v="1"/>
  </r>
  <r>
    <n v="44648"/>
    <x v="513"/>
    <x v="3"/>
    <x v="2"/>
    <x v="9"/>
    <s v="Imation Bio 8GB USBÂ Flash Drive ImationÂ Corp"/>
    <x v="1802"/>
    <n v="1"/>
    <n v="24.94"/>
    <x v="2"/>
    <x v="1"/>
  </r>
  <r>
    <n v="44648"/>
    <x v="513"/>
    <x v="3"/>
    <x v="0"/>
    <x v="0"/>
    <s v="Xerox 1977"/>
    <x v="1803"/>
    <n v="5"/>
    <n v="16.03"/>
    <x v="2"/>
    <x v="1"/>
  </r>
  <r>
    <n v="44648"/>
    <x v="74"/>
    <x v="2"/>
    <x v="0"/>
    <x v="0"/>
    <s v="Xerox 1999"/>
    <x v="143"/>
    <n v="3"/>
    <n v="5.44"/>
    <x v="2"/>
    <x v="1"/>
  </r>
  <r>
    <n v="44648"/>
    <x v="74"/>
    <x v="2"/>
    <x v="0"/>
    <x v="0"/>
    <s v="Southworth Parchment Paper &amp; Envelopes"/>
    <x v="1804"/>
    <n v="1"/>
    <n v="1.7"/>
    <x v="2"/>
    <x v="1"/>
  </r>
  <r>
    <n v="44648"/>
    <x v="209"/>
    <x v="20"/>
    <x v="0"/>
    <x v="10"/>
    <s v="Security-Tint Envelopes"/>
    <x v="1129"/>
    <n v="3"/>
    <n v="11.23"/>
    <x v="2"/>
    <x v="1"/>
  </r>
  <r>
    <n v="44649"/>
    <x v="421"/>
    <x v="16"/>
    <x v="1"/>
    <x v="5"/>
    <s v="Hon 4070 Series Pagoda Armless Upholstered Stacking Chairs"/>
    <x v="1805"/>
    <n v="5"/>
    <n v="131.28"/>
    <x v="2"/>
    <x v="1"/>
  </r>
  <r>
    <n v="44649"/>
    <x v="445"/>
    <x v="22"/>
    <x v="0"/>
    <x v="12"/>
    <s v="Acco 6 Outlet Guardian Premium Plus Surge Suppressor"/>
    <x v="1806"/>
    <n v="4"/>
    <n v="21.25"/>
    <x v="2"/>
    <x v="1"/>
  </r>
  <r>
    <n v="44649"/>
    <x v="77"/>
    <x v="3"/>
    <x v="0"/>
    <x v="0"/>
    <s v="Xerox 1880"/>
    <x v="1807"/>
    <n v="6"/>
    <n v="99.94"/>
    <x v="2"/>
    <x v="1"/>
  </r>
  <r>
    <n v="44649"/>
    <x v="77"/>
    <x v="3"/>
    <x v="0"/>
    <x v="0"/>
    <s v="Tops Wirebound Message Log Books"/>
    <x v="1808"/>
    <n v="3"/>
    <n v="4.54"/>
    <x v="2"/>
    <x v="1"/>
  </r>
  <r>
    <n v="44649"/>
    <x v="77"/>
    <x v="3"/>
    <x v="2"/>
    <x v="9"/>
    <s v="Memorex Froggy Flash Drive 8 GB"/>
    <x v="1809"/>
    <n v="3"/>
    <n v="20.77"/>
    <x v="2"/>
    <x v="1"/>
  </r>
  <r>
    <n v="44649"/>
    <x v="77"/>
    <x v="3"/>
    <x v="1"/>
    <x v="8"/>
    <s v="G.E. Longer-Life Indoor Recessed Floodlight Bulbs"/>
    <x v="611"/>
    <n v="3"/>
    <n v="9.56"/>
    <x v="2"/>
    <x v="1"/>
  </r>
  <r>
    <n v="44649"/>
    <x v="83"/>
    <x v="6"/>
    <x v="0"/>
    <x v="4"/>
    <s v="Newell 333"/>
    <x v="638"/>
    <n v="2"/>
    <n v="1.45"/>
    <x v="2"/>
    <x v="1"/>
  </r>
  <r>
    <n v="44649"/>
    <x v="626"/>
    <x v="20"/>
    <x v="0"/>
    <x v="0"/>
    <s v="Ampad Gold Fibre Wirebound Steno Books, 6&quot; x 9&quot;, Gregg Ruled"/>
    <x v="1810"/>
    <n v="4"/>
    <n v="8.11"/>
    <x v="2"/>
    <x v="1"/>
  </r>
  <r>
    <n v="44650"/>
    <x v="452"/>
    <x v="1"/>
    <x v="0"/>
    <x v="0"/>
    <s v="Adams Telephone Message Book W/Dividers/Space For Phone Numbers, 5 1/4&quot;X8 1/2&quot;, 300/Messages"/>
    <x v="1811"/>
    <n v="5"/>
    <n v="8.5299999999999994"/>
    <x v="2"/>
    <x v="1"/>
  </r>
  <r>
    <n v="44650"/>
    <x v="452"/>
    <x v="1"/>
    <x v="2"/>
    <x v="6"/>
    <s v="AT&amp;T 17929 Lendline Telephone"/>
    <x v="81"/>
    <n v="5"/>
    <n v="13.57"/>
    <x v="2"/>
    <x v="1"/>
  </r>
  <r>
    <n v="44650"/>
    <x v="108"/>
    <x v="1"/>
    <x v="1"/>
    <x v="5"/>
    <s v="Office Star - Contemporary Task Swivel chair with Loop Arms, Charcoal"/>
    <x v="1812"/>
    <n v="4"/>
    <n v="-110.02"/>
    <x v="2"/>
    <x v="1"/>
  </r>
  <r>
    <n v="44651"/>
    <x v="134"/>
    <x v="16"/>
    <x v="2"/>
    <x v="6"/>
    <s v="PureGear Roll-On Screen Protector"/>
    <x v="1813"/>
    <n v="5"/>
    <n v="27.99"/>
    <x v="2"/>
    <x v="1"/>
  </r>
  <r>
    <n v="44651"/>
    <x v="290"/>
    <x v="0"/>
    <x v="0"/>
    <x v="0"/>
    <s v="White Dual Perf Computer Printout Paper, 2700 Sheets, 1 Part, Heavyweight, 20 lbs., 14 7/8 x 11"/>
    <x v="1465"/>
    <n v="3"/>
    <n v="35.659999999999997"/>
    <x v="2"/>
    <x v="1"/>
  </r>
  <r>
    <n v="44651"/>
    <x v="290"/>
    <x v="0"/>
    <x v="1"/>
    <x v="8"/>
    <s v="3M Polarizing Light Filter Sleeves"/>
    <x v="157"/>
    <n v="3"/>
    <n v="-7.83"/>
    <x v="2"/>
    <x v="1"/>
  </r>
  <r>
    <n v="44653"/>
    <x v="627"/>
    <x v="0"/>
    <x v="0"/>
    <x v="12"/>
    <s v="APC 7 Outlet Network SurgeArrest Surge Protector"/>
    <x v="1814"/>
    <n v="2"/>
    <n v="-80.48"/>
    <x v="3"/>
    <x v="1"/>
  </r>
  <r>
    <n v="44653"/>
    <x v="627"/>
    <x v="0"/>
    <x v="2"/>
    <x v="9"/>
    <s v="Kingston Digital DataTraveler 16GB USB 2.0"/>
    <x v="1815"/>
    <n v="7"/>
    <n v="-0.63"/>
    <x v="3"/>
    <x v="1"/>
  </r>
  <r>
    <n v="44653"/>
    <x v="627"/>
    <x v="0"/>
    <x v="2"/>
    <x v="9"/>
    <s v="Anker Ultra-Slim Mini Bluetooth 3.0 Wireless Keyboard"/>
    <x v="972"/>
    <n v="3"/>
    <n v="1.8"/>
    <x v="3"/>
    <x v="1"/>
  </r>
  <r>
    <n v="44653"/>
    <x v="568"/>
    <x v="0"/>
    <x v="0"/>
    <x v="3"/>
    <s v="Aluminum Screw Posts"/>
    <x v="1816"/>
    <n v="3"/>
    <n v="-13.73"/>
    <x v="3"/>
    <x v="1"/>
  </r>
  <r>
    <n v="44653"/>
    <x v="628"/>
    <x v="3"/>
    <x v="2"/>
    <x v="15"/>
    <s v="Vtech AT&amp;T CL2940 Corded Speakerphone, Black"/>
    <x v="1553"/>
    <n v="3"/>
    <n v="24.29"/>
    <x v="3"/>
    <x v="1"/>
  </r>
  <r>
    <n v="44653"/>
    <x v="315"/>
    <x v="12"/>
    <x v="2"/>
    <x v="6"/>
    <s v="Samsung HM1900 Bluetooth Headset"/>
    <x v="1817"/>
    <n v="5"/>
    <n v="32.93"/>
    <x v="3"/>
    <x v="1"/>
  </r>
  <r>
    <n v="44655"/>
    <x v="155"/>
    <x v="20"/>
    <x v="0"/>
    <x v="4"/>
    <s v="DIXON Ticonderoga Erasable Checking Pencils"/>
    <x v="280"/>
    <n v="2"/>
    <n v="4.3499999999999996"/>
    <x v="3"/>
    <x v="1"/>
  </r>
  <r>
    <n v="44655"/>
    <x v="155"/>
    <x v="20"/>
    <x v="1"/>
    <x v="8"/>
    <s v="Eldon Advantage Foldable Chair Mats for Low Pile Carpets"/>
    <x v="1818"/>
    <n v="2"/>
    <n v="22.76"/>
    <x v="3"/>
    <x v="1"/>
  </r>
  <r>
    <n v="44655"/>
    <x v="155"/>
    <x v="20"/>
    <x v="0"/>
    <x v="3"/>
    <s v="GBC Prestige Therm-A-Bind Covers"/>
    <x v="1819"/>
    <n v="3"/>
    <n v="27.79"/>
    <x v="3"/>
    <x v="1"/>
  </r>
  <r>
    <n v="44655"/>
    <x v="155"/>
    <x v="20"/>
    <x v="0"/>
    <x v="3"/>
    <s v="Avery Round Ring Poly Binders"/>
    <x v="1094"/>
    <n v="4"/>
    <n v="3.29"/>
    <x v="3"/>
    <x v="1"/>
  </r>
  <r>
    <n v="44655"/>
    <x v="115"/>
    <x v="14"/>
    <x v="0"/>
    <x v="12"/>
    <s v="Hoover Shoulder Vac Commercial Portable Vacuum"/>
    <x v="1820"/>
    <n v="2"/>
    <n v="107.35"/>
    <x v="3"/>
    <x v="1"/>
  </r>
  <r>
    <n v="44655"/>
    <x v="115"/>
    <x v="14"/>
    <x v="0"/>
    <x v="7"/>
    <s v="Staples"/>
    <x v="1821"/>
    <n v="2"/>
    <n v="2.63"/>
    <x v="3"/>
    <x v="1"/>
  </r>
  <r>
    <n v="44655"/>
    <x v="115"/>
    <x v="14"/>
    <x v="0"/>
    <x v="3"/>
    <s v="Acco Expandable Hanging Binders"/>
    <x v="1822"/>
    <n v="2"/>
    <n v="5.87"/>
    <x v="3"/>
    <x v="1"/>
  </r>
  <r>
    <n v="44655"/>
    <x v="115"/>
    <x v="14"/>
    <x v="2"/>
    <x v="6"/>
    <s v="Shocksock Galaxy S4 Armband"/>
    <x v="1322"/>
    <n v="1"/>
    <n v="0.44"/>
    <x v="3"/>
    <x v="1"/>
  </r>
  <r>
    <n v="44655"/>
    <x v="115"/>
    <x v="14"/>
    <x v="2"/>
    <x v="16"/>
    <s v="Brother DCP1000 Digital 3 in 1 Multifunction Machine"/>
    <x v="1823"/>
    <n v="2"/>
    <n v="209.99"/>
    <x v="3"/>
    <x v="1"/>
  </r>
  <r>
    <n v="44656"/>
    <x v="480"/>
    <x v="15"/>
    <x v="0"/>
    <x v="3"/>
    <s v="GBC DocuBind 300 Electric Binding Machine"/>
    <x v="1824"/>
    <n v="1"/>
    <n v="-115.72"/>
    <x v="3"/>
    <x v="1"/>
  </r>
  <r>
    <n v="44656"/>
    <x v="243"/>
    <x v="2"/>
    <x v="0"/>
    <x v="12"/>
    <s v="Bionaire 99.97% HEPA Air Cleaner"/>
    <x v="1825"/>
    <n v="7"/>
    <n v="18.399999999999999"/>
    <x v="3"/>
    <x v="1"/>
  </r>
  <r>
    <n v="44656"/>
    <x v="243"/>
    <x v="2"/>
    <x v="0"/>
    <x v="2"/>
    <s v="Fellowes High-Stak Drawer Files"/>
    <x v="1826"/>
    <n v="4"/>
    <n v="21.14"/>
    <x v="3"/>
    <x v="1"/>
  </r>
  <r>
    <n v="44656"/>
    <x v="243"/>
    <x v="2"/>
    <x v="0"/>
    <x v="3"/>
    <s v="Cardinal Slant-D Ring Binders"/>
    <x v="15"/>
    <n v="4"/>
    <n v="-6.95"/>
    <x v="3"/>
    <x v="1"/>
  </r>
  <r>
    <n v="44656"/>
    <x v="243"/>
    <x v="2"/>
    <x v="1"/>
    <x v="8"/>
    <s v="Tenex Antistatic Computer Chair Mats"/>
    <x v="1827"/>
    <n v="4"/>
    <n v="-68.39"/>
    <x v="3"/>
    <x v="1"/>
  </r>
  <r>
    <n v="44656"/>
    <x v="243"/>
    <x v="2"/>
    <x v="2"/>
    <x v="6"/>
    <s v="Cush Cases Heavy Duty Rugged Cover Case for Samsung Galaxy S5 - Purple"/>
    <x v="1828"/>
    <n v="5"/>
    <n v="-3.22"/>
    <x v="3"/>
    <x v="1"/>
  </r>
  <r>
    <n v="44656"/>
    <x v="243"/>
    <x v="2"/>
    <x v="2"/>
    <x v="6"/>
    <s v="Speck Products Candyshell Flip Case"/>
    <x v="1829"/>
    <n v="2"/>
    <n v="-9.8000000000000007"/>
    <x v="3"/>
    <x v="1"/>
  </r>
  <r>
    <n v="44656"/>
    <x v="243"/>
    <x v="2"/>
    <x v="1"/>
    <x v="8"/>
    <s v="DAX Charcoal/Nickel-Tone Document Frame, 5 x 7"/>
    <x v="1830"/>
    <n v="1"/>
    <n v="2.37"/>
    <x v="3"/>
    <x v="1"/>
  </r>
  <r>
    <n v="44656"/>
    <x v="243"/>
    <x v="2"/>
    <x v="1"/>
    <x v="11"/>
    <s v="Bush Heritage Pine Collection 5-Shelf Bookcase, Albany Pine Finish, *Special Order"/>
    <x v="1831"/>
    <n v="5"/>
    <n v="-211.47"/>
    <x v="3"/>
    <x v="1"/>
  </r>
  <r>
    <n v="44656"/>
    <x v="207"/>
    <x v="2"/>
    <x v="0"/>
    <x v="1"/>
    <s v="Avery 499"/>
    <x v="1832"/>
    <n v="6"/>
    <n v="7.77"/>
    <x v="3"/>
    <x v="1"/>
  </r>
  <r>
    <n v="44656"/>
    <x v="27"/>
    <x v="3"/>
    <x v="1"/>
    <x v="5"/>
    <s v="GuestStacker Chair with Chrome Finish Legs"/>
    <x v="1833"/>
    <n v="3"/>
    <n v="89.22"/>
    <x v="3"/>
    <x v="1"/>
  </r>
  <r>
    <n v="44656"/>
    <x v="259"/>
    <x v="22"/>
    <x v="2"/>
    <x v="9"/>
    <s v="SanDisk Ultra 64 GB MicroSDHC Class 10 Memory Card"/>
    <x v="1834"/>
    <n v="6"/>
    <n v="26.39"/>
    <x v="3"/>
    <x v="1"/>
  </r>
  <r>
    <n v="44656"/>
    <x v="259"/>
    <x v="22"/>
    <x v="0"/>
    <x v="4"/>
    <s v="Dixon Ticonderoga Pencils"/>
    <x v="654"/>
    <n v="8"/>
    <n v="6.44"/>
    <x v="3"/>
    <x v="1"/>
  </r>
  <r>
    <n v="44657"/>
    <x v="426"/>
    <x v="0"/>
    <x v="0"/>
    <x v="4"/>
    <s v="Newell 312"/>
    <x v="1835"/>
    <n v="9"/>
    <n v="5.26"/>
    <x v="3"/>
    <x v="1"/>
  </r>
  <r>
    <n v="44657"/>
    <x v="426"/>
    <x v="0"/>
    <x v="2"/>
    <x v="9"/>
    <s v="Maxell 4.7GB DVD-RW 3/Pack"/>
    <x v="1836"/>
    <n v="2"/>
    <n v="4.46"/>
    <x v="3"/>
    <x v="1"/>
  </r>
  <r>
    <n v="44657"/>
    <x v="426"/>
    <x v="0"/>
    <x v="0"/>
    <x v="3"/>
    <s v="Ibico Covers for Plastic or Wire Binding Elements"/>
    <x v="1837"/>
    <n v="3"/>
    <n v="-12.08"/>
    <x v="3"/>
    <x v="1"/>
  </r>
  <r>
    <n v="44657"/>
    <x v="426"/>
    <x v="0"/>
    <x v="0"/>
    <x v="3"/>
    <s v="Fellowes Twister Kit, Gray/Clear, 3/pkg"/>
    <x v="1838"/>
    <n v="6"/>
    <n v="-16.88"/>
    <x v="3"/>
    <x v="1"/>
  </r>
  <r>
    <n v="44657"/>
    <x v="426"/>
    <x v="0"/>
    <x v="0"/>
    <x v="0"/>
    <s v="Xerox 1949"/>
    <x v="1140"/>
    <n v="2"/>
    <n v="2.89"/>
    <x v="3"/>
    <x v="1"/>
  </r>
  <r>
    <n v="44657"/>
    <x v="294"/>
    <x v="25"/>
    <x v="0"/>
    <x v="0"/>
    <s v="Xerox 1884"/>
    <x v="1839"/>
    <n v="3"/>
    <n v="16.18"/>
    <x v="3"/>
    <x v="1"/>
  </r>
  <r>
    <n v="44658"/>
    <x v="184"/>
    <x v="0"/>
    <x v="0"/>
    <x v="12"/>
    <s v="Hoover Upright Vacuum With Dirt Cup"/>
    <x v="1840"/>
    <n v="8"/>
    <n v="-1181.28"/>
    <x v="3"/>
    <x v="1"/>
  </r>
  <r>
    <n v="44658"/>
    <x v="184"/>
    <x v="0"/>
    <x v="2"/>
    <x v="9"/>
    <s v="Razer Kraken PRO Over Ear PC and Music Headset"/>
    <x v="1841"/>
    <n v="6"/>
    <n v="47.99"/>
    <x v="3"/>
    <x v="1"/>
  </r>
  <r>
    <n v="44658"/>
    <x v="365"/>
    <x v="2"/>
    <x v="0"/>
    <x v="4"/>
    <s v="Newell 331"/>
    <x v="1842"/>
    <n v="3"/>
    <n v="1.03"/>
    <x v="3"/>
    <x v="1"/>
  </r>
  <r>
    <n v="44658"/>
    <x v="218"/>
    <x v="20"/>
    <x v="0"/>
    <x v="0"/>
    <s v="Xerox 192"/>
    <x v="499"/>
    <n v="4"/>
    <n v="12.44"/>
    <x v="3"/>
    <x v="1"/>
  </r>
  <r>
    <n v="44658"/>
    <x v="218"/>
    <x v="20"/>
    <x v="0"/>
    <x v="2"/>
    <s v="X-Rack File for Hanging Folders"/>
    <x v="1264"/>
    <n v="2"/>
    <n v="5.87"/>
    <x v="3"/>
    <x v="1"/>
  </r>
  <r>
    <n v="44660"/>
    <x v="144"/>
    <x v="3"/>
    <x v="1"/>
    <x v="13"/>
    <s v="Laminate Occasional Tables"/>
    <x v="1843"/>
    <n v="3"/>
    <n v="-13.87"/>
    <x v="3"/>
    <x v="1"/>
  </r>
  <r>
    <n v="44660"/>
    <x v="260"/>
    <x v="20"/>
    <x v="0"/>
    <x v="2"/>
    <s v="Perma STOR-ALL Hanging File Box, 13 1/8&quot;W x 12 1/4&quot;D x 10 1/2&quot;H"/>
    <x v="150"/>
    <n v="3"/>
    <n v="3.05"/>
    <x v="3"/>
    <x v="1"/>
  </r>
  <r>
    <n v="44660"/>
    <x v="466"/>
    <x v="37"/>
    <x v="0"/>
    <x v="12"/>
    <s v="Honeywell Enviracaire Portable HEPA Air Cleaner for up to 10 x 16 Room"/>
    <x v="1844"/>
    <n v="3"/>
    <n v="144.35"/>
    <x v="3"/>
    <x v="1"/>
  </r>
  <r>
    <n v="44661"/>
    <x v="441"/>
    <x v="3"/>
    <x v="0"/>
    <x v="3"/>
    <s v="Insertable Tab Post Binder Dividers"/>
    <x v="1845"/>
    <n v="2"/>
    <n v="4.33"/>
    <x v="3"/>
    <x v="1"/>
  </r>
  <r>
    <n v="44661"/>
    <x v="469"/>
    <x v="20"/>
    <x v="0"/>
    <x v="2"/>
    <s v="Steel Personal Filing/Posting Tote"/>
    <x v="1846"/>
    <n v="4"/>
    <n v="38.35"/>
    <x v="3"/>
    <x v="1"/>
  </r>
  <r>
    <n v="44661"/>
    <x v="469"/>
    <x v="20"/>
    <x v="0"/>
    <x v="4"/>
    <s v="Faber Castell Col-Erase Pencils"/>
    <x v="1385"/>
    <n v="3"/>
    <n v="6.01"/>
    <x v="3"/>
    <x v="1"/>
  </r>
  <r>
    <n v="44662"/>
    <x v="145"/>
    <x v="20"/>
    <x v="2"/>
    <x v="9"/>
    <s v="Maxell 4.7GB DVD-R"/>
    <x v="1847"/>
    <n v="3"/>
    <n v="34.909999999999997"/>
    <x v="3"/>
    <x v="1"/>
  </r>
  <r>
    <n v="44662"/>
    <x v="145"/>
    <x v="20"/>
    <x v="2"/>
    <x v="6"/>
    <s v="OtterBox Commuter Series Case - iPhone 5 &amp; 5s"/>
    <x v="1848"/>
    <n v="1"/>
    <n v="10.56"/>
    <x v="3"/>
    <x v="1"/>
  </r>
  <r>
    <n v="44662"/>
    <x v="145"/>
    <x v="20"/>
    <x v="0"/>
    <x v="12"/>
    <s v="Kensington 4 Outlet MasterPiece Compact Power Control Center"/>
    <x v="1849"/>
    <n v="5"/>
    <n v="113.85"/>
    <x v="3"/>
    <x v="1"/>
  </r>
  <r>
    <n v="44662"/>
    <x v="378"/>
    <x v="16"/>
    <x v="1"/>
    <x v="8"/>
    <s v="Executive Impressions Supervisor Wall Clock"/>
    <x v="1850"/>
    <n v="2"/>
    <n v="10.1"/>
    <x v="3"/>
    <x v="1"/>
  </r>
  <r>
    <n v="44662"/>
    <x v="378"/>
    <x v="16"/>
    <x v="1"/>
    <x v="8"/>
    <s v="Executive Impressions 14&quot; Two-Color Numerals Wall Clock"/>
    <x v="1851"/>
    <n v="3"/>
    <n v="14.31"/>
    <x v="3"/>
    <x v="1"/>
  </r>
  <r>
    <n v="44662"/>
    <x v="539"/>
    <x v="3"/>
    <x v="2"/>
    <x v="16"/>
    <s v="Canon PC-428 Personal Copier"/>
    <x v="1852"/>
    <n v="4"/>
    <n v="215.99"/>
    <x v="3"/>
    <x v="1"/>
  </r>
  <r>
    <n v="44662"/>
    <x v="539"/>
    <x v="3"/>
    <x v="0"/>
    <x v="0"/>
    <s v="Easy-staple paper"/>
    <x v="1853"/>
    <n v="2"/>
    <n v="24.27"/>
    <x v="3"/>
    <x v="1"/>
  </r>
  <r>
    <n v="44663"/>
    <x v="629"/>
    <x v="22"/>
    <x v="0"/>
    <x v="2"/>
    <s v="Rogers Jumbo File, Granite"/>
    <x v="1854"/>
    <n v="3"/>
    <n v="0.41"/>
    <x v="3"/>
    <x v="1"/>
  </r>
  <r>
    <n v="44664"/>
    <x v="456"/>
    <x v="3"/>
    <x v="2"/>
    <x v="9"/>
    <s v="Plantronics Audio 478 Stereo USB Headset"/>
    <x v="1855"/>
    <n v="4"/>
    <n v="69.989999999999995"/>
    <x v="3"/>
    <x v="1"/>
  </r>
  <r>
    <n v="44664"/>
    <x v="456"/>
    <x v="3"/>
    <x v="1"/>
    <x v="13"/>
    <s v="Hon 94000 Series Round Tables"/>
    <x v="1856"/>
    <n v="3"/>
    <n v="-97.74"/>
    <x v="3"/>
    <x v="1"/>
  </r>
  <r>
    <n v="44664"/>
    <x v="630"/>
    <x v="31"/>
    <x v="0"/>
    <x v="14"/>
    <s v="Martin-Yale Premier Letter Opener"/>
    <x v="1857"/>
    <n v="1"/>
    <n v="0.39"/>
    <x v="3"/>
    <x v="1"/>
  </r>
  <r>
    <n v="44664"/>
    <x v="631"/>
    <x v="12"/>
    <x v="0"/>
    <x v="0"/>
    <s v="Xerox 210"/>
    <x v="792"/>
    <n v="6"/>
    <n v="10.89"/>
    <x v="3"/>
    <x v="1"/>
  </r>
  <r>
    <n v="44664"/>
    <x v="631"/>
    <x v="12"/>
    <x v="0"/>
    <x v="0"/>
    <s v="Xerox 1973"/>
    <x v="1858"/>
    <n v="3"/>
    <n v="17.82"/>
    <x v="3"/>
    <x v="1"/>
  </r>
  <r>
    <n v="44664"/>
    <x v="478"/>
    <x v="3"/>
    <x v="1"/>
    <x v="8"/>
    <s v="Flat Face Poster Frame"/>
    <x v="1859"/>
    <n v="2"/>
    <n v="15.83"/>
    <x v="3"/>
    <x v="1"/>
  </r>
  <r>
    <n v="44664"/>
    <x v="478"/>
    <x v="3"/>
    <x v="2"/>
    <x v="6"/>
    <s v="Aastra 57i VoIP phone"/>
    <x v="1860"/>
    <n v="2"/>
    <n v="19.39"/>
    <x v="3"/>
    <x v="1"/>
  </r>
  <r>
    <n v="44664"/>
    <x v="478"/>
    <x v="3"/>
    <x v="0"/>
    <x v="12"/>
    <s v="3M Replacement Filter for Office Air Cleaner for 20' x 33' Room"/>
    <x v="1861"/>
    <n v="2"/>
    <n v="29.58"/>
    <x v="3"/>
    <x v="1"/>
  </r>
  <r>
    <n v="44664"/>
    <x v="331"/>
    <x v="40"/>
    <x v="0"/>
    <x v="3"/>
    <s v="Fellowes Black Plastic Comb Bindings"/>
    <x v="1862"/>
    <n v="3"/>
    <n v="8.02"/>
    <x v="3"/>
    <x v="1"/>
  </r>
  <r>
    <n v="44664"/>
    <x v="632"/>
    <x v="3"/>
    <x v="1"/>
    <x v="13"/>
    <s v="Iceberg OfficeWorks 42&quot; Round Tables"/>
    <x v="1520"/>
    <n v="2"/>
    <n v="-15.1"/>
    <x v="3"/>
    <x v="1"/>
  </r>
  <r>
    <n v="44664"/>
    <x v="632"/>
    <x v="3"/>
    <x v="2"/>
    <x v="6"/>
    <s v="Polycom CX600 IP Phone VoIP phone"/>
    <x v="1863"/>
    <n v="2"/>
    <n v="41.99"/>
    <x v="3"/>
    <x v="1"/>
  </r>
  <r>
    <n v="44664"/>
    <x v="433"/>
    <x v="12"/>
    <x v="0"/>
    <x v="2"/>
    <s v="Neat Ideas Personal Hanging Folder Files, Black"/>
    <x v="1864"/>
    <n v="1"/>
    <n v="0.81"/>
    <x v="3"/>
    <x v="1"/>
  </r>
  <r>
    <n v="44664"/>
    <x v="558"/>
    <x v="0"/>
    <x v="1"/>
    <x v="13"/>
    <s v="Chromcraft Bull-Nose Wood Round Conference Table Top, Wood Base"/>
    <x v="8"/>
    <n v="4"/>
    <n v="-113.28"/>
    <x v="3"/>
    <x v="1"/>
  </r>
  <r>
    <n v="44664"/>
    <x v="558"/>
    <x v="0"/>
    <x v="1"/>
    <x v="13"/>
    <s v="Iceberg OfficeWorks 42&quot; Round Tables"/>
    <x v="1865"/>
    <n v="2"/>
    <n v="-45.29"/>
    <x v="3"/>
    <x v="1"/>
  </r>
  <r>
    <n v="44664"/>
    <x v="558"/>
    <x v="0"/>
    <x v="2"/>
    <x v="6"/>
    <s v="Apple iPhone 5C"/>
    <x v="868"/>
    <n v="3"/>
    <n v="18"/>
    <x v="3"/>
    <x v="1"/>
  </r>
  <r>
    <n v="44665"/>
    <x v="633"/>
    <x v="11"/>
    <x v="0"/>
    <x v="12"/>
    <s v="Acco Smartsocket Color-Coded Six-Outlet AC Adapter Model Surge Protectors"/>
    <x v="1866"/>
    <n v="1"/>
    <n v="2.64"/>
    <x v="3"/>
    <x v="1"/>
  </r>
  <r>
    <n v="44667"/>
    <x v="161"/>
    <x v="10"/>
    <x v="0"/>
    <x v="12"/>
    <s v="Belkin F9H710-06 7 Outlet SurgeMaster Surge Protector"/>
    <x v="1867"/>
    <n v="3"/>
    <n v="4.5199999999999996"/>
    <x v="3"/>
    <x v="1"/>
  </r>
  <r>
    <n v="44667"/>
    <x v="161"/>
    <x v="10"/>
    <x v="0"/>
    <x v="7"/>
    <s v="Super Bands, 12/Pack"/>
    <x v="1868"/>
    <n v="7"/>
    <n v="-2.21"/>
    <x v="3"/>
    <x v="1"/>
  </r>
  <r>
    <n v="44667"/>
    <x v="161"/>
    <x v="10"/>
    <x v="0"/>
    <x v="4"/>
    <s v="Crayola Colored Pencils"/>
    <x v="1304"/>
    <n v="3"/>
    <n v="1.28"/>
    <x v="3"/>
    <x v="1"/>
  </r>
  <r>
    <n v="44667"/>
    <x v="161"/>
    <x v="10"/>
    <x v="2"/>
    <x v="6"/>
    <s v="Plantronics 81402"/>
    <x v="1869"/>
    <n v="3"/>
    <n v="-27.72"/>
    <x v="3"/>
    <x v="1"/>
  </r>
  <r>
    <n v="44667"/>
    <x v="161"/>
    <x v="10"/>
    <x v="0"/>
    <x v="7"/>
    <s v="Assorted Color Push Pins"/>
    <x v="1870"/>
    <n v="1"/>
    <n v="0.24"/>
    <x v="3"/>
    <x v="1"/>
  </r>
  <r>
    <n v="44667"/>
    <x v="161"/>
    <x v="10"/>
    <x v="0"/>
    <x v="3"/>
    <s v="GBC Velobind Prepunched Cover Sets, Regency Series"/>
    <x v="1871"/>
    <n v="5"/>
    <n v="-46.23"/>
    <x v="3"/>
    <x v="1"/>
  </r>
  <r>
    <n v="44667"/>
    <x v="396"/>
    <x v="2"/>
    <x v="0"/>
    <x v="7"/>
    <s v="Staples"/>
    <x v="1872"/>
    <n v="4"/>
    <n v="4.09"/>
    <x v="3"/>
    <x v="1"/>
  </r>
  <r>
    <n v="44667"/>
    <x v="417"/>
    <x v="1"/>
    <x v="2"/>
    <x v="16"/>
    <s v="Canon PC940 Copier"/>
    <x v="1873"/>
    <n v="4"/>
    <n v="485.99"/>
    <x v="3"/>
    <x v="1"/>
  </r>
  <r>
    <n v="44667"/>
    <x v="417"/>
    <x v="1"/>
    <x v="2"/>
    <x v="9"/>
    <s v="Logitech Keyboard K120"/>
    <x v="1874"/>
    <n v="3"/>
    <n v="-4.9000000000000004"/>
    <x v="3"/>
    <x v="1"/>
  </r>
  <r>
    <n v="44667"/>
    <x v="172"/>
    <x v="6"/>
    <x v="2"/>
    <x v="6"/>
    <s v="Konftel 250 ConferenceÂ phoneÂ - Charcoal black"/>
    <x v="1875"/>
    <n v="2"/>
    <n v="148.11000000000001"/>
    <x v="3"/>
    <x v="1"/>
  </r>
  <r>
    <n v="44667"/>
    <x v="172"/>
    <x v="6"/>
    <x v="0"/>
    <x v="3"/>
    <s v="Cardinal EasyOpen D-Ring Binders"/>
    <x v="1876"/>
    <n v="1"/>
    <n v="4.57"/>
    <x v="3"/>
    <x v="1"/>
  </r>
  <r>
    <n v="44667"/>
    <x v="172"/>
    <x v="6"/>
    <x v="1"/>
    <x v="8"/>
    <s v="Tenex Antistatic Computer Chair Mats"/>
    <x v="1877"/>
    <n v="7"/>
    <n v="119.69"/>
    <x v="3"/>
    <x v="1"/>
  </r>
  <r>
    <n v="44667"/>
    <x v="172"/>
    <x v="6"/>
    <x v="1"/>
    <x v="11"/>
    <s v="O'Sullivan 3-Shelf Heavy-Duty Bookcases"/>
    <x v="1878"/>
    <n v="9"/>
    <n v="125.58"/>
    <x v="3"/>
    <x v="1"/>
  </r>
  <r>
    <n v="44667"/>
    <x v="491"/>
    <x v="20"/>
    <x v="1"/>
    <x v="5"/>
    <s v="Novimex Turbo Task Chair"/>
    <x v="1879"/>
    <n v="2"/>
    <n v="2.84"/>
    <x v="3"/>
    <x v="1"/>
  </r>
  <r>
    <n v="44668"/>
    <x v="208"/>
    <x v="3"/>
    <x v="0"/>
    <x v="4"/>
    <s v="Prang Drawing Pencil Set"/>
    <x v="638"/>
    <n v="2"/>
    <n v="2.2200000000000002"/>
    <x v="3"/>
    <x v="1"/>
  </r>
  <r>
    <n v="44668"/>
    <x v="208"/>
    <x v="3"/>
    <x v="2"/>
    <x v="9"/>
    <s v="Plantronics S12 Corded Telephone Headset System"/>
    <x v="1880"/>
    <n v="3"/>
    <n v="129.35"/>
    <x v="3"/>
    <x v="1"/>
  </r>
  <r>
    <n v="44668"/>
    <x v="208"/>
    <x v="3"/>
    <x v="2"/>
    <x v="6"/>
    <s v="Plantronics Calisto P620-M USB Wireless Speakerphone System"/>
    <x v="1228"/>
    <n v="5"/>
    <n v="68.599999999999994"/>
    <x v="3"/>
    <x v="1"/>
  </r>
  <r>
    <n v="44668"/>
    <x v="208"/>
    <x v="3"/>
    <x v="0"/>
    <x v="12"/>
    <s v="Hoover Upright Vacuum With Dirt Cup"/>
    <x v="1881"/>
    <n v="5"/>
    <n v="419.82"/>
    <x v="3"/>
    <x v="1"/>
  </r>
  <r>
    <n v="44668"/>
    <x v="208"/>
    <x v="3"/>
    <x v="0"/>
    <x v="0"/>
    <s v="Xerox 1903"/>
    <x v="687"/>
    <n v="2"/>
    <n v="5.86"/>
    <x v="3"/>
    <x v="1"/>
  </r>
  <r>
    <n v="44668"/>
    <x v="401"/>
    <x v="20"/>
    <x v="2"/>
    <x v="9"/>
    <s v="Enermax Acrylux Wireless Keyboard"/>
    <x v="1882"/>
    <n v="1"/>
    <n v="36.85"/>
    <x v="3"/>
    <x v="1"/>
  </r>
  <r>
    <n v="44668"/>
    <x v="401"/>
    <x v="20"/>
    <x v="0"/>
    <x v="3"/>
    <s v="DXL Angle-View Binders with Locking Rings, Black"/>
    <x v="1883"/>
    <n v="13"/>
    <n v="21.02"/>
    <x v="3"/>
    <x v="1"/>
  </r>
  <r>
    <n v="44668"/>
    <x v="401"/>
    <x v="20"/>
    <x v="0"/>
    <x v="4"/>
    <s v="Barrel Sharpener"/>
    <x v="1884"/>
    <n v="3"/>
    <n v="2.78"/>
    <x v="3"/>
    <x v="1"/>
  </r>
  <r>
    <n v="44669"/>
    <x v="0"/>
    <x v="18"/>
    <x v="0"/>
    <x v="3"/>
    <s v="C-Line Peel &amp; Stick Add-On Filing Pockets, 8-3/4 x 5-1/8, 10/Pack"/>
    <x v="1885"/>
    <n v="6"/>
    <n v="17.96"/>
    <x v="3"/>
    <x v="1"/>
  </r>
  <r>
    <n v="44669"/>
    <x v="0"/>
    <x v="18"/>
    <x v="0"/>
    <x v="1"/>
    <s v="Avery 485"/>
    <x v="999"/>
    <n v="6"/>
    <n v="35.33"/>
    <x v="3"/>
    <x v="1"/>
  </r>
  <r>
    <n v="44669"/>
    <x v="0"/>
    <x v="18"/>
    <x v="1"/>
    <x v="8"/>
    <s v="Longer-Life Soft White Bulbs"/>
    <x v="1059"/>
    <n v="2"/>
    <n v="2.96"/>
    <x v="3"/>
    <x v="1"/>
  </r>
  <r>
    <n v="44669"/>
    <x v="0"/>
    <x v="18"/>
    <x v="1"/>
    <x v="5"/>
    <s v="Global Leather Task Chair, Black"/>
    <x v="1886"/>
    <n v="1"/>
    <n v="17.100000000000001"/>
    <x v="3"/>
    <x v="1"/>
  </r>
  <r>
    <n v="44669"/>
    <x v="439"/>
    <x v="8"/>
    <x v="2"/>
    <x v="9"/>
    <s v="Memorex Froggy Flash Drive 8 GB"/>
    <x v="1887"/>
    <n v="6"/>
    <n v="41.54"/>
    <x v="3"/>
    <x v="1"/>
  </r>
  <r>
    <n v="44669"/>
    <x v="334"/>
    <x v="20"/>
    <x v="0"/>
    <x v="1"/>
    <s v="Avery 486"/>
    <x v="1888"/>
    <n v="3"/>
    <n v="10.31"/>
    <x v="3"/>
    <x v="1"/>
  </r>
  <r>
    <n v="44669"/>
    <x v="354"/>
    <x v="3"/>
    <x v="0"/>
    <x v="2"/>
    <s v="Tennsco Stur-D-Stor Boltless Shelving, 5 Shelves, 24&quot; Deep, Sand"/>
    <x v="1889"/>
    <n v="7"/>
    <n v="9.4700000000000006"/>
    <x v="3"/>
    <x v="1"/>
  </r>
  <r>
    <n v="44669"/>
    <x v="354"/>
    <x v="3"/>
    <x v="0"/>
    <x v="0"/>
    <s v="Xerox 19"/>
    <x v="32"/>
    <n v="2"/>
    <n v="27.88"/>
    <x v="3"/>
    <x v="1"/>
  </r>
  <r>
    <n v="44669"/>
    <x v="180"/>
    <x v="3"/>
    <x v="0"/>
    <x v="2"/>
    <s v="Advantus Rolling Drawer Organizers"/>
    <x v="1890"/>
    <n v="3"/>
    <n v="30.01"/>
    <x v="3"/>
    <x v="1"/>
  </r>
  <r>
    <n v="44669"/>
    <x v="634"/>
    <x v="0"/>
    <x v="2"/>
    <x v="9"/>
    <s v="TRENDnet 56K USB 2.0 Phone, Internet and Fax Modem"/>
    <x v="1891"/>
    <n v="2"/>
    <n v="8.2799999999999994"/>
    <x v="3"/>
    <x v="1"/>
  </r>
  <r>
    <n v="44669"/>
    <x v="634"/>
    <x v="0"/>
    <x v="2"/>
    <x v="6"/>
    <s v="Grandstream GXP2100 Mainstream Business Phone"/>
    <x v="1892"/>
    <n v="4"/>
    <n v="24.48"/>
    <x v="3"/>
    <x v="1"/>
  </r>
  <r>
    <n v="44669"/>
    <x v="634"/>
    <x v="0"/>
    <x v="0"/>
    <x v="4"/>
    <s v="Boston School Pro Electric Pencil Sharpener, 1670"/>
    <x v="230"/>
    <n v="3"/>
    <n v="6.51"/>
    <x v="3"/>
    <x v="1"/>
  </r>
  <r>
    <n v="44669"/>
    <x v="634"/>
    <x v="0"/>
    <x v="0"/>
    <x v="3"/>
    <s v="GBC Standard Recycled Report Covers, Clear Plastic Sheets"/>
    <x v="1893"/>
    <n v="2"/>
    <n v="-6.9"/>
    <x v="3"/>
    <x v="1"/>
  </r>
  <r>
    <n v="44669"/>
    <x v="634"/>
    <x v="0"/>
    <x v="1"/>
    <x v="5"/>
    <s v="Global Geo Office Task Chair, Gray"/>
    <x v="1894"/>
    <n v="1"/>
    <n v="-20.25"/>
    <x v="3"/>
    <x v="1"/>
  </r>
  <r>
    <n v="44669"/>
    <x v="634"/>
    <x v="0"/>
    <x v="2"/>
    <x v="6"/>
    <s v="Lunatik TT5L-002 Taktik Strike Impact Protection System for iPhone 5"/>
    <x v="1895"/>
    <n v="2"/>
    <n v="6.12"/>
    <x v="3"/>
    <x v="1"/>
  </r>
  <r>
    <n v="44669"/>
    <x v="634"/>
    <x v="0"/>
    <x v="0"/>
    <x v="4"/>
    <s v="Newell 348"/>
    <x v="1304"/>
    <n v="3"/>
    <n v="0.89"/>
    <x v="3"/>
    <x v="1"/>
  </r>
  <r>
    <n v="44669"/>
    <x v="634"/>
    <x v="0"/>
    <x v="0"/>
    <x v="0"/>
    <s v="Xerox 1994"/>
    <x v="143"/>
    <n v="3"/>
    <n v="5.44"/>
    <x v="3"/>
    <x v="1"/>
  </r>
  <r>
    <n v="44669"/>
    <x v="634"/>
    <x v="0"/>
    <x v="0"/>
    <x v="3"/>
    <s v="GBC Plastic Binding Combs"/>
    <x v="1261"/>
    <n v="1"/>
    <n v="-2.29"/>
    <x v="3"/>
    <x v="1"/>
  </r>
  <r>
    <n v="44670"/>
    <x v="190"/>
    <x v="0"/>
    <x v="0"/>
    <x v="12"/>
    <s v="Fellowes Premier Superior Surge Suppressor, 10-Outlet, With Phone and Remote"/>
    <x v="1896"/>
    <n v="2"/>
    <n v="-52.83"/>
    <x v="3"/>
    <x v="1"/>
  </r>
  <r>
    <n v="44670"/>
    <x v="190"/>
    <x v="0"/>
    <x v="0"/>
    <x v="3"/>
    <s v="Fellowes PB300 Plastic Comb Binding Machine"/>
    <x v="1897"/>
    <n v="4"/>
    <n v="-512.15"/>
    <x v="3"/>
    <x v="1"/>
  </r>
  <r>
    <n v="44671"/>
    <x v="161"/>
    <x v="4"/>
    <x v="2"/>
    <x v="6"/>
    <s v="Pyle PMP37LED"/>
    <x v="341"/>
    <n v="3"/>
    <n v="77.75"/>
    <x v="3"/>
    <x v="1"/>
  </r>
  <r>
    <n v="44671"/>
    <x v="161"/>
    <x v="4"/>
    <x v="1"/>
    <x v="8"/>
    <s v="GE 48&quot; Fluorescent Tube, Cool White Energy Saver, 34 Watts, 30/Box"/>
    <x v="1898"/>
    <n v="6"/>
    <n v="297.69"/>
    <x v="3"/>
    <x v="1"/>
  </r>
  <r>
    <n v="44671"/>
    <x v="161"/>
    <x v="4"/>
    <x v="0"/>
    <x v="0"/>
    <s v="Xerox 2"/>
    <x v="115"/>
    <n v="2"/>
    <n v="6.22"/>
    <x v="3"/>
    <x v="1"/>
  </r>
  <r>
    <n v="44671"/>
    <x v="414"/>
    <x v="0"/>
    <x v="0"/>
    <x v="0"/>
    <s v="Xerox 1916"/>
    <x v="1899"/>
    <n v="3"/>
    <n v="44.05"/>
    <x v="3"/>
    <x v="1"/>
  </r>
  <r>
    <n v="44671"/>
    <x v="635"/>
    <x v="14"/>
    <x v="0"/>
    <x v="10"/>
    <s v="Tyvek Side-Opening Peel &amp; Seel Expanding Envelopes"/>
    <x v="81"/>
    <n v="2"/>
    <n v="81.430000000000007"/>
    <x v="3"/>
    <x v="1"/>
  </r>
  <r>
    <n v="44672"/>
    <x v="636"/>
    <x v="5"/>
    <x v="1"/>
    <x v="5"/>
    <s v="Global Deluxe Office Fabric Chairs"/>
    <x v="1900"/>
    <n v="2"/>
    <n v="51.83"/>
    <x v="3"/>
    <x v="1"/>
  </r>
  <r>
    <n v="44672"/>
    <x v="636"/>
    <x v="5"/>
    <x v="0"/>
    <x v="3"/>
    <s v="Wilson Jones Hanging View Binder, White, 1&quot;"/>
    <x v="1901"/>
    <n v="3"/>
    <n v="9.8000000000000007"/>
    <x v="3"/>
    <x v="1"/>
  </r>
  <r>
    <n v="44672"/>
    <x v="636"/>
    <x v="5"/>
    <x v="2"/>
    <x v="6"/>
    <s v="Jabra SPEAK 410"/>
    <x v="1902"/>
    <n v="5"/>
    <n v="131.59"/>
    <x v="3"/>
    <x v="1"/>
  </r>
  <r>
    <n v="44672"/>
    <x v="636"/>
    <x v="5"/>
    <x v="1"/>
    <x v="8"/>
    <s v="Tenex &quot;The Solids&quot; Textured Chair Mats"/>
    <x v="1903"/>
    <n v="3"/>
    <n v="35.68"/>
    <x v="3"/>
    <x v="1"/>
  </r>
  <r>
    <n v="44673"/>
    <x v="86"/>
    <x v="3"/>
    <x v="2"/>
    <x v="6"/>
    <s v="Logitech B530 USBÂ HeadsetÂ -Â headsetÂ - Full size, Binaural"/>
    <x v="1219"/>
    <n v="3"/>
    <n v="7.77"/>
    <x v="3"/>
    <x v="1"/>
  </r>
  <r>
    <n v="44673"/>
    <x v="86"/>
    <x v="3"/>
    <x v="0"/>
    <x v="4"/>
    <s v="Boston 1730 StandUp Electric Pencil Sharpener"/>
    <x v="1904"/>
    <n v="3"/>
    <n v="16.68"/>
    <x v="3"/>
    <x v="1"/>
  </r>
  <r>
    <n v="44675"/>
    <x v="35"/>
    <x v="20"/>
    <x v="0"/>
    <x v="4"/>
    <s v="BOSTON Ranger #55 Pencil Sharpener, Black"/>
    <x v="1905"/>
    <n v="1"/>
    <n v="7.54"/>
    <x v="3"/>
    <x v="1"/>
  </r>
  <r>
    <n v="44676"/>
    <x v="65"/>
    <x v="3"/>
    <x v="0"/>
    <x v="3"/>
    <s v="Fellowes Black Plastic Comb Bindings"/>
    <x v="1906"/>
    <n v="3"/>
    <n v="4.53"/>
    <x v="3"/>
    <x v="1"/>
  </r>
  <r>
    <n v="44676"/>
    <x v="315"/>
    <x v="20"/>
    <x v="0"/>
    <x v="12"/>
    <s v="Holmes Replacement Filter for HEPA Air Cleaner, Very Large Room, HEPA Filter"/>
    <x v="1907"/>
    <n v="3"/>
    <n v="90.83"/>
    <x v="3"/>
    <x v="1"/>
  </r>
  <r>
    <n v="44676"/>
    <x v="603"/>
    <x v="21"/>
    <x v="0"/>
    <x v="4"/>
    <s v="Newell 324"/>
    <x v="867"/>
    <n v="5"/>
    <n v="16.170000000000002"/>
    <x v="3"/>
    <x v="1"/>
  </r>
  <r>
    <n v="44676"/>
    <x v="603"/>
    <x v="21"/>
    <x v="0"/>
    <x v="12"/>
    <s v="Belkin 5 Outlet SurgeMaster Power Centers"/>
    <x v="1908"/>
    <n v="5"/>
    <n v="76.27"/>
    <x v="3"/>
    <x v="1"/>
  </r>
  <r>
    <n v="44676"/>
    <x v="456"/>
    <x v="1"/>
    <x v="0"/>
    <x v="2"/>
    <s v="SAFCO Commercial Wire Shelving, Black"/>
    <x v="1909"/>
    <n v="2"/>
    <n v="-55.26"/>
    <x v="3"/>
    <x v="1"/>
  </r>
  <r>
    <n v="44676"/>
    <x v="456"/>
    <x v="1"/>
    <x v="1"/>
    <x v="5"/>
    <s v="Global Armless Task Chair, Royal Blue"/>
    <x v="1910"/>
    <n v="3"/>
    <n v="-23.78"/>
    <x v="3"/>
    <x v="1"/>
  </r>
  <r>
    <n v="44676"/>
    <x v="637"/>
    <x v="3"/>
    <x v="0"/>
    <x v="10"/>
    <s v="Laser &amp; Ink Jet Business Envelopes"/>
    <x v="1911"/>
    <n v="2"/>
    <n v="9.82"/>
    <x v="3"/>
    <x v="1"/>
  </r>
  <r>
    <n v="44677"/>
    <x v="264"/>
    <x v="15"/>
    <x v="1"/>
    <x v="5"/>
    <s v="High-Back Leather Manager's Chair"/>
    <x v="1912"/>
    <n v="8"/>
    <n v="-114.39"/>
    <x v="3"/>
    <x v="1"/>
  </r>
  <r>
    <n v="44677"/>
    <x v="264"/>
    <x v="15"/>
    <x v="1"/>
    <x v="8"/>
    <s v="Tenex Traditional Chairmats for Medium Pile Carpet, Standard Lip, 36&quot; x 48&quot;"/>
    <x v="1913"/>
    <n v="2"/>
    <n v="1.21"/>
    <x v="3"/>
    <x v="1"/>
  </r>
  <r>
    <n v="44677"/>
    <x v="264"/>
    <x v="15"/>
    <x v="0"/>
    <x v="2"/>
    <s v="Safco Industrial Wire Shelving System"/>
    <x v="1914"/>
    <n v="1"/>
    <n v="-18.2"/>
    <x v="3"/>
    <x v="1"/>
  </r>
  <r>
    <n v="44677"/>
    <x v="517"/>
    <x v="0"/>
    <x v="1"/>
    <x v="5"/>
    <s v="Hon 4070 Series Pagoda Armless Upholstered Stacking Chairs"/>
    <x v="1915"/>
    <n v="2"/>
    <n v="-5.83"/>
    <x v="3"/>
    <x v="1"/>
  </r>
  <r>
    <n v="44677"/>
    <x v="620"/>
    <x v="3"/>
    <x v="1"/>
    <x v="5"/>
    <s v="SAFCO Optional Arm Kit for Workspace Cribbage Stacking Chair"/>
    <x v="1916"/>
    <n v="3"/>
    <n v="6.39"/>
    <x v="3"/>
    <x v="1"/>
  </r>
  <r>
    <n v="44677"/>
    <x v="620"/>
    <x v="3"/>
    <x v="0"/>
    <x v="4"/>
    <s v="Newell 345"/>
    <x v="144"/>
    <n v="3"/>
    <n v="15.48"/>
    <x v="3"/>
    <x v="1"/>
  </r>
  <r>
    <n v="44677"/>
    <x v="620"/>
    <x v="3"/>
    <x v="2"/>
    <x v="6"/>
    <s v="RCA ViSYS 25825 Wireless digital phone"/>
    <x v="1917"/>
    <n v="3"/>
    <n v="39"/>
    <x v="3"/>
    <x v="1"/>
  </r>
  <r>
    <n v="44677"/>
    <x v="620"/>
    <x v="3"/>
    <x v="0"/>
    <x v="3"/>
    <s v="GBC Premium Transparent Covers with Diagonal Lined Pattern"/>
    <x v="1918"/>
    <n v="3"/>
    <n v="17.62"/>
    <x v="3"/>
    <x v="1"/>
  </r>
  <r>
    <n v="44677"/>
    <x v="52"/>
    <x v="16"/>
    <x v="1"/>
    <x v="13"/>
    <s v="Bretford CR4500 Series Slim Rectangular Table"/>
    <x v="1919"/>
    <n v="1"/>
    <n v="-76.61"/>
    <x v="3"/>
    <x v="1"/>
  </r>
  <r>
    <n v="44677"/>
    <x v="52"/>
    <x v="16"/>
    <x v="0"/>
    <x v="4"/>
    <s v="Crayola Colored Pencils"/>
    <x v="1386"/>
    <n v="1"/>
    <n v="0.43"/>
    <x v="3"/>
    <x v="1"/>
  </r>
  <r>
    <n v="44678"/>
    <x v="217"/>
    <x v="44"/>
    <x v="0"/>
    <x v="4"/>
    <s v="Staples in misc. colors"/>
    <x v="1920"/>
    <n v="3"/>
    <n v="8.8699999999999992"/>
    <x v="3"/>
    <x v="1"/>
  </r>
  <r>
    <n v="44678"/>
    <x v="217"/>
    <x v="44"/>
    <x v="1"/>
    <x v="5"/>
    <s v="Global Comet Stacking Arm Chair"/>
    <x v="1921"/>
    <n v="3"/>
    <n v="316.88"/>
    <x v="3"/>
    <x v="1"/>
  </r>
  <r>
    <n v="44678"/>
    <x v="217"/>
    <x v="44"/>
    <x v="2"/>
    <x v="15"/>
    <s v="Cisco SPA525G2 5-Line IP Phone"/>
    <x v="1922"/>
    <n v="8"/>
    <n v="648.55999999999995"/>
    <x v="3"/>
    <x v="1"/>
  </r>
  <r>
    <n v="44678"/>
    <x v="529"/>
    <x v="26"/>
    <x v="0"/>
    <x v="12"/>
    <s v="Belkin 6 Outlet Metallic Surge Strip"/>
    <x v="1874"/>
    <n v="5"/>
    <n v="3.27"/>
    <x v="3"/>
    <x v="1"/>
  </r>
  <r>
    <n v="44678"/>
    <x v="529"/>
    <x v="26"/>
    <x v="0"/>
    <x v="14"/>
    <s v="Acme Value Line Scissors"/>
    <x v="1821"/>
    <n v="2"/>
    <n v="0.73"/>
    <x v="3"/>
    <x v="1"/>
  </r>
  <r>
    <n v="44679"/>
    <x v="277"/>
    <x v="0"/>
    <x v="0"/>
    <x v="12"/>
    <s v="Holmes Odor Grabber"/>
    <x v="1923"/>
    <n v="3"/>
    <n v="-20.329999999999998"/>
    <x v="3"/>
    <x v="1"/>
  </r>
  <r>
    <n v="44679"/>
    <x v="277"/>
    <x v="0"/>
    <x v="0"/>
    <x v="2"/>
    <s v="Akro-Mils 12-Gallon Tote"/>
    <x v="1924"/>
    <n v="3"/>
    <n v="2.68"/>
    <x v="3"/>
    <x v="1"/>
  </r>
  <r>
    <n v="44679"/>
    <x v="277"/>
    <x v="0"/>
    <x v="0"/>
    <x v="3"/>
    <s v="GBC Twin Loop Wire Binding Elements, 9/16&quot; Spine, Black"/>
    <x v="393"/>
    <n v="4"/>
    <n v="-18.87"/>
    <x v="3"/>
    <x v="1"/>
  </r>
  <r>
    <n v="44679"/>
    <x v="26"/>
    <x v="14"/>
    <x v="0"/>
    <x v="12"/>
    <s v="Kensington 7 Outlet MasterPiece Power Center with Fax/Phone Line Protection"/>
    <x v="1925"/>
    <n v="1"/>
    <n v="41.5"/>
    <x v="3"/>
    <x v="1"/>
  </r>
  <r>
    <n v="44679"/>
    <x v="26"/>
    <x v="14"/>
    <x v="0"/>
    <x v="3"/>
    <s v="Fellowes PB500 Electric Punch Plastic Comb Binding Machine with Manual Bind"/>
    <x v="1926"/>
    <n v="3"/>
    <n v="1906.49"/>
    <x v="3"/>
    <x v="1"/>
  </r>
  <r>
    <n v="44680"/>
    <x v="412"/>
    <x v="2"/>
    <x v="0"/>
    <x v="0"/>
    <s v="Xerox 1949"/>
    <x v="1140"/>
    <n v="2"/>
    <n v="2.89"/>
    <x v="3"/>
    <x v="1"/>
  </r>
  <r>
    <n v="44681"/>
    <x v="152"/>
    <x v="1"/>
    <x v="1"/>
    <x v="5"/>
    <s v="Global Value Mid-Back Manager's Chair, Gray"/>
    <x v="1927"/>
    <n v="5"/>
    <n v="-15.22"/>
    <x v="3"/>
    <x v="1"/>
  </r>
  <r>
    <n v="44681"/>
    <x v="157"/>
    <x v="10"/>
    <x v="2"/>
    <x v="6"/>
    <s v="Cisco Unified IP Phone 7945G VoIP phone"/>
    <x v="1928"/>
    <n v="5"/>
    <n v="-255.74"/>
    <x v="3"/>
    <x v="1"/>
  </r>
  <r>
    <n v="44681"/>
    <x v="127"/>
    <x v="3"/>
    <x v="0"/>
    <x v="4"/>
    <s v="Newell 324"/>
    <x v="1929"/>
    <n v="3"/>
    <n v="9.6999999999999993"/>
    <x v="3"/>
    <x v="1"/>
  </r>
  <r>
    <n v="44681"/>
    <x v="127"/>
    <x v="3"/>
    <x v="2"/>
    <x v="6"/>
    <s v="Cush Cases Heavy Duty Rugged Cover Case for Samsung Galaxy S5 - Purple"/>
    <x v="1930"/>
    <n v="5"/>
    <n v="1.73"/>
    <x v="3"/>
    <x v="1"/>
  </r>
  <r>
    <n v="44681"/>
    <x v="638"/>
    <x v="32"/>
    <x v="1"/>
    <x v="8"/>
    <s v="Eldon 200 Class Desk Accessories, Burgundy"/>
    <x v="1931"/>
    <n v="5"/>
    <n v="13.19"/>
    <x v="3"/>
    <x v="1"/>
  </r>
  <r>
    <n v="44681"/>
    <x v="638"/>
    <x v="32"/>
    <x v="1"/>
    <x v="8"/>
    <s v="DAX Two-Tone Rosewood/Black Document Frame, Desktop, 5 x 7"/>
    <x v="1932"/>
    <n v="1"/>
    <n v="3.79"/>
    <x v="3"/>
    <x v="1"/>
  </r>
  <r>
    <n v="44681"/>
    <x v="638"/>
    <x v="32"/>
    <x v="2"/>
    <x v="6"/>
    <s v="iKross Bluetooth Portable Keyboard + Cell Phone Stand Holder + Brush for Apple iPhone 5S 5C 5, 4S 4"/>
    <x v="1933"/>
    <n v="10"/>
    <n v="58.66"/>
    <x v="3"/>
    <x v="1"/>
  </r>
  <r>
    <n v="44681"/>
    <x v="638"/>
    <x v="32"/>
    <x v="1"/>
    <x v="8"/>
    <s v="Eldon ImÃ ge Series Desk Accessories, Clear"/>
    <x v="1934"/>
    <n v="5"/>
    <n v="10.45"/>
    <x v="3"/>
    <x v="1"/>
  </r>
  <r>
    <n v="44681"/>
    <x v="638"/>
    <x v="32"/>
    <x v="0"/>
    <x v="0"/>
    <s v="Weyerhaeuser First Choice Laser/Copy Paper (20Lb. and 88 Bright)"/>
    <x v="710"/>
    <n v="1"/>
    <n v="3.11"/>
    <x v="3"/>
    <x v="1"/>
  </r>
  <r>
    <n v="44682"/>
    <x v="403"/>
    <x v="3"/>
    <x v="2"/>
    <x v="6"/>
    <s v="OtterBox Defender Series Case - iPhone 5c"/>
    <x v="1935"/>
    <n v="3"/>
    <n v="11.09"/>
    <x v="4"/>
    <x v="1"/>
  </r>
  <r>
    <n v="44682"/>
    <x v="639"/>
    <x v="16"/>
    <x v="1"/>
    <x v="8"/>
    <s v="DAX Black Cherry Wood-Tone Poster Frame"/>
    <x v="127"/>
    <n v="3"/>
    <n v="14.3"/>
    <x v="4"/>
    <x v="1"/>
  </r>
  <r>
    <n v="44682"/>
    <x v="639"/>
    <x v="16"/>
    <x v="0"/>
    <x v="14"/>
    <s v="Fiskars 8&quot; Scissors, 2/Pack"/>
    <x v="1040"/>
    <n v="3"/>
    <n v="4.6500000000000004"/>
    <x v="4"/>
    <x v="1"/>
  </r>
  <r>
    <n v="44682"/>
    <x v="639"/>
    <x v="16"/>
    <x v="0"/>
    <x v="4"/>
    <s v="Panasonic KP-380BK Classic Electric Pencil Sharpener"/>
    <x v="1936"/>
    <n v="6"/>
    <n v="10.79"/>
    <x v="4"/>
    <x v="1"/>
  </r>
  <r>
    <n v="44682"/>
    <x v="487"/>
    <x v="3"/>
    <x v="0"/>
    <x v="3"/>
    <s v="GBC Twin Loop Wire Binding Elements, 9/16&quot; Spine, Black"/>
    <x v="393"/>
    <n v="1"/>
    <n v="4.41"/>
    <x v="4"/>
    <x v="1"/>
  </r>
  <r>
    <n v="44682"/>
    <x v="487"/>
    <x v="3"/>
    <x v="0"/>
    <x v="2"/>
    <s v="Eldon Simplefile Box Office"/>
    <x v="1937"/>
    <n v="3"/>
    <n v="10.45"/>
    <x v="4"/>
    <x v="1"/>
  </r>
  <r>
    <n v="44682"/>
    <x v="487"/>
    <x v="3"/>
    <x v="0"/>
    <x v="14"/>
    <s v="Acme 10&quot; Easy Grip Assistive Scissors"/>
    <x v="1938"/>
    <n v="2"/>
    <n v="10.52"/>
    <x v="4"/>
    <x v="1"/>
  </r>
  <r>
    <n v="44683"/>
    <x v="479"/>
    <x v="0"/>
    <x v="0"/>
    <x v="1"/>
    <s v="Avery 501"/>
    <x v="1939"/>
    <n v="3"/>
    <n v="2.99"/>
    <x v="4"/>
    <x v="1"/>
  </r>
  <r>
    <n v="44683"/>
    <x v="479"/>
    <x v="0"/>
    <x v="2"/>
    <x v="6"/>
    <s v="Samsung Rugby III"/>
    <x v="1940"/>
    <n v="3"/>
    <n v="13.86"/>
    <x v="4"/>
    <x v="1"/>
  </r>
  <r>
    <n v="44684"/>
    <x v="640"/>
    <x v="3"/>
    <x v="1"/>
    <x v="8"/>
    <s v="Rubbermaid ClusterMat Chairmats, Mat Size- 66&quot; x 60&quot;, Lip 20&quot; x 11&quot; -90 Degree Angle"/>
    <x v="1284"/>
    <n v="6"/>
    <n v="106.54"/>
    <x v="4"/>
    <x v="1"/>
  </r>
  <r>
    <n v="44684"/>
    <x v="149"/>
    <x v="2"/>
    <x v="0"/>
    <x v="4"/>
    <s v="Sanford Prismacolor Professional Thick Lead Art Pencils, 36-Color Set"/>
    <x v="1941"/>
    <n v="2"/>
    <n v="14.23"/>
    <x v="4"/>
    <x v="1"/>
  </r>
  <r>
    <n v="44684"/>
    <x v="149"/>
    <x v="2"/>
    <x v="0"/>
    <x v="12"/>
    <s v="Holmes Replacement Filter for HEPA Air Cleaner, Large Room"/>
    <x v="1942"/>
    <n v="2"/>
    <n v="6.52"/>
    <x v="4"/>
    <x v="1"/>
  </r>
  <r>
    <n v="44684"/>
    <x v="149"/>
    <x v="2"/>
    <x v="0"/>
    <x v="0"/>
    <s v="Xerox 1897"/>
    <x v="1140"/>
    <n v="2"/>
    <n v="2.89"/>
    <x v="4"/>
    <x v="1"/>
  </r>
  <r>
    <n v="44684"/>
    <x v="149"/>
    <x v="2"/>
    <x v="0"/>
    <x v="12"/>
    <s v="Bravo II Megaboss 12-Amp Hard Body Upright, Replacement Belts, 2 Belts per Pack"/>
    <x v="1943"/>
    <n v="7"/>
    <n v="2.0499999999999998"/>
    <x v="4"/>
    <x v="1"/>
  </r>
  <r>
    <n v="44684"/>
    <x v="149"/>
    <x v="2"/>
    <x v="2"/>
    <x v="9"/>
    <s v="SanDisk Cruzer 16 GB USB Flash Drive"/>
    <x v="1586"/>
    <n v="3"/>
    <n v="-0.34"/>
    <x v="4"/>
    <x v="1"/>
  </r>
  <r>
    <n v="44684"/>
    <x v="149"/>
    <x v="2"/>
    <x v="1"/>
    <x v="5"/>
    <s v="Global Leather Highback Executive Chair with Pneumatic Height Adjustment, Black"/>
    <x v="1944"/>
    <n v="6"/>
    <n v="-36.18"/>
    <x v="4"/>
    <x v="1"/>
  </r>
  <r>
    <n v="44684"/>
    <x v="149"/>
    <x v="2"/>
    <x v="0"/>
    <x v="2"/>
    <s v="Fellowes Bankers Box Stor/Drawer Steel Plus"/>
    <x v="1945"/>
    <n v="3"/>
    <n v="-9.59"/>
    <x v="4"/>
    <x v="1"/>
  </r>
  <r>
    <n v="44684"/>
    <x v="641"/>
    <x v="3"/>
    <x v="0"/>
    <x v="4"/>
    <s v="Newell 317"/>
    <x v="1946"/>
    <n v="3"/>
    <n v="2.56"/>
    <x v="4"/>
    <x v="1"/>
  </r>
  <r>
    <n v="44684"/>
    <x v="641"/>
    <x v="3"/>
    <x v="0"/>
    <x v="3"/>
    <s v="Ibico Recycled Linen-Style Covers"/>
    <x v="1947"/>
    <n v="2"/>
    <n v="21.87"/>
    <x v="4"/>
    <x v="1"/>
  </r>
  <r>
    <n v="44684"/>
    <x v="641"/>
    <x v="3"/>
    <x v="2"/>
    <x v="9"/>
    <s v="LogitechÂ Gaming G510s - Keyboard"/>
    <x v="811"/>
    <n v="4"/>
    <n v="122.39"/>
    <x v="4"/>
    <x v="1"/>
  </r>
  <r>
    <n v="44684"/>
    <x v="641"/>
    <x v="3"/>
    <x v="0"/>
    <x v="3"/>
    <s v="GBC Linen Binding Covers"/>
    <x v="827"/>
    <n v="2"/>
    <n v="17.350000000000001"/>
    <x v="4"/>
    <x v="1"/>
  </r>
  <r>
    <n v="44684"/>
    <x v="155"/>
    <x v="3"/>
    <x v="0"/>
    <x v="3"/>
    <s v="Avery Binding System Hidden Tab Executive Style Index Sets"/>
    <x v="1948"/>
    <n v="3"/>
    <n v="5.19"/>
    <x v="4"/>
    <x v="1"/>
  </r>
  <r>
    <n v="44685"/>
    <x v="464"/>
    <x v="20"/>
    <x v="1"/>
    <x v="8"/>
    <s v="Electrix 20W Halogen Replacement Bulb for Zoom-In Desk Lamp"/>
    <x v="1949"/>
    <n v="2"/>
    <n v="12.86"/>
    <x v="4"/>
    <x v="1"/>
  </r>
  <r>
    <n v="44685"/>
    <x v="174"/>
    <x v="1"/>
    <x v="1"/>
    <x v="8"/>
    <s v="Staple-based wall hangings"/>
    <x v="657"/>
    <n v="7"/>
    <n v="-8.92"/>
    <x v="4"/>
    <x v="1"/>
  </r>
  <r>
    <n v="44685"/>
    <x v="123"/>
    <x v="0"/>
    <x v="2"/>
    <x v="6"/>
    <s v="ShoreTel ShorePhone IP 230 VoIP phone"/>
    <x v="1950"/>
    <n v="7"/>
    <n v="118.29"/>
    <x v="4"/>
    <x v="1"/>
  </r>
  <r>
    <n v="44685"/>
    <x v="642"/>
    <x v="18"/>
    <x v="0"/>
    <x v="4"/>
    <s v="Model L Table or Wall-Mount Pencil Sharpener"/>
    <x v="1951"/>
    <n v="7"/>
    <n v="35.26"/>
    <x v="4"/>
    <x v="1"/>
  </r>
  <r>
    <n v="44688"/>
    <x v="643"/>
    <x v="0"/>
    <x v="1"/>
    <x v="13"/>
    <s v="Chromcraft Round Conference Tables"/>
    <x v="1952"/>
    <n v="2"/>
    <n v="-31.37"/>
    <x v="4"/>
    <x v="1"/>
  </r>
  <r>
    <n v="44688"/>
    <x v="643"/>
    <x v="0"/>
    <x v="0"/>
    <x v="0"/>
    <s v="Xerox 198"/>
    <x v="443"/>
    <n v="4"/>
    <n v="5.38"/>
    <x v="4"/>
    <x v="1"/>
  </r>
  <r>
    <n v="44688"/>
    <x v="393"/>
    <x v="5"/>
    <x v="0"/>
    <x v="0"/>
    <s v="Xerox 1902"/>
    <x v="1488"/>
    <n v="2"/>
    <n v="21.01"/>
    <x v="4"/>
    <x v="1"/>
  </r>
  <r>
    <n v="44689"/>
    <x v="595"/>
    <x v="10"/>
    <x v="1"/>
    <x v="8"/>
    <s v="Eldon Regeneration Recycled Desk Accessories, Smoke"/>
    <x v="1953"/>
    <n v="6"/>
    <n v="1.25"/>
    <x v="4"/>
    <x v="1"/>
  </r>
  <r>
    <n v="44689"/>
    <x v="158"/>
    <x v="11"/>
    <x v="0"/>
    <x v="4"/>
    <s v="Newell 321"/>
    <x v="607"/>
    <n v="2"/>
    <n v="0.59"/>
    <x v="4"/>
    <x v="1"/>
  </r>
  <r>
    <n v="44689"/>
    <x v="392"/>
    <x v="28"/>
    <x v="0"/>
    <x v="3"/>
    <s v="Wilson Jones Legal Size Ring Binders"/>
    <x v="1954"/>
    <n v="2"/>
    <n v="21.99"/>
    <x v="4"/>
    <x v="1"/>
  </r>
  <r>
    <n v="44689"/>
    <x v="392"/>
    <x v="28"/>
    <x v="2"/>
    <x v="6"/>
    <s v="VTech DS6151"/>
    <x v="883"/>
    <n v="3"/>
    <n v="105.83"/>
    <x v="4"/>
    <x v="1"/>
  </r>
  <r>
    <n v="44689"/>
    <x v="392"/>
    <x v="28"/>
    <x v="1"/>
    <x v="8"/>
    <s v="Deflect-o EconoMat Studded, No Bevel Mat for Low Pile Carpeting"/>
    <x v="1955"/>
    <n v="3"/>
    <n v="11.16"/>
    <x v="4"/>
    <x v="1"/>
  </r>
  <r>
    <n v="44689"/>
    <x v="314"/>
    <x v="20"/>
    <x v="0"/>
    <x v="0"/>
    <s v="Xerox 1912"/>
    <x v="1956"/>
    <n v="2"/>
    <n v="18.21"/>
    <x v="4"/>
    <x v="1"/>
  </r>
  <r>
    <n v="44689"/>
    <x v="262"/>
    <x v="20"/>
    <x v="1"/>
    <x v="8"/>
    <s v="DAX Black Cherry Wood-Tone Poster Frame"/>
    <x v="1489"/>
    <n v="3"/>
    <n v="30.19"/>
    <x v="4"/>
    <x v="1"/>
  </r>
  <r>
    <n v="44689"/>
    <x v="262"/>
    <x v="20"/>
    <x v="0"/>
    <x v="14"/>
    <s v="Compact Automatic Electric Letter Opener"/>
    <x v="936"/>
    <n v="3"/>
    <n v="7.16"/>
    <x v="4"/>
    <x v="1"/>
  </r>
  <r>
    <n v="44689"/>
    <x v="262"/>
    <x v="20"/>
    <x v="1"/>
    <x v="5"/>
    <s v="Situations Contoured Folding Chairs, 4/Set"/>
    <x v="1879"/>
    <n v="2"/>
    <n v="21.29"/>
    <x v="4"/>
    <x v="1"/>
  </r>
  <r>
    <n v="44689"/>
    <x v="262"/>
    <x v="20"/>
    <x v="2"/>
    <x v="16"/>
    <s v="Sharp AL-1530CS Digital Copier"/>
    <x v="1957"/>
    <n v="7"/>
    <n v="1014.98"/>
    <x v="4"/>
    <x v="1"/>
  </r>
  <r>
    <n v="44689"/>
    <x v="262"/>
    <x v="20"/>
    <x v="0"/>
    <x v="0"/>
    <s v="Xerox 204"/>
    <x v="5"/>
    <n v="3"/>
    <n v="9.33"/>
    <x v="4"/>
    <x v="1"/>
  </r>
  <r>
    <n v="44690"/>
    <x v="297"/>
    <x v="5"/>
    <x v="0"/>
    <x v="3"/>
    <s v="Acco Flexible ACCOHIDE Square Ring Data Binder, Dark Blue, 11 1/2&quot; X 14&quot; 7/8&quot;"/>
    <x v="1958"/>
    <n v="3"/>
    <n v="23.92"/>
    <x v="4"/>
    <x v="1"/>
  </r>
  <r>
    <n v="44691"/>
    <x v="285"/>
    <x v="1"/>
    <x v="0"/>
    <x v="12"/>
    <s v="Tripp Lite Isotel 8 Ultra 8 Outlet Metal Surge"/>
    <x v="1959"/>
    <n v="5"/>
    <n v="-191.62"/>
    <x v="4"/>
    <x v="1"/>
  </r>
  <r>
    <n v="44691"/>
    <x v="285"/>
    <x v="1"/>
    <x v="0"/>
    <x v="4"/>
    <s v="Boston KS Multi-Size Manual Pencil Sharpener"/>
    <x v="1960"/>
    <n v="2"/>
    <n v="3.68"/>
    <x v="4"/>
    <x v="1"/>
  </r>
  <r>
    <n v="44691"/>
    <x v="513"/>
    <x v="26"/>
    <x v="2"/>
    <x v="9"/>
    <s v="Belkin Standard 104 key USB Keyboard"/>
    <x v="887"/>
    <n v="4"/>
    <n v="-2.92"/>
    <x v="4"/>
    <x v="1"/>
  </r>
  <r>
    <n v="44692"/>
    <x v="152"/>
    <x v="12"/>
    <x v="1"/>
    <x v="5"/>
    <s v="Global Chrome Stack Chair"/>
    <x v="1961"/>
    <n v="7"/>
    <n v="16.8"/>
    <x v="4"/>
    <x v="1"/>
  </r>
  <r>
    <n v="44693"/>
    <x v="106"/>
    <x v="3"/>
    <x v="0"/>
    <x v="0"/>
    <s v="Xerox 1962"/>
    <x v="1282"/>
    <n v="3"/>
    <n v="5.78"/>
    <x v="4"/>
    <x v="1"/>
  </r>
  <r>
    <n v="44693"/>
    <x v="106"/>
    <x v="3"/>
    <x v="0"/>
    <x v="0"/>
    <s v="Xerox 1953"/>
    <x v="843"/>
    <n v="6"/>
    <n v="11.56"/>
    <x v="4"/>
    <x v="1"/>
  </r>
  <r>
    <n v="44693"/>
    <x v="374"/>
    <x v="26"/>
    <x v="2"/>
    <x v="6"/>
    <s v="VTech DS6151"/>
    <x v="472"/>
    <n v="2"/>
    <n v="20.16"/>
    <x v="4"/>
    <x v="1"/>
  </r>
  <r>
    <n v="44693"/>
    <x v="86"/>
    <x v="20"/>
    <x v="0"/>
    <x v="2"/>
    <s v="Portable Personal File Box"/>
    <x v="1263"/>
    <n v="3"/>
    <n v="9.89"/>
    <x v="4"/>
    <x v="1"/>
  </r>
  <r>
    <n v="44693"/>
    <x v="644"/>
    <x v="22"/>
    <x v="0"/>
    <x v="3"/>
    <s v="Prestige Round Ring Binders"/>
    <x v="1962"/>
    <n v="3"/>
    <n v="4.92"/>
    <x v="4"/>
    <x v="1"/>
  </r>
  <r>
    <n v="44693"/>
    <x v="229"/>
    <x v="0"/>
    <x v="1"/>
    <x v="8"/>
    <s v="DAX Wood Document Frame."/>
    <x v="1963"/>
    <n v="4"/>
    <n v="-15.93"/>
    <x v="4"/>
    <x v="1"/>
  </r>
  <r>
    <n v="44693"/>
    <x v="229"/>
    <x v="0"/>
    <x v="2"/>
    <x v="6"/>
    <s v="Digium D40 VoIP phone"/>
    <x v="1964"/>
    <n v="6"/>
    <n v="69.650000000000006"/>
    <x v="4"/>
    <x v="1"/>
  </r>
  <r>
    <n v="44693"/>
    <x v="229"/>
    <x v="0"/>
    <x v="0"/>
    <x v="0"/>
    <s v="Xerox 1964"/>
    <x v="1965"/>
    <n v="7"/>
    <n v="41.57"/>
    <x v="4"/>
    <x v="1"/>
  </r>
  <r>
    <n v="44694"/>
    <x v="151"/>
    <x v="1"/>
    <x v="2"/>
    <x v="6"/>
    <s v="Toshiba IPT2010-SD IPÂ Telephone"/>
    <x v="1966"/>
    <n v="2"/>
    <n v="16.68"/>
    <x v="4"/>
    <x v="1"/>
  </r>
  <r>
    <n v="44694"/>
    <x v="151"/>
    <x v="1"/>
    <x v="0"/>
    <x v="7"/>
    <s v="Advantus Plastic Paper Clips"/>
    <x v="196"/>
    <n v="4"/>
    <n v="5.6"/>
    <x v="4"/>
    <x v="1"/>
  </r>
  <r>
    <n v="44695"/>
    <x v="618"/>
    <x v="2"/>
    <x v="0"/>
    <x v="4"/>
    <s v="Boston School Pro Electric Pencil Sharpener, 1670"/>
    <x v="1967"/>
    <n v="8"/>
    <n v="17.350000000000001"/>
    <x v="4"/>
    <x v="1"/>
  </r>
  <r>
    <n v="44695"/>
    <x v="618"/>
    <x v="2"/>
    <x v="0"/>
    <x v="1"/>
    <s v="Avery 490"/>
    <x v="1968"/>
    <n v="4"/>
    <n v="17.760000000000002"/>
    <x v="4"/>
    <x v="1"/>
  </r>
  <r>
    <n v="44695"/>
    <x v="618"/>
    <x v="2"/>
    <x v="0"/>
    <x v="10"/>
    <s v="Jet-Pak Recycled Peel 'N' Seal Padded Mailers"/>
    <x v="1969"/>
    <n v="7"/>
    <n v="62.81"/>
    <x v="4"/>
    <x v="1"/>
  </r>
  <r>
    <n v="44695"/>
    <x v="618"/>
    <x v="2"/>
    <x v="0"/>
    <x v="1"/>
    <s v="Avery 4027 File Folder Labels for Dot Matrix Printers, 5000 Labels per Box, White"/>
    <x v="1970"/>
    <n v="4"/>
    <n v="31.75"/>
    <x v="4"/>
    <x v="1"/>
  </r>
  <r>
    <n v="44695"/>
    <x v="618"/>
    <x v="2"/>
    <x v="0"/>
    <x v="4"/>
    <s v="Binney &amp; Smith Crayola Metallic Crayons, 16-Color Pack"/>
    <x v="1971"/>
    <n v="1"/>
    <n v="0.81"/>
    <x v="4"/>
    <x v="1"/>
  </r>
  <r>
    <n v="44695"/>
    <x v="618"/>
    <x v="2"/>
    <x v="0"/>
    <x v="3"/>
    <s v="GBC Linen Binding Covers"/>
    <x v="36"/>
    <n v="2"/>
    <n v="-13.63"/>
    <x v="4"/>
    <x v="1"/>
  </r>
  <r>
    <n v="44695"/>
    <x v="618"/>
    <x v="2"/>
    <x v="0"/>
    <x v="3"/>
    <s v="Wilson Jones Custom Binder Spines &amp; Labels"/>
    <x v="1972"/>
    <n v="3"/>
    <n v="-3.43"/>
    <x v="4"/>
    <x v="1"/>
  </r>
  <r>
    <n v="44695"/>
    <x v="459"/>
    <x v="3"/>
    <x v="0"/>
    <x v="2"/>
    <s v="Tennsco Snap-Together Open Shelving Units, Starter Sets and Add-On Units"/>
    <x v="1410"/>
    <n v="4"/>
    <n v="55.9"/>
    <x v="4"/>
    <x v="1"/>
  </r>
  <r>
    <n v="44695"/>
    <x v="595"/>
    <x v="3"/>
    <x v="1"/>
    <x v="11"/>
    <s v="Bush Andora Bookcase, Maple/Graphite Gray Finish"/>
    <x v="1973"/>
    <n v="5"/>
    <n v="42"/>
    <x v="4"/>
    <x v="1"/>
  </r>
  <r>
    <n v="44695"/>
    <x v="595"/>
    <x v="3"/>
    <x v="1"/>
    <x v="8"/>
    <s v="Dana Halogen Swing-Arm Architect Lamp"/>
    <x v="1974"/>
    <n v="3"/>
    <n v="34.409999999999997"/>
    <x v="4"/>
    <x v="1"/>
  </r>
  <r>
    <n v="44695"/>
    <x v="595"/>
    <x v="3"/>
    <x v="1"/>
    <x v="5"/>
    <s v="Novimex Fabric Task Chair"/>
    <x v="1975"/>
    <n v="2"/>
    <n v="-6.1"/>
    <x v="4"/>
    <x v="1"/>
  </r>
  <r>
    <n v="44695"/>
    <x v="595"/>
    <x v="3"/>
    <x v="1"/>
    <x v="5"/>
    <s v="Global Leather and Oak Executive Chair, Black"/>
    <x v="1976"/>
    <n v="3"/>
    <n v="81.260000000000005"/>
    <x v="4"/>
    <x v="1"/>
  </r>
  <r>
    <n v="44696"/>
    <x v="123"/>
    <x v="4"/>
    <x v="0"/>
    <x v="10"/>
    <s v="Wausau Papers Astrobrights Colored Envelopes"/>
    <x v="150"/>
    <n v="3"/>
    <n v="8.7899999999999991"/>
    <x v="4"/>
    <x v="1"/>
  </r>
  <r>
    <n v="44696"/>
    <x v="452"/>
    <x v="2"/>
    <x v="0"/>
    <x v="2"/>
    <s v="Fellowes Neat Ideas Storage Cubes"/>
    <x v="1552"/>
    <n v="2"/>
    <n v="-10.39"/>
    <x v="4"/>
    <x v="1"/>
  </r>
  <r>
    <n v="44697"/>
    <x v="128"/>
    <x v="16"/>
    <x v="2"/>
    <x v="9"/>
    <s v="Razer Kraken PRO Over Ear PC and Music Headset"/>
    <x v="1977"/>
    <n v="4"/>
    <n v="32"/>
    <x v="4"/>
    <x v="1"/>
  </r>
  <r>
    <n v="44698"/>
    <x v="402"/>
    <x v="0"/>
    <x v="0"/>
    <x v="3"/>
    <s v="GBC Twin Loop Wire Binding Elements"/>
    <x v="447"/>
    <n v="5"/>
    <n v="-49.92"/>
    <x v="4"/>
    <x v="1"/>
  </r>
  <r>
    <n v="44698"/>
    <x v="402"/>
    <x v="0"/>
    <x v="0"/>
    <x v="0"/>
    <s v="Things To Do Today Pad"/>
    <x v="1978"/>
    <n v="3"/>
    <n v="4.93"/>
    <x v="4"/>
    <x v="1"/>
  </r>
  <r>
    <n v="44698"/>
    <x v="265"/>
    <x v="20"/>
    <x v="0"/>
    <x v="1"/>
    <s v="Self-Adhesive Removable Labels"/>
    <x v="1979"/>
    <n v="10"/>
    <n v="15.12"/>
    <x v="4"/>
    <x v="1"/>
  </r>
  <r>
    <n v="44698"/>
    <x v="265"/>
    <x v="20"/>
    <x v="0"/>
    <x v="14"/>
    <s v="Acme Hot Forged Carbon Steel Scissors with Nickel-Plated Handles, 3 7/8&quot; Cut, 8&quot;L"/>
    <x v="1980"/>
    <n v="4"/>
    <n v="16.12"/>
    <x v="4"/>
    <x v="1"/>
  </r>
  <r>
    <n v="44699"/>
    <x v="8"/>
    <x v="3"/>
    <x v="0"/>
    <x v="0"/>
    <s v="Wirebound Message Book, 4 per Page"/>
    <x v="1981"/>
    <n v="2"/>
    <n v="5.32"/>
    <x v="4"/>
    <x v="1"/>
  </r>
  <r>
    <n v="44701"/>
    <x v="320"/>
    <x v="25"/>
    <x v="1"/>
    <x v="8"/>
    <s v="Dana Fluorescent Magnifying Lamp, White, 36&quot;"/>
    <x v="1982"/>
    <n v="4"/>
    <n v="20.39"/>
    <x v="4"/>
    <x v="1"/>
  </r>
  <r>
    <n v="44701"/>
    <x v="320"/>
    <x v="25"/>
    <x v="0"/>
    <x v="3"/>
    <s v="Pressboard Data Binders by Wilson Jones"/>
    <x v="1754"/>
    <n v="4"/>
    <n v="-4.91"/>
    <x v="4"/>
    <x v="1"/>
  </r>
  <r>
    <n v="44702"/>
    <x v="264"/>
    <x v="1"/>
    <x v="0"/>
    <x v="12"/>
    <s v="Fellowes Basic Home/Office Series Surge Protectors"/>
    <x v="1983"/>
    <n v="8"/>
    <n v="-52.96"/>
    <x v="4"/>
    <x v="1"/>
  </r>
  <r>
    <n v="44702"/>
    <x v="311"/>
    <x v="22"/>
    <x v="0"/>
    <x v="3"/>
    <s v="Ibico Plastic and Wire Spiral Binding Combs"/>
    <x v="1984"/>
    <n v="4"/>
    <n v="8.77"/>
    <x v="4"/>
    <x v="1"/>
  </r>
  <r>
    <n v="44702"/>
    <x v="418"/>
    <x v="2"/>
    <x v="0"/>
    <x v="3"/>
    <s v="Wilson Jones Ledger-Size, Piano-Hinge Binder, 2&quot;, Blue"/>
    <x v="522"/>
    <n v="2"/>
    <n v="-18.03"/>
    <x v="4"/>
    <x v="1"/>
  </r>
  <r>
    <n v="44703"/>
    <x v="417"/>
    <x v="3"/>
    <x v="0"/>
    <x v="1"/>
    <s v="Avery 476"/>
    <x v="1985"/>
    <n v="2"/>
    <n v="3.8"/>
    <x v="4"/>
    <x v="1"/>
  </r>
  <r>
    <n v="44703"/>
    <x v="417"/>
    <x v="3"/>
    <x v="2"/>
    <x v="15"/>
    <s v="Zebra GX420t Direct Thermal/Thermal Transfer Printer"/>
    <x v="1986"/>
    <n v="7"/>
    <n v="334.5"/>
    <x v="4"/>
    <x v="1"/>
  </r>
  <r>
    <n v="44703"/>
    <x v="417"/>
    <x v="3"/>
    <x v="0"/>
    <x v="2"/>
    <s v="Pizazz Global Quick File"/>
    <x v="1987"/>
    <n v="7"/>
    <n v="29.34"/>
    <x v="4"/>
    <x v="1"/>
  </r>
  <r>
    <n v="44703"/>
    <x v="417"/>
    <x v="3"/>
    <x v="2"/>
    <x v="6"/>
    <s v="Aastra 57i VoIP phone"/>
    <x v="1988"/>
    <n v="6"/>
    <n v="58.18"/>
    <x v="4"/>
    <x v="1"/>
  </r>
  <r>
    <n v="44704"/>
    <x v="400"/>
    <x v="9"/>
    <x v="0"/>
    <x v="10"/>
    <s v="Cameo Buff Policy Envelopes"/>
    <x v="1989"/>
    <n v="3"/>
    <n v="87.74"/>
    <x v="4"/>
    <x v="1"/>
  </r>
  <r>
    <n v="44704"/>
    <x v="185"/>
    <x v="12"/>
    <x v="0"/>
    <x v="3"/>
    <s v="Cardinal EasyOpen D-Ring Binders"/>
    <x v="1990"/>
    <n v="7"/>
    <n v="-12.8"/>
    <x v="4"/>
    <x v="1"/>
  </r>
  <r>
    <n v="44704"/>
    <x v="185"/>
    <x v="12"/>
    <x v="0"/>
    <x v="12"/>
    <s v="Fellowes Superior 10 Outlet Split Surge Protector"/>
    <x v="1164"/>
    <n v="4"/>
    <n v="13.7"/>
    <x v="4"/>
    <x v="1"/>
  </r>
  <r>
    <n v="44704"/>
    <x v="94"/>
    <x v="43"/>
    <x v="0"/>
    <x v="2"/>
    <s v="Advantus Rolling Storage Box"/>
    <x v="1596"/>
    <n v="3"/>
    <n v="13.89"/>
    <x v="4"/>
    <x v="1"/>
  </r>
  <r>
    <n v="44704"/>
    <x v="39"/>
    <x v="14"/>
    <x v="0"/>
    <x v="12"/>
    <s v="Harmony Air Purifier"/>
    <x v="1991"/>
    <n v="5"/>
    <n v="245.7"/>
    <x v="4"/>
    <x v="1"/>
  </r>
  <r>
    <n v="44704"/>
    <x v="39"/>
    <x v="14"/>
    <x v="1"/>
    <x v="8"/>
    <s v="Westinghouse Clip-On Gooseneck Lamps"/>
    <x v="1992"/>
    <n v="9"/>
    <n v="19.59"/>
    <x v="4"/>
    <x v="1"/>
  </r>
  <r>
    <n v="44705"/>
    <x v="6"/>
    <x v="1"/>
    <x v="1"/>
    <x v="5"/>
    <s v="Global High-Back Leather Tilter, Burgundy"/>
    <x v="1993"/>
    <n v="7"/>
    <n v="-163.58000000000001"/>
    <x v="4"/>
    <x v="1"/>
  </r>
  <r>
    <n v="44705"/>
    <x v="6"/>
    <x v="1"/>
    <x v="0"/>
    <x v="3"/>
    <s v="Avery Heavy-Duty EZD View Binder with Locking Rings"/>
    <x v="1994"/>
    <n v="6"/>
    <n v="-13.02"/>
    <x v="4"/>
    <x v="1"/>
  </r>
  <r>
    <n v="44706"/>
    <x v="645"/>
    <x v="26"/>
    <x v="0"/>
    <x v="12"/>
    <s v="Kensington 4 Outlet MasterPiece Compact Power Control Center"/>
    <x v="1995"/>
    <n v="13"/>
    <n v="84.57"/>
    <x v="4"/>
    <x v="1"/>
  </r>
  <r>
    <n v="44706"/>
    <x v="70"/>
    <x v="3"/>
    <x v="1"/>
    <x v="8"/>
    <s v="Ultra Door Push Plate"/>
    <x v="57"/>
    <n v="3"/>
    <n v="4.8600000000000003"/>
    <x v="4"/>
    <x v="1"/>
  </r>
  <r>
    <n v="44706"/>
    <x v="39"/>
    <x v="42"/>
    <x v="0"/>
    <x v="4"/>
    <s v="SANFORD Major Accent Highlighters"/>
    <x v="866"/>
    <n v="3"/>
    <n v="8.07"/>
    <x v="4"/>
    <x v="1"/>
  </r>
  <r>
    <n v="44706"/>
    <x v="39"/>
    <x v="42"/>
    <x v="0"/>
    <x v="3"/>
    <s v="GBC DocuBind P50 Personal Binding Machine"/>
    <x v="1996"/>
    <n v="2"/>
    <n v="60.14"/>
    <x v="4"/>
    <x v="1"/>
  </r>
  <r>
    <n v="44706"/>
    <x v="563"/>
    <x v="15"/>
    <x v="2"/>
    <x v="6"/>
    <s v="Wi-Ex zBoost YX540 Cellular Phone Signal Booster"/>
    <x v="1997"/>
    <n v="4"/>
    <n v="58.38"/>
    <x v="4"/>
    <x v="1"/>
  </r>
  <r>
    <n v="44706"/>
    <x v="22"/>
    <x v="0"/>
    <x v="0"/>
    <x v="14"/>
    <s v="Fiskars Spring-Action Scissors"/>
    <x v="1998"/>
    <n v="2"/>
    <n v="1.68"/>
    <x v="4"/>
    <x v="1"/>
  </r>
  <r>
    <n v="44706"/>
    <x v="22"/>
    <x v="0"/>
    <x v="0"/>
    <x v="0"/>
    <s v="Xerox 1978"/>
    <x v="1999"/>
    <n v="7"/>
    <n v="11.73"/>
    <x v="4"/>
    <x v="1"/>
  </r>
  <r>
    <n v="44706"/>
    <x v="22"/>
    <x v="0"/>
    <x v="2"/>
    <x v="9"/>
    <s v="Logitech G35 7.1-Channel Surround Sound Headset"/>
    <x v="2000"/>
    <n v="2"/>
    <n v="36.4"/>
    <x v="4"/>
    <x v="1"/>
  </r>
  <r>
    <n v="44707"/>
    <x v="151"/>
    <x v="25"/>
    <x v="0"/>
    <x v="0"/>
    <s v="Xerox 1991"/>
    <x v="2001"/>
    <n v="1"/>
    <n v="5.94"/>
    <x v="4"/>
    <x v="1"/>
  </r>
  <r>
    <n v="44707"/>
    <x v="151"/>
    <x v="25"/>
    <x v="0"/>
    <x v="0"/>
    <s v="Xerox 1937"/>
    <x v="2002"/>
    <n v="4"/>
    <n v="53.8"/>
    <x v="4"/>
    <x v="1"/>
  </r>
  <r>
    <n v="44707"/>
    <x v="151"/>
    <x v="25"/>
    <x v="0"/>
    <x v="10"/>
    <s v="Security-Tint Envelopes"/>
    <x v="2003"/>
    <n v="2"/>
    <n v="4.43"/>
    <x v="4"/>
    <x v="1"/>
  </r>
  <r>
    <n v="44707"/>
    <x v="151"/>
    <x v="25"/>
    <x v="2"/>
    <x v="9"/>
    <s v="Logitech 910-002974 M325 Wireless Mouse for Web Scrolling"/>
    <x v="1213"/>
    <n v="7"/>
    <n v="50.38"/>
    <x v="4"/>
    <x v="1"/>
  </r>
  <r>
    <n v="44707"/>
    <x v="131"/>
    <x v="22"/>
    <x v="1"/>
    <x v="8"/>
    <s v="DAX Metal Frame, Desktop, Stepped-Edge"/>
    <x v="2004"/>
    <n v="1"/>
    <n v="7.89"/>
    <x v="4"/>
    <x v="1"/>
  </r>
  <r>
    <n v="44707"/>
    <x v="255"/>
    <x v="0"/>
    <x v="1"/>
    <x v="5"/>
    <s v="Novimex Swivel Fabric Task Chair"/>
    <x v="2005"/>
    <n v="1"/>
    <n v="-28.69"/>
    <x v="4"/>
    <x v="1"/>
  </r>
  <r>
    <n v="44707"/>
    <x v="255"/>
    <x v="0"/>
    <x v="2"/>
    <x v="15"/>
    <s v="StarTech.com 10/100 VDSL2 Ethernet Extender Kit"/>
    <x v="879"/>
    <n v="2"/>
    <n v="-79.91"/>
    <x v="4"/>
    <x v="1"/>
  </r>
  <r>
    <n v="44707"/>
    <x v="255"/>
    <x v="0"/>
    <x v="1"/>
    <x v="5"/>
    <s v="Global Stack Chair with Arms, Black"/>
    <x v="2006"/>
    <n v="5"/>
    <n v="-4.5"/>
    <x v="4"/>
    <x v="1"/>
  </r>
  <r>
    <n v="44709"/>
    <x v="646"/>
    <x v="22"/>
    <x v="0"/>
    <x v="4"/>
    <s v="Newell 311"/>
    <x v="46"/>
    <n v="3"/>
    <n v="1.79"/>
    <x v="4"/>
    <x v="1"/>
  </r>
  <r>
    <n v="44709"/>
    <x v="366"/>
    <x v="20"/>
    <x v="0"/>
    <x v="4"/>
    <s v="Boston 16701 Slimline Battery Pencil Sharpener"/>
    <x v="2007"/>
    <n v="3"/>
    <n v="14.35"/>
    <x v="4"/>
    <x v="1"/>
  </r>
  <r>
    <n v="44709"/>
    <x v="366"/>
    <x v="20"/>
    <x v="0"/>
    <x v="1"/>
    <s v="Avery 494"/>
    <x v="2008"/>
    <n v="5"/>
    <n v="6"/>
    <x v="4"/>
    <x v="1"/>
  </r>
  <r>
    <n v="44709"/>
    <x v="282"/>
    <x v="20"/>
    <x v="2"/>
    <x v="6"/>
    <s v="Panasonic Kx-TS550"/>
    <x v="2009"/>
    <n v="1"/>
    <n v="13.34"/>
    <x v="4"/>
    <x v="1"/>
  </r>
  <r>
    <n v="44709"/>
    <x v="282"/>
    <x v="20"/>
    <x v="0"/>
    <x v="2"/>
    <s v="Hot File 7-Pocket, Floor Stand"/>
    <x v="688"/>
    <n v="3"/>
    <n v="160.62"/>
    <x v="4"/>
    <x v="1"/>
  </r>
  <r>
    <n v="44709"/>
    <x v="282"/>
    <x v="20"/>
    <x v="0"/>
    <x v="3"/>
    <s v="Acco Pressboard Covers with Storage Hooks, 9 1/2&quot; x 11&quot;, Executive Red"/>
    <x v="675"/>
    <n v="2"/>
    <n v="2.06"/>
    <x v="4"/>
    <x v="1"/>
  </r>
  <r>
    <n v="44709"/>
    <x v="282"/>
    <x v="20"/>
    <x v="0"/>
    <x v="0"/>
    <s v="Xerox 219"/>
    <x v="413"/>
    <n v="7"/>
    <n v="21.77"/>
    <x v="4"/>
    <x v="1"/>
  </r>
  <r>
    <n v="44709"/>
    <x v="335"/>
    <x v="37"/>
    <x v="0"/>
    <x v="2"/>
    <s v="Acco Perma 4000 Stacking Storage Drawers"/>
    <x v="2010"/>
    <n v="1"/>
    <n v="2.44"/>
    <x v="4"/>
    <x v="1"/>
  </r>
  <r>
    <n v="44709"/>
    <x v="335"/>
    <x v="37"/>
    <x v="0"/>
    <x v="2"/>
    <s v="Personal Filing Tote with Lid, Black/Gray"/>
    <x v="2011"/>
    <n v="5"/>
    <n v="21.71"/>
    <x v="4"/>
    <x v="1"/>
  </r>
  <r>
    <n v="44710"/>
    <x v="315"/>
    <x v="22"/>
    <x v="0"/>
    <x v="0"/>
    <s v="Xerox 1894"/>
    <x v="331"/>
    <n v="5"/>
    <n v="15.55"/>
    <x v="4"/>
    <x v="1"/>
  </r>
  <r>
    <n v="44710"/>
    <x v="315"/>
    <x v="22"/>
    <x v="0"/>
    <x v="2"/>
    <s v="Standard Rollaway File with Lock"/>
    <x v="2012"/>
    <n v="3"/>
    <n v="140.55000000000001"/>
    <x v="4"/>
    <x v="1"/>
  </r>
  <r>
    <n v="44710"/>
    <x v="315"/>
    <x v="22"/>
    <x v="0"/>
    <x v="3"/>
    <s v="Avery Trapezoid Extra Heavy Duty 4&quot; Binders"/>
    <x v="2013"/>
    <n v="5"/>
    <n v="62.91"/>
    <x v="4"/>
    <x v="1"/>
  </r>
  <r>
    <n v="44710"/>
    <x v="379"/>
    <x v="10"/>
    <x v="1"/>
    <x v="8"/>
    <s v="Tensor &quot;Hersey Kiss&quot; Styled Floor Lamp"/>
    <x v="2014"/>
    <n v="4"/>
    <n v="-4.16"/>
    <x v="4"/>
    <x v="1"/>
  </r>
  <r>
    <n v="44710"/>
    <x v="379"/>
    <x v="10"/>
    <x v="1"/>
    <x v="5"/>
    <s v="Novimex Swivel Fabric Task Chair"/>
    <x v="346"/>
    <n v="3"/>
    <n v="-86.06"/>
    <x v="4"/>
    <x v="1"/>
  </r>
  <r>
    <n v="44710"/>
    <x v="379"/>
    <x v="10"/>
    <x v="0"/>
    <x v="7"/>
    <s v="Ideal Clamps"/>
    <x v="2015"/>
    <n v="5"/>
    <n v="2.91"/>
    <x v="4"/>
    <x v="1"/>
  </r>
  <r>
    <n v="44710"/>
    <x v="366"/>
    <x v="18"/>
    <x v="0"/>
    <x v="1"/>
    <s v="Avery 476"/>
    <x v="1192"/>
    <n v="3"/>
    <n v="5.7"/>
    <x v="4"/>
    <x v="1"/>
  </r>
  <r>
    <n v="44710"/>
    <x v="570"/>
    <x v="10"/>
    <x v="0"/>
    <x v="0"/>
    <s v="Easy-staple paper"/>
    <x v="2016"/>
    <n v="3"/>
    <n v="28.71"/>
    <x v="4"/>
    <x v="1"/>
  </r>
  <r>
    <n v="44711"/>
    <x v="647"/>
    <x v="20"/>
    <x v="2"/>
    <x v="6"/>
    <s v="RCA H5401RE1 DECT 6.0 4-Line Cordless Handset With Caller ID/Call Waiting"/>
    <x v="104"/>
    <n v="3"/>
    <n v="2.4"/>
    <x v="4"/>
    <x v="1"/>
  </r>
  <r>
    <n v="44711"/>
    <x v="647"/>
    <x v="20"/>
    <x v="0"/>
    <x v="12"/>
    <s v="Eureka The Boss Lite 10-Amp Upright Vacuum, Blue"/>
    <x v="2017"/>
    <n v="2"/>
    <n v="44.89"/>
    <x v="4"/>
    <x v="1"/>
  </r>
  <r>
    <n v="44711"/>
    <x v="647"/>
    <x v="20"/>
    <x v="2"/>
    <x v="6"/>
    <s v="Plantronics MX500i Earset"/>
    <x v="2018"/>
    <n v="3"/>
    <n v="3.87"/>
    <x v="4"/>
    <x v="1"/>
  </r>
  <r>
    <n v="44711"/>
    <x v="648"/>
    <x v="6"/>
    <x v="2"/>
    <x v="9"/>
    <s v="ImationÂ SecureÂ DriveÂ + Hardware Encrypted USBÂ flash driveÂ - 16 GB"/>
    <x v="2019"/>
    <n v="4"/>
    <n v="36.47"/>
    <x v="4"/>
    <x v="1"/>
  </r>
  <r>
    <n v="44712"/>
    <x v="153"/>
    <x v="3"/>
    <x v="0"/>
    <x v="0"/>
    <s v="Southworth 25% Cotton Antique Laid Paper &amp; Envelopes"/>
    <x v="2020"/>
    <n v="7"/>
    <n v="26.27"/>
    <x v="4"/>
    <x v="1"/>
  </r>
  <r>
    <n v="44712"/>
    <x v="153"/>
    <x v="3"/>
    <x v="0"/>
    <x v="0"/>
    <s v="Xerox 1883"/>
    <x v="1479"/>
    <n v="4"/>
    <n v="48.54"/>
    <x v="4"/>
    <x v="1"/>
  </r>
  <r>
    <n v="44712"/>
    <x v="153"/>
    <x v="3"/>
    <x v="0"/>
    <x v="2"/>
    <s v="Tenex Personal Project File with Scoop Front Design, Black"/>
    <x v="2021"/>
    <n v="6"/>
    <n v="21.03"/>
    <x v="4"/>
    <x v="1"/>
  </r>
  <r>
    <n v="44712"/>
    <x v="90"/>
    <x v="37"/>
    <x v="1"/>
    <x v="8"/>
    <s v="3M Hangers With Command Adhesive"/>
    <x v="501"/>
    <n v="6"/>
    <n v="9.1"/>
    <x v="4"/>
    <x v="1"/>
  </r>
  <r>
    <n v="44712"/>
    <x v="51"/>
    <x v="27"/>
    <x v="1"/>
    <x v="11"/>
    <s v="O'Sullivan Living Dimensions 3-Shelf Bookcases"/>
    <x v="2022"/>
    <n v="7"/>
    <n v="140.69"/>
    <x v="4"/>
    <x v="1"/>
  </r>
  <r>
    <n v="44712"/>
    <x v="51"/>
    <x v="27"/>
    <x v="0"/>
    <x v="1"/>
    <s v="Self-Adhesive Removable Labels"/>
    <x v="2023"/>
    <n v="5"/>
    <n v="7.56"/>
    <x v="4"/>
    <x v="1"/>
  </r>
  <r>
    <n v="44712"/>
    <x v="51"/>
    <x v="27"/>
    <x v="0"/>
    <x v="2"/>
    <s v="Fellowes Super Stor/Drawer Files"/>
    <x v="2024"/>
    <n v="2"/>
    <n v="61.39"/>
    <x v="4"/>
    <x v="1"/>
  </r>
  <r>
    <n v="44712"/>
    <x v="649"/>
    <x v="28"/>
    <x v="1"/>
    <x v="5"/>
    <s v="Hon Pagoda Stacking Chairs"/>
    <x v="2025"/>
    <n v="8"/>
    <n v="770.35"/>
    <x v="4"/>
    <x v="1"/>
  </r>
  <r>
    <n v="44712"/>
    <x v="650"/>
    <x v="25"/>
    <x v="0"/>
    <x v="4"/>
    <s v="Newell 347"/>
    <x v="1207"/>
    <n v="3"/>
    <n v="1.1599999999999999"/>
    <x v="4"/>
    <x v="1"/>
  </r>
  <r>
    <n v="44712"/>
    <x v="249"/>
    <x v="20"/>
    <x v="0"/>
    <x v="7"/>
    <s v="Bagged Rubber Bands"/>
    <x v="2026"/>
    <n v="6"/>
    <n v="0.3"/>
    <x v="4"/>
    <x v="1"/>
  </r>
  <r>
    <n v="44712"/>
    <x v="362"/>
    <x v="1"/>
    <x v="0"/>
    <x v="1"/>
    <s v="Avery 501"/>
    <x v="1408"/>
    <n v="2"/>
    <n v="1.99"/>
    <x v="4"/>
    <x v="1"/>
  </r>
  <r>
    <n v="44712"/>
    <x v="362"/>
    <x v="1"/>
    <x v="0"/>
    <x v="0"/>
    <s v="Xerox 1988"/>
    <x v="2027"/>
    <n v="7"/>
    <n v="54.22"/>
    <x v="4"/>
    <x v="1"/>
  </r>
  <r>
    <n v="44712"/>
    <x v="362"/>
    <x v="1"/>
    <x v="1"/>
    <x v="8"/>
    <s v="Tenex Traditional Chairmats for Hard Floors, Average Lip, 36&quot; x 48&quot;"/>
    <x v="1255"/>
    <n v="2"/>
    <n v="-61.87"/>
    <x v="4"/>
    <x v="1"/>
  </r>
  <r>
    <n v="44712"/>
    <x v="362"/>
    <x v="1"/>
    <x v="0"/>
    <x v="3"/>
    <s v="Storex Dura Pro Binders"/>
    <x v="2028"/>
    <n v="3"/>
    <n v="-6.24"/>
    <x v="4"/>
    <x v="1"/>
  </r>
  <r>
    <n v="44712"/>
    <x v="551"/>
    <x v="23"/>
    <x v="0"/>
    <x v="0"/>
    <s v="Xerox 1889"/>
    <x v="2029"/>
    <n v="5"/>
    <n v="134.65"/>
    <x v="4"/>
    <x v="1"/>
  </r>
  <r>
    <n v="44712"/>
    <x v="551"/>
    <x v="23"/>
    <x v="0"/>
    <x v="2"/>
    <s v="Fellowes Mobile File Cart, Black"/>
    <x v="1053"/>
    <n v="1"/>
    <n v="16.79"/>
    <x v="4"/>
    <x v="1"/>
  </r>
  <r>
    <n v="44712"/>
    <x v="551"/>
    <x v="23"/>
    <x v="1"/>
    <x v="8"/>
    <s v="Eldon Image Series Black Desk Accessories"/>
    <x v="2030"/>
    <n v="2"/>
    <n v="2.98"/>
    <x v="4"/>
    <x v="1"/>
  </r>
  <r>
    <n v="44713"/>
    <x v="124"/>
    <x v="0"/>
    <x v="0"/>
    <x v="3"/>
    <s v="Avery Poly Binder Pockets"/>
    <x v="2031"/>
    <n v="8"/>
    <n v="-9.16"/>
    <x v="5"/>
    <x v="1"/>
  </r>
  <r>
    <n v="44713"/>
    <x v="124"/>
    <x v="0"/>
    <x v="0"/>
    <x v="0"/>
    <s v="Xerox 1928"/>
    <x v="2032"/>
    <n v="10"/>
    <n v="13.2"/>
    <x v="5"/>
    <x v="1"/>
  </r>
  <r>
    <n v="44713"/>
    <x v="63"/>
    <x v="14"/>
    <x v="2"/>
    <x v="6"/>
    <s v="Polycom CX300 Desktop Phone USB VoIP phone"/>
    <x v="778"/>
    <n v="2"/>
    <n v="83.99"/>
    <x v="5"/>
    <x v="1"/>
  </r>
  <r>
    <n v="44713"/>
    <x v="63"/>
    <x v="14"/>
    <x v="0"/>
    <x v="3"/>
    <s v="Catalog Binders with Expanding Posts"/>
    <x v="2033"/>
    <n v="6"/>
    <n v="181.66"/>
    <x v="5"/>
    <x v="1"/>
  </r>
  <r>
    <n v="44713"/>
    <x v="63"/>
    <x v="14"/>
    <x v="2"/>
    <x v="6"/>
    <s v="iKross Bluetooth Portable Keyboard + Cell Phone Stand Holder + Brush for Apple iPhone 5S 5C 5, 4S 4"/>
    <x v="634"/>
    <n v="2"/>
    <n v="11.73"/>
    <x v="5"/>
    <x v="1"/>
  </r>
  <r>
    <n v="44713"/>
    <x v="63"/>
    <x v="14"/>
    <x v="0"/>
    <x v="1"/>
    <s v="Avery 491"/>
    <x v="2034"/>
    <n v="7"/>
    <n v="13.3"/>
    <x v="5"/>
    <x v="1"/>
  </r>
  <r>
    <n v="44713"/>
    <x v="651"/>
    <x v="3"/>
    <x v="0"/>
    <x v="0"/>
    <s v="Adams Telephone Message Book W/Dividers/Space For Phone Numbers, 5 1/4&quot;X8 1/2&quot;, 300/Messages"/>
    <x v="1562"/>
    <n v="2"/>
    <n v="5.76"/>
    <x v="5"/>
    <x v="1"/>
  </r>
  <r>
    <n v="44716"/>
    <x v="172"/>
    <x v="22"/>
    <x v="0"/>
    <x v="1"/>
    <s v="Avery 501"/>
    <x v="1764"/>
    <n v="2"/>
    <n v="3.47"/>
    <x v="5"/>
    <x v="1"/>
  </r>
  <r>
    <n v="44716"/>
    <x v="172"/>
    <x v="22"/>
    <x v="0"/>
    <x v="4"/>
    <s v="Binney &amp; Smith Crayola Metallic Colored Pencils, 8-Color Set"/>
    <x v="1515"/>
    <n v="2"/>
    <n v="3.06"/>
    <x v="5"/>
    <x v="1"/>
  </r>
  <r>
    <n v="44716"/>
    <x v="492"/>
    <x v="20"/>
    <x v="0"/>
    <x v="0"/>
    <s v="Wirebound Message Books, Two 4 1/4&quot; x 5&quot; Forms per Page"/>
    <x v="195"/>
    <n v="4"/>
    <n v="14.31"/>
    <x v="5"/>
    <x v="1"/>
  </r>
  <r>
    <n v="44716"/>
    <x v="492"/>
    <x v="20"/>
    <x v="1"/>
    <x v="8"/>
    <s v="Executive Impressions 10&quot; Spectator Wall Clock"/>
    <x v="2035"/>
    <n v="3"/>
    <n v="12"/>
    <x v="5"/>
    <x v="1"/>
  </r>
  <r>
    <n v="44716"/>
    <x v="652"/>
    <x v="3"/>
    <x v="2"/>
    <x v="9"/>
    <s v="Logitech Wireless Anywhere Mouse MX for PC and Mac"/>
    <x v="1143"/>
    <n v="2"/>
    <n v="35.99"/>
    <x v="5"/>
    <x v="1"/>
  </r>
  <r>
    <n v="44716"/>
    <x v="652"/>
    <x v="3"/>
    <x v="2"/>
    <x v="9"/>
    <s v="LogitechÂ Z-906 Speaker sys - home theater - 5.1-CH"/>
    <x v="2036"/>
    <n v="3"/>
    <n v="395.99"/>
    <x v="5"/>
    <x v="1"/>
  </r>
  <r>
    <n v="44717"/>
    <x v="615"/>
    <x v="20"/>
    <x v="1"/>
    <x v="5"/>
    <s v="Hon Every-Day Series Multi-Task Chairs"/>
    <x v="2037"/>
    <n v="9"/>
    <n v="169.18"/>
    <x v="5"/>
    <x v="1"/>
  </r>
  <r>
    <n v="44717"/>
    <x v="653"/>
    <x v="24"/>
    <x v="0"/>
    <x v="0"/>
    <s v="Xerox 1981"/>
    <x v="75"/>
    <n v="2"/>
    <n v="4.75"/>
    <x v="5"/>
    <x v="1"/>
  </r>
  <r>
    <n v="44719"/>
    <x v="654"/>
    <x v="3"/>
    <x v="0"/>
    <x v="3"/>
    <s v="3-ring staple pack"/>
    <x v="1206"/>
    <n v="5"/>
    <n v="2.63"/>
    <x v="5"/>
    <x v="1"/>
  </r>
  <r>
    <n v="44719"/>
    <x v="198"/>
    <x v="2"/>
    <x v="0"/>
    <x v="3"/>
    <s v="Aluminum Screw Posts"/>
    <x v="2038"/>
    <n v="4"/>
    <n v="-12.21"/>
    <x v="5"/>
    <x v="1"/>
  </r>
  <r>
    <n v="44719"/>
    <x v="198"/>
    <x v="2"/>
    <x v="0"/>
    <x v="0"/>
    <s v="Xerox 200"/>
    <x v="499"/>
    <n v="5"/>
    <n v="9.07"/>
    <x v="5"/>
    <x v="1"/>
  </r>
  <r>
    <n v="44719"/>
    <x v="198"/>
    <x v="2"/>
    <x v="0"/>
    <x v="4"/>
    <s v="Avery Fluorescent Highlighter Four-Color Set"/>
    <x v="202"/>
    <n v="3"/>
    <n v="1"/>
    <x v="5"/>
    <x v="1"/>
  </r>
  <r>
    <n v="44720"/>
    <x v="585"/>
    <x v="1"/>
    <x v="2"/>
    <x v="9"/>
    <s v="Maxell 4.7GB DVD+R 5/Pack"/>
    <x v="2039"/>
    <n v="3"/>
    <n v="0.74"/>
    <x v="5"/>
    <x v="1"/>
  </r>
  <r>
    <n v="44720"/>
    <x v="585"/>
    <x v="1"/>
    <x v="0"/>
    <x v="12"/>
    <s v="Hoover Shoulder Vac Commercial Portable Vacuum"/>
    <x v="2040"/>
    <n v="2"/>
    <n v="-393.6"/>
    <x v="5"/>
    <x v="1"/>
  </r>
  <r>
    <n v="44720"/>
    <x v="597"/>
    <x v="16"/>
    <x v="0"/>
    <x v="0"/>
    <s v="Xerox 1951"/>
    <x v="2027"/>
    <n v="7"/>
    <n v="54.22"/>
    <x v="5"/>
    <x v="1"/>
  </r>
  <r>
    <n v="44720"/>
    <x v="597"/>
    <x v="16"/>
    <x v="0"/>
    <x v="2"/>
    <s v="Fellowes Super Stor/Drawer Files"/>
    <x v="2041"/>
    <n v="4"/>
    <n v="-6.46"/>
    <x v="5"/>
    <x v="1"/>
  </r>
  <r>
    <n v="44720"/>
    <x v="597"/>
    <x v="16"/>
    <x v="1"/>
    <x v="8"/>
    <s v="Advantus Employee of the Month Certificate Frame, 11 x 13-1/2"/>
    <x v="2042"/>
    <n v="7"/>
    <n v="45.47"/>
    <x v="5"/>
    <x v="1"/>
  </r>
  <r>
    <n v="44720"/>
    <x v="597"/>
    <x v="16"/>
    <x v="0"/>
    <x v="4"/>
    <s v="Newell 344"/>
    <x v="192"/>
    <n v="2"/>
    <n v="0.33"/>
    <x v="5"/>
    <x v="1"/>
  </r>
  <r>
    <n v="44720"/>
    <x v="597"/>
    <x v="16"/>
    <x v="0"/>
    <x v="1"/>
    <s v="Smead Alpha-Z Color-Coded Name Labels First Letter Starter Set"/>
    <x v="2043"/>
    <n v="3"/>
    <n v="3.15"/>
    <x v="5"/>
    <x v="1"/>
  </r>
  <r>
    <n v="44720"/>
    <x v="597"/>
    <x v="16"/>
    <x v="0"/>
    <x v="0"/>
    <s v="Xerox 1963"/>
    <x v="2032"/>
    <n v="10"/>
    <n v="13.2"/>
    <x v="5"/>
    <x v="1"/>
  </r>
  <r>
    <n v="44720"/>
    <x v="597"/>
    <x v="16"/>
    <x v="0"/>
    <x v="3"/>
    <s v="Premier Elliptical Ring Binder, Black"/>
    <x v="1109"/>
    <n v="2"/>
    <n v="-13.39"/>
    <x v="5"/>
    <x v="1"/>
  </r>
  <r>
    <n v="44721"/>
    <x v="408"/>
    <x v="6"/>
    <x v="0"/>
    <x v="3"/>
    <s v="Vinyl Sectional Post Binders"/>
    <x v="2044"/>
    <n v="3"/>
    <n v="56.55"/>
    <x v="5"/>
    <x v="1"/>
  </r>
  <r>
    <n v="44721"/>
    <x v="180"/>
    <x v="14"/>
    <x v="0"/>
    <x v="0"/>
    <s v="Xerox 1995"/>
    <x v="115"/>
    <n v="2"/>
    <n v="6.22"/>
    <x v="5"/>
    <x v="1"/>
  </r>
  <r>
    <n v="44721"/>
    <x v="120"/>
    <x v="34"/>
    <x v="1"/>
    <x v="8"/>
    <s v="Luxo Adjustable Task Clamp Lamp"/>
    <x v="2045"/>
    <n v="4"/>
    <n v="92.39"/>
    <x v="5"/>
    <x v="1"/>
  </r>
  <r>
    <n v="44721"/>
    <x v="120"/>
    <x v="34"/>
    <x v="2"/>
    <x v="6"/>
    <s v="Dexim XPower Skin Super-Thin Power Case for iPhone 5 - Black"/>
    <x v="2046"/>
    <n v="3"/>
    <n v="8.77"/>
    <x v="5"/>
    <x v="1"/>
  </r>
  <r>
    <n v="44721"/>
    <x v="655"/>
    <x v="16"/>
    <x v="0"/>
    <x v="3"/>
    <s v="Green Canvas Binder for 8-1/2&quot; x 14&quot; Sheets"/>
    <x v="2047"/>
    <n v="5"/>
    <n v="-42.8"/>
    <x v="5"/>
    <x v="1"/>
  </r>
  <r>
    <n v="44721"/>
    <x v="655"/>
    <x v="16"/>
    <x v="0"/>
    <x v="3"/>
    <s v="Wilson Jones Elliptical Ring 3 1/2&quot; Capacity Binders, 800 sheets"/>
    <x v="448"/>
    <n v="3"/>
    <n v="-26.96"/>
    <x v="5"/>
    <x v="1"/>
  </r>
  <r>
    <n v="44721"/>
    <x v="655"/>
    <x v="16"/>
    <x v="2"/>
    <x v="9"/>
    <s v="Logitech Keyboard K120"/>
    <x v="2048"/>
    <n v="5"/>
    <n v="-8.17"/>
    <x v="5"/>
    <x v="1"/>
  </r>
  <r>
    <n v="44723"/>
    <x v="12"/>
    <x v="8"/>
    <x v="2"/>
    <x v="9"/>
    <s v="Kingston Digital DataTraveler 16GB USB 2.0"/>
    <x v="2049"/>
    <n v="6"/>
    <n v="10.199999999999999"/>
    <x v="5"/>
    <x v="1"/>
  </r>
  <r>
    <n v="44723"/>
    <x v="12"/>
    <x v="8"/>
    <x v="0"/>
    <x v="3"/>
    <s v="SlimView Poly Binder, 3/8&quot;"/>
    <x v="2050"/>
    <n v="7"/>
    <n v="16.68"/>
    <x v="5"/>
    <x v="1"/>
  </r>
  <r>
    <n v="44723"/>
    <x v="12"/>
    <x v="8"/>
    <x v="0"/>
    <x v="4"/>
    <s v="Boston Electric Pencil Sharpener, Model 1818, Charcoal Black"/>
    <x v="2051"/>
    <n v="2"/>
    <n v="15.76"/>
    <x v="5"/>
    <x v="1"/>
  </r>
  <r>
    <n v="44723"/>
    <x v="12"/>
    <x v="8"/>
    <x v="0"/>
    <x v="0"/>
    <s v="Xerox 222"/>
    <x v="331"/>
    <n v="5"/>
    <n v="15.55"/>
    <x v="5"/>
    <x v="1"/>
  </r>
  <r>
    <n v="44723"/>
    <x v="12"/>
    <x v="8"/>
    <x v="1"/>
    <x v="8"/>
    <s v="DAX Clear Channel Poster Frame"/>
    <x v="2052"/>
    <n v="2"/>
    <n v="10.79"/>
    <x v="5"/>
    <x v="1"/>
  </r>
  <r>
    <n v="44723"/>
    <x v="458"/>
    <x v="16"/>
    <x v="1"/>
    <x v="5"/>
    <s v="Hon 2090 Â“Pillow SoftÂ” Series Mid Back Swivel/Tilt Chairs"/>
    <x v="2053"/>
    <n v="5"/>
    <n v="-182.64"/>
    <x v="5"/>
    <x v="1"/>
  </r>
  <r>
    <n v="44723"/>
    <x v="458"/>
    <x v="16"/>
    <x v="2"/>
    <x v="6"/>
    <s v="Cisco SPA301"/>
    <x v="2054"/>
    <n v="2"/>
    <n v="31.2"/>
    <x v="5"/>
    <x v="1"/>
  </r>
  <r>
    <n v="44723"/>
    <x v="458"/>
    <x v="16"/>
    <x v="1"/>
    <x v="8"/>
    <s v="Seth Thomas 8 1/2&quot; Cubicle Clock"/>
    <x v="2055"/>
    <n v="3"/>
    <n v="7.3"/>
    <x v="5"/>
    <x v="1"/>
  </r>
  <r>
    <n v="44723"/>
    <x v="458"/>
    <x v="16"/>
    <x v="0"/>
    <x v="4"/>
    <s v="Hunt PowerHouse Electric Pencil Sharpener, Blue"/>
    <x v="2056"/>
    <n v="2"/>
    <n v="7.6"/>
    <x v="5"/>
    <x v="1"/>
  </r>
  <r>
    <n v="44723"/>
    <x v="458"/>
    <x v="16"/>
    <x v="0"/>
    <x v="3"/>
    <s v="Ibico Laser Imprintable Binding System Covers"/>
    <x v="1585"/>
    <n v="5"/>
    <n v="-62.88"/>
    <x v="5"/>
    <x v="1"/>
  </r>
  <r>
    <n v="44723"/>
    <x v="458"/>
    <x v="16"/>
    <x v="0"/>
    <x v="3"/>
    <s v="GBC Standard Plastic Binding Systems' Combs"/>
    <x v="2057"/>
    <n v="2"/>
    <n v="-3.14"/>
    <x v="5"/>
    <x v="1"/>
  </r>
  <r>
    <n v="44723"/>
    <x v="458"/>
    <x v="16"/>
    <x v="0"/>
    <x v="2"/>
    <s v="Tennsco 16-Compartment Lockers with Coat Rack"/>
    <x v="2058"/>
    <n v="2"/>
    <n v="51.83"/>
    <x v="5"/>
    <x v="1"/>
  </r>
  <r>
    <n v="44723"/>
    <x v="458"/>
    <x v="16"/>
    <x v="0"/>
    <x v="2"/>
    <s v="Fellowes High-Stak Drawer Files"/>
    <x v="1826"/>
    <n v="4"/>
    <n v="21.14"/>
    <x v="5"/>
    <x v="1"/>
  </r>
  <r>
    <n v="44724"/>
    <x v="656"/>
    <x v="2"/>
    <x v="0"/>
    <x v="0"/>
    <s v="Xerox 1997"/>
    <x v="1315"/>
    <n v="4"/>
    <n v="7.26"/>
    <x v="5"/>
    <x v="1"/>
  </r>
  <r>
    <n v="44724"/>
    <x v="656"/>
    <x v="2"/>
    <x v="1"/>
    <x v="8"/>
    <s v="DataProducts Ampli Magnifier Task Lamp, Black,"/>
    <x v="2059"/>
    <n v="2"/>
    <n v="4.33"/>
    <x v="5"/>
    <x v="1"/>
  </r>
  <r>
    <n v="44724"/>
    <x v="224"/>
    <x v="7"/>
    <x v="0"/>
    <x v="2"/>
    <s v="Perma STOR-ALL Hanging File Box, 13 1/8&quot;W x 12 1/4&quot;D x 10 1/2&quot;H"/>
    <x v="1691"/>
    <n v="5"/>
    <n v="5.08"/>
    <x v="5"/>
    <x v="1"/>
  </r>
  <r>
    <n v="44724"/>
    <x v="657"/>
    <x v="16"/>
    <x v="2"/>
    <x v="6"/>
    <s v="Speck Products Candyshell Flip Case"/>
    <x v="1081"/>
    <n v="2"/>
    <n v="4.2"/>
    <x v="5"/>
    <x v="1"/>
  </r>
  <r>
    <n v="44724"/>
    <x v="381"/>
    <x v="18"/>
    <x v="0"/>
    <x v="2"/>
    <s v="Recycled Eldon Regeneration Jumbo File"/>
    <x v="396"/>
    <n v="2"/>
    <n v="6.88"/>
    <x v="5"/>
    <x v="1"/>
  </r>
  <r>
    <n v="44725"/>
    <x v="612"/>
    <x v="3"/>
    <x v="0"/>
    <x v="3"/>
    <s v="Aluminum Screw Posts"/>
    <x v="2060"/>
    <n v="3"/>
    <n v="13.73"/>
    <x v="5"/>
    <x v="1"/>
  </r>
  <r>
    <n v="44725"/>
    <x v="526"/>
    <x v="33"/>
    <x v="0"/>
    <x v="4"/>
    <s v="Newell 31"/>
    <x v="2061"/>
    <n v="6"/>
    <n v="6.94"/>
    <x v="5"/>
    <x v="1"/>
  </r>
  <r>
    <n v="44725"/>
    <x v="526"/>
    <x v="33"/>
    <x v="0"/>
    <x v="3"/>
    <s v="Avery Heavy-Duty EZD View Binder with Locking Rings"/>
    <x v="1134"/>
    <n v="3"/>
    <n v="8.8000000000000007"/>
    <x v="5"/>
    <x v="1"/>
  </r>
  <r>
    <n v="44725"/>
    <x v="526"/>
    <x v="33"/>
    <x v="2"/>
    <x v="16"/>
    <s v="Brother DCP1000 Digital 3 in 1 Multifunction Machine"/>
    <x v="2062"/>
    <n v="3"/>
    <n v="314.99"/>
    <x v="5"/>
    <x v="1"/>
  </r>
  <r>
    <n v="44725"/>
    <x v="526"/>
    <x v="33"/>
    <x v="0"/>
    <x v="0"/>
    <s v="Xerox 204"/>
    <x v="331"/>
    <n v="5"/>
    <n v="15.55"/>
    <x v="5"/>
    <x v="1"/>
  </r>
  <r>
    <n v="44725"/>
    <x v="577"/>
    <x v="41"/>
    <x v="0"/>
    <x v="3"/>
    <s v="ACCOHIDE 3-Ring Binder, Blue, 1&quot;"/>
    <x v="1985"/>
    <n v="2"/>
    <n v="3.88"/>
    <x v="5"/>
    <x v="1"/>
  </r>
  <r>
    <n v="44725"/>
    <x v="577"/>
    <x v="41"/>
    <x v="0"/>
    <x v="3"/>
    <s v="Recycled Easel Ring Binders"/>
    <x v="2063"/>
    <n v="2"/>
    <n v="13.43"/>
    <x v="5"/>
    <x v="1"/>
  </r>
  <r>
    <n v="44725"/>
    <x v="577"/>
    <x v="41"/>
    <x v="2"/>
    <x v="9"/>
    <s v="Lenovo 17-Key USB Numeric Keypad"/>
    <x v="2064"/>
    <n v="2"/>
    <n v="14.96"/>
    <x v="5"/>
    <x v="1"/>
  </r>
  <r>
    <n v="44725"/>
    <x v="302"/>
    <x v="4"/>
    <x v="0"/>
    <x v="0"/>
    <s v="Xerox 202"/>
    <x v="710"/>
    <n v="1"/>
    <n v="3.11"/>
    <x v="5"/>
    <x v="1"/>
  </r>
  <r>
    <n v="44725"/>
    <x v="658"/>
    <x v="10"/>
    <x v="0"/>
    <x v="4"/>
    <s v="Newell 320"/>
    <x v="132"/>
    <n v="1"/>
    <n v="0.3"/>
    <x v="5"/>
    <x v="1"/>
  </r>
  <r>
    <n v="44726"/>
    <x v="525"/>
    <x v="2"/>
    <x v="1"/>
    <x v="8"/>
    <s v="Eldon Expressions Punched Metal &amp; Wood Desk Accessories, Pewter &amp; Cherry"/>
    <x v="2065"/>
    <n v="6"/>
    <n v="5.1100000000000003"/>
    <x v="5"/>
    <x v="1"/>
  </r>
  <r>
    <n v="44727"/>
    <x v="184"/>
    <x v="12"/>
    <x v="0"/>
    <x v="0"/>
    <s v="Xerox 1895"/>
    <x v="1571"/>
    <n v="2"/>
    <n v="2.99"/>
    <x v="5"/>
    <x v="1"/>
  </r>
  <r>
    <n v="44727"/>
    <x v="184"/>
    <x v="12"/>
    <x v="0"/>
    <x v="2"/>
    <s v="Belkin 19&quot; Vented Equipment Shelf, Black"/>
    <x v="2066"/>
    <n v="2"/>
    <n v="-19.559999999999999"/>
    <x v="5"/>
    <x v="1"/>
  </r>
  <r>
    <n v="44727"/>
    <x v="184"/>
    <x v="12"/>
    <x v="1"/>
    <x v="8"/>
    <s v="Eldon &quot;L&quot; Workstation Diamond Chairmat"/>
    <x v="2067"/>
    <n v="6"/>
    <n v="-36.47"/>
    <x v="5"/>
    <x v="1"/>
  </r>
  <r>
    <n v="44727"/>
    <x v="184"/>
    <x v="12"/>
    <x v="1"/>
    <x v="8"/>
    <s v="DAX Copper Panel Document Frame, 5 x 7 Size"/>
    <x v="2068"/>
    <n v="4"/>
    <n v="11.07"/>
    <x v="5"/>
    <x v="1"/>
  </r>
  <r>
    <n v="44727"/>
    <x v="482"/>
    <x v="16"/>
    <x v="2"/>
    <x v="9"/>
    <s v="Belkin Standard 104 key USB Keyboard"/>
    <x v="2069"/>
    <n v="1"/>
    <n v="-0.73"/>
    <x v="5"/>
    <x v="1"/>
  </r>
  <r>
    <n v="44727"/>
    <x v="271"/>
    <x v="3"/>
    <x v="2"/>
    <x v="6"/>
    <s v="Jabra SPEAK 410"/>
    <x v="2070"/>
    <n v="3"/>
    <n v="22.56"/>
    <x v="5"/>
    <x v="1"/>
  </r>
  <r>
    <n v="44728"/>
    <x v="300"/>
    <x v="2"/>
    <x v="0"/>
    <x v="10"/>
    <s v="Peel &amp; Seel Envelopes"/>
    <x v="2071"/>
    <n v="2"/>
    <n v="2.17"/>
    <x v="5"/>
    <x v="1"/>
  </r>
  <r>
    <n v="44728"/>
    <x v="3"/>
    <x v="0"/>
    <x v="0"/>
    <x v="10"/>
    <s v="Staple envelope"/>
    <x v="2072"/>
    <n v="3"/>
    <n v="9.34"/>
    <x v="5"/>
    <x v="1"/>
  </r>
  <r>
    <n v="44728"/>
    <x v="3"/>
    <x v="0"/>
    <x v="0"/>
    <x v="0"/>
    <s v="Xerox 188"/>
    <x v="2073"/>
    <n v="3"/>
    <n v="9.8699999999999992"/>
    <x v="5"/>
    <x v="1"/>
  </r>
  <r>
    <n v="44728"/>
    <x v="3"/>
    <x v="0"/>
    <x v="1"/>
    <x v="5"/>
    <s v="Office Star - Contemporary Swivel Chair with Padded Adjustable Arms and Flex Back"/>
    <x v="2074"/>
    <n v="2"/>
    <n v="-25.38"/>
    <x v="5"/>
    <x v="1"/>
  </r>
  <r>
    <n v="44728"/>
    <x v="164"/>
    <x v="20"/>
    <x v="0"/>
    <x v="3"/>
    <s v="Fellowes PB500 Electric Punch Plastic Comb Binding Machine with Manual Bind"/>
    <x v="2075"/>
    <n v="3"/>
    <n v="1143.8900000000001"/>
    <x v="5"/>
    <x v="1"/>
  </r>
  <r>
    <n v="44728"/>
    <x v="164"/>
    <x v="20"/>
    <x v="2"/>
    <x v="6"/>
    <s v="RCA Visys Integrated PBX 8-Line Router"/>
    <x v="2076"/>
    <n v="2"/>
    <n v="33.5"/>
    <x v="5"/>
    <x v="1"/>
  </r>
  <r>
    <n v="44730"/>
    <x v="659"/>
    <x v="12"/>
    <x v="0"/>
    <x v="0"/>
    <s v="Xerox 1922"/>
    <x v="1177"/>
    <n v="3"/>
    <n v="4.33"/>
    <x v="5"/>
    <x v="1"/>
  </r>
  <r>
    <n v="44730"/>
    <x v="659"/>
    <x v="12"/>
    <x v="0"/>
    <x v="3"/>
    <s v="Peel &amp; Stick Add-On Corner Pockets"/>
    <x v="2077"/>
    <n v="7"/>
    <n v="-3.33"/>
    <x v="5"/>
    <x v="1"/>
  </r>
  <r>
    <n v="44730"/>
    <x v="659"/>
    <x v="12"/>
    <x v="0"/>
    <x v="3"/>
    <s v="Aluminum Screw Posts"/>
    <x v="1816"/>
    <n v="2"/>
    <n v="-6.1"/>
    <x v="5"/>
    <x v="1"/>
  </r>
  <r>
    <n v="44730"/>
    <x v="659"/>
    <x v="12"/>
    <x v="1"/>
    <x v="8"/>
    <s v="Flat Face Poster Frame"/>
    <x v="2078"/>
    <n v="5"/>
    <n v="20.72"/>
    <x v="5"/>
    <x v="1"/>
  </r>
  <r>
    <n v="44730"/>
    <x v="100"/>
    <x v="3"/>
    <x v="0"/>
    <x v="4"/>
    <s v="BOSTON Ranger #55 Pencil Sharpener, Black"/>
    <x v="2079"/>
    <n v="2"/>
    <n v="15.07"/>
    <x v="5"/>
    <x v="1"/>
  </r>
  <r>
    <n v="44730"/>
    <x v="535"/>
    <x v="16"/>
    <x v="0"/>
    <x v="4"/>
    <s v="Dixon Prang Watercolor Pencils, 10-Color Set with Brush"/>
    <x v="2080"/>
    <n v="4"/>
    <n v="3.58"/>
    <x v="5"/>
    <x v="1"/>
  </r>
  <r>
    <n v="44730"/>
    <x v="625"/>
    <x v="15"/>
    <x v="0"/>
    <x v="3"/>
    <s v="Avery Self-Adhesive Photo Pockets for Polaroid Photos"/>
    <x v="2081"/>
    <n v="3"/>
    <n v="-4.49"/>
    <x v="5"/>
    <x v="1"/>
  </r>
  <r>
    <n v="44730"/>
    <x v="625"/>
    <x v="15"/>
    <x v="1"/>
    <x v="5"/>
    <s v="Global Leather Highback Executive Chair with Pneumatic Height Adjustment, Black"/>
    <x v="2082"/>
    <n v="4"/>
    <n v="56.27"/>
    <x v="5"/>
    <x v="1"/>
  </r>
  <r>
    <n v="44730"/>
    <x v="625"/>
    <x v="15"/>
    <x v="0"/>
    <x v="0"/>
    <s v="Xerox 21"/>
    <x v="1315"/>
    <n v="4"/>
    <n v="7.26"/>
    <x v="5"/>
    <x v="1"/>
  </r>
  <r>
    <n v="44730"/>
    <x v="348"/>
    <x v="6"/>
    <x v="1"/>
    <x v="8"/>
    <s v="Seth Thomas 8 1/2&quot; Cubicle Clock"/>
    <x v="2083"/>
    <n v="3"/>
    <n v="19.47"/>
    <x v="5"/>
    <x v="1"/>
  </r>
  <r>
    <n v="44730"/>
    <x v="348"/>
    <x v="6"/>
    <x v="0"/>
    <x v="2"/>
    <s v="Tennsco Double-Tier Lockers"/>
    <x v="2084"/>
    <n v="2"/>
    <n v="58.51"/>
    <x v="5"/>
    <x v="1"/>
  </r>
  <r>
    <n v="44730"/>
    <x v="348"/>
    <x v="6"/>
    <x v="0"/>
    <x v="3"/>
    <s v="Wilson Jones International Size A4 Ring Binders"/>
    <x v="2085"/>
    <n v="2"/>
    <n v="16.61"/>
    <x v="5"/>
    <x v="1"/>
  </r>
  <r>
    <n v="44730"/>
    <x v="348"/>
    <x v="6"/>
    <x v="2"/>
    <x v="6"/>
    <s v="Cisco SPA301"/>
    <x v="2086"/>
    <n v="3"/>
    <n v="140.38999999999999"/>
    <x v="5"/>
    <x v="1"/>
  </r>
  <r>
    <n v="44730"/>
    <x v="348"/>
    <x v="6"/>
    <x v="0"/>
    <x v="3"/>
    <s v="JM Magazine Binder"/>
    <x v="2087"/>
    <n v="2"/>
    <n v="15.85"/>
    <x v="5"/>
    <x v="1"/>
  </r>
  <r>
    <n v="44731"/>
    <x v="564"/>
    <x v="3"/>
    <x v="1"/>
    <x v="8"/>
    <s v="Eldon 200 Class Desk Accessories"/>
    <x v="2088"/>
    <n v="2"/>
    <n v="4.0199999999999996"/>
    <x v="5"/>
    <x v="1"/>
  </r>
  <r>
    <n v="44731"/>
    <x v="564"/>
    <x v="3"/>
    <x v="0"/>
    <x v="0"/>
    <s v="Xerox 231"/>
    <x v="710"/>
    <n v="1"/>
    <n v="3.11"/>
    <x v="5"/>
    <x v="1"/>
  </r>
  <r>
    <n v="44731"/>
    <x v="564"/>
    <x v="3"/>
    <x v="0"/>
    <x v="10"/>
    <s v="Cameo Buff Policy Envelopes"/>
    <x v="1989"/>
    <n v="3"/>
    <n v="87.74"/>
    <x v="5"/>
    <x v="1"/>
  </r>
  <r>
    <n v="44731"/>
    <x v="5"/>
    <x v="0"/>
    <x v="0"/>
    <x v="3"/>
    <s v="GBC White Gloss Covers, Plain Front"/>
    <x v="2089"/>
    <n v="2"/>
    <n v="-9.56"/>
    <x v="5"/>
    <x v="1"/>
  </r>
  <r>
    <n v="44731"/>
    <x v="307"/>
    <x v="0"/>
    <x v="0"/>
    <x v="2"/>
    <s v="Recycled Steel Personal File for Hanging File Folders"/>
    <x v="2090"/>
    <n v="5"/>
    <n v="14.31"/>
    <x v="5"/>
    <x v="1"/>
  </r>
  <r>
    <n v="44731"/>
    <x v="367"/>
    <x v="2"/>
    <x v="0"/>
    <x v="1"/>
    <s v="Self-Adhesive Address Labels for Typewriters with Dispenser Box"/>
    <x v="1408"/>
    <n v="2"/>
    <n v="1.99"/>
    <x v="5"/>
    <x v="1"/>
  </r>
  <r>
    <n v="44732"/>
    <x v="660"/>
    <x v="3"/>
    <x v="1"/>
    <x v="8"/>
    <s v="Howard Miller 13&quot; Diameter Pewter Finish Round Wall Clock"/>
    <x v="2091"/>
    <n v="6"/>
    <n v="100.48"/>
    <x v="5"/>
    <x v="1"/>
  </r>
  <r>
    <n v="44732"/>
    <x v="660"/>
    <x v="3"/>
    <x v="2"/>
    <x v="6"/>
    <s v="netTALK DUO VoIP Telephone Service"/>
    <x v="2092"/>
    <n v="3"/>
    <n v="47.24"/>
    <x v="5"/>
    <x v="1"/>
  </r>
  <r>
    <n v="44732"/>
    <x v="176"/>
    <x v="26"/>
    <x v="2"/>
    <x v="6"/>
    <s v="Griffin GC36547 PowerJolt SE Lightning Charger"/>
    <x v="2093"/>
    <n v="7"/>
    <n v="15.74"/>
    <x v="5"/>
    <x v="1"/>
  </r>
  <r>
    <n v="44732"/>
    <x v="288"/>
    <x v="2"/>
    <x v="2"/>
    <x v="9"/>
    <s v="Razer Tiamat Over Ear 7.1 Surround Sound PC Gaming Headset"/>
    <x v="2094"/>
    <n v="2"/>
    <n v="92"/>
    <x v="5"/>
    <x v="1"/>
  </r>
  <r>
    <n v="44733"/>
    <x v="287"/>
    <x v="16"/>
    <x v="2"/>
    <x v="6"/>
    <s v="Innergie mMini Combo Duo USB Travel Charging Kit"/>
    <x v="1693"/>
    <n v="3"/>
    <n v="37.79"/>
    <x v="5"/>
    <x v="1"/>
  </r>
  <r>
    <n v="44734"/>
    <x v="318"/>
    <x v="27"/>
    <x v="0"/>
    <x v="7"/>
    <s v="OIC Binder Clips, Mini, 1/4&quot; Capacity, Black"/>
    <x v="2095"/>
    <n v="4"/>
    <n v="2.33"/>
    <x v="5"/>
    <x v="1"/>
  </r>
  <r>
    <n v="44734"/>
    <x v="53"/>
    <x v="1"/>
    <x v="1"/>
    <x v="13"/>
    <s v="Hon Rectangular Conference Tables"/>
    <x v="2096"/>
    <n v="7"/>
    <n v="-525.64"/>
    <x v="5"/>
    <x v="1"/>
  </r>
  <r>
    <n v="44734"/>
    <x v="661"/>
    <x v="20"/>
    <x v="0"/>
    <x v="3"/>
    <s v="GBC Ibimaster 500 Manual ProClick Binding System"/>
    <x v="2097"/>
    <n v="2"/>
    <n v="456.59"/>
    <x v="5"/>
    <x v="1"/>
  </r>
  <r>
    <n v="44735"/>
    <x v="247"/>
    <x v="22"/>
    <x v="2"/>
    <x v="6"/>
    <s v="Pyle PRT45 Retro HomeÂ Telephone"/>
    <x v="2098"/>
    <n v="4"/>
    <n v="22.68"/>
    <x v="5"/>
    <x v="1"/>
  </r>
  <r>
    <n v="44735"/>
    <x v="349"/>
    <x v="3"/>
    <x v="2"/>
    <x v="6"/>
    <s v="Plantronics CS 50-USB -Â headsetÂ - Convertible, Monaural"/>
    <x v="1619"/>
    <n v="2"/>
    <n v="19.04"/>
    <x v="5"/>
    <x v="1"/>
  </r>
  <r>
    <n v="44735"/>
    <x v="349"/>
    <x v="3"/>
    <x v="0"/>
    <x v="7"/>
    <s v="Assorted Color Push Pins"/>
    <x v="2099"/>
    <n v="3"/>
    <n v="1.79"/>
    <x v="5"/>
    <x v="1"/>
  </r>
  <r>
    <n v="44735"/>
    <x v="349"/>
    <x v="3"/>
    <x v="2"/>
    <x v="6"/>
    <s v="JBL Micro Wireless Portable Bluetooth Speaker"/>
    <x v="902"/>
    <n v="3"/>
    <n v="9"/>
    <x v="5"/>
    <x v="1"/>
  </r>
  <r>
    <n v="44735"/>
    <x v="211"/>
    <x v="4"/>
    <x v="1"/>
    <x v="8"/>
    <s v="Eldon Stackable Tray, Side-Load, Legal, Smoke"/>
    <x v="2100"/>
    <n v="3"/>
    <n v="9.32"/>
    <x v="5"/>
    <x v="1"/>
  </r>
  <r>
    <n v="44735"/>
    <x v="211"/>
    <x v="4"/>
    <x v="0"/>
    <x v="3"/>
    <s v="GBC DocuBind P100 Manual Binding Machine"/>
    <x v="2101"/>
    <n v="1"/>
    <n v="74.69"/>
    <x v="5"/>
    <x v="1"/>
  </r>
  <r>
    <n v="44735"/>
    <x v="211"/>
    <x v="4"/>
    <x v="2"/>
    <x v="9"/>
    <s v="Dell Slim USB Multimedia Keyboard"/>
    <x v="2102"/>
    <n v="3"/>
    <n v="18"/>
    <x v="5"/>
    <x v="1"/>
  </r>
  <r>
    <n v="44737"/>
    <x v="662"/>
    <x v="2"/>
    <x v="0"/>
    <x v="0"/>
    <s v="Xerox 211"/>
    <x v="792"/>
    <n v="6"/>
    <n v="10.89"/>
    <x v="5"/>
    <x v="1"/>
  </r>
  <r>
    <n v="44737"/>
    <x v="662"/>
    <x v="2"/>
    <x v="0"/>
    <x v="2"/>
    <s v="Tennsco Industrial Shelving"/>
    <x v="2103"/>
    <n v="2"/>
    <n v="-17.61"/>
    <x v="5"/>
    <x v="1"/>
  </r>
  <r>
    <n v="44737"/>
    <x v="453"/>
    <x v="3"/>
    <x v="1"/>
    <x v="8"/>
    <s v="Dana Halogen Swing-Arm Architect Lamp"/>
    <x v="2104"/>
    <n v="5"/>
    <n v="57.36"/>
    <x v="5"/>
    <x v="1"/>
  </r>
  <r>
    <n v="44737"/>
    <x v="513"/>
    <x v="3"/>
    <x v="0"/>
    <x v="4"/>
    <s v="Staples in misc. colors"/>
    <x v="2105"/>
    <n v="2"/>
    <n v="5.24"/>
    <x v="5"/>
    <x v="1"/>
  </r>
  <r>
    <n v="44737"/>
    <x v="513"/>
    <x v="3"/>
    <x v="0"/>
    <x v="3"/>
    <s v="GBC Velobind Prepunched Cover Sets, Regency Series"/>
    <x v="1935"/>
    <n v="3"/>
    <n v="27.74"/>
    <x v="5"/>
    <x v="1"/>
  </r>
  <r>
    <n v="44737"/>
    <x v="513"/>
    <x v="3"/>
    <x v="0"/>
    <x v="2"/>
    <s v="Tennsco Regal Shelving Units"/>
    <x v="2106"/>
    <n v="3"/>
    <n v="9.1300000000000008"/>
    <x v="5"/>
    <x v="1"/>
  </r>
  <r>
    <n v="44737"/>
    <x v="20"/>
    <x v="0"/>
    <x v="0"/>
    <x v="0"/>
    <s v="Xerox 1884"/>
    <x v="1839"/>
    <n v="3"/>
    <n v="16.18"/>
    <x v="5"/>
    <x v="1"/>
  </r>
  <r>
    <n v="44737"/>
    <x v="20"/>
    <x v="0"/>
    <x v="0"/>
    <x v="3"/>
    <s v="Avery Triangle Shaped Sheet Lifters, Black, 2/Pack"/>
    <x v="2107"/>
    <n v="2"/>
    <n v="-1.48"/>
    <x v="5"/>
    <x v="1"/>
  </r>
  <r>
    <n v="44737"/>
    <x v="20"/>
    <x v="0"/>
    <x v="1"/>
    <x v="8"/>
    <s v="GE General Use Halogen Bulbs, 100 Watts, 1 Bulb per Pack"/>
    <x v="2108"/>
    <n v="9"/>
    <n v="-20.73"/>
    <x v="5"/>
    <x v="1"/>
  </r>
  <r>
    <n v="44737"/>
    <x v="20"/>
    <x v="0"/>
    <x v="0"/>
    <x v="1"/>
    <s v="Avery File Folder Labels"/>
    <x v="1012"/>
    <n v="2"/>
    <n v="1.67"/>
    <x v="5"/>
    <x v="1"/>
  </r>
  <r>
    <n v="44738"/>
    <x v="174"/>
    <x v="14"/>
    <x v="2"/>
    <x v="9"/>
    <s v="Sony 32GB Class 10 Micro SDHC R40 Memory Card"/>
    <x v="634"/>
    <n v="2"/>
    <n v="8.8000000000000007"/>
    <x v="5"/>
    <x v="1"/>
  </r>
  <r>
    <n v="44738"/>
    <x v="52"/>
    <x v="6"/>
    <x v="0"/>
    <x v="3"/>
    <s v="GBC VeloBinder Manual Binding System"/>
    <x v="2109"/>
    <n v="4"/>
    <n v="69.099999999999994"/>
    <x v="5"/>
    <x v="1"/>
  </r>
  <r>
    <n v="44738"/>
    <x v="52"/>
    <x v="6"/>
    <x v="0"/>
    <x v="2"/>
    <s v="Decoflex Hanging Personal Folder File, Blue"/>
    <x v="2110"/>
    <n v="1"/>
    <n v="4.16"/>
    <x v="5"/>
    <x v="1"/>
  </r>
  <r>
    <n v="44738"/>
    <x v="52"/>
    <x v="6"/>
    <x v="0"/>
    <x v="3"/>
    <s v="Acco PRESSTEX Data Binder with Storage Hooks, Dark Blue, 9 1/2&quot; X 11&quot;"/>
    <x v="2111"/>
    <n v="8"/>
    <n v="21.09"/>
    <x v="5"/>
    <x v="1"/>
  </r>
  <r>
    <n v="44738"/>
    <x v="52"/>
    <x v="6"/>
    <x v="1"/>
    <x v="5"/>
    <s v="Office Star - Contemporary Task Swivel Chair"/>
    <x v="100"/>
    <n v="3"/>
    <n v="79.91"/>
    <x v="5"/>
    <x v="1"/>
  </r>
  <r>
    <n v="44738"/>
    <x v="329"/>
    <x v="0"/>
    <x v="2"/>
    <x v="6"/>
    <s v="Polycom SoundStation2 EX ConferenceÂ phone"/>
    <x v="2112"/>
    <n v="3"/>
    <n v="109.34"/>
    <x v="5"/>
    <x v="1"/>
  </r>
  <r>
    <n v="44738"/>
    <x v="524"/>
    <x v="10"/>
    <x v="0"/>
    <x v="0"/>
    <s v="Universal Premium White Copier/Laser Paper (20Lb. and 87 Bright)"/>
    <x v="2113"/>
    <n v="9"/>
    <n v="15.61"/>
    <x v="5"/>
    <x v="1"/>
  </r>
  <r>
    <n v="44740"/>
    <x v="563"/>
    <x v="12"/>
    <x v="0"/>
    <x v="1"/>
    <s v="Avery 501"/>
    <x v="1408"/>
    <n v="2"/>
    <n v="1.99"/>
    <x v="5"/>
    <x v="1"/>
  </r>
  <r>
    <n v="44740"/>
    <x v="563"/>
    <x v="12"/>
    <x v="1"/>
    <x v="8"/>
    <s v="Electrix Halogen Magnifier Lamp"/>
    <x v="2114"/>
    <n v="4"/>
    <n v="46.63"/>
    <x v="5"/>
    <x v="1"/>
  </r>
  <r>
    <n v="44740"/>
    <x v="360"/>
    <x v="10"/>
    <x v="0"/>
    <x v="0"/>
    <s v="Xerox 1999"/>
    <x v="143"/>
    <n v="3"/>
    <n v="5.44"/>
    <x v="5"/>
    <x v="1"/>
  </r>
  <r>
    <n v="44740"/>
    <x v="360"/>
    <x v="10"/>
    <x v="1"/>
    <x v="11"/>
    <s v="Sauder Forest Hills Library with Doors, Woodland Oak Finish"/>
    <x v="2115"/>
    <n v="6"/>
    <n v="-376.69"/>
    <x v="5"/>
    <x v="1"/>
  </r>
  <r>
    <n v="44740"/>
    <x v="114"/>
    <x v="4"/>
    <x v="0"/>
    <x v="3"/>
    <s v="GBC Recycled Regency Composition Covers"/>
    <x v="2116"/>
    <n v="2"/>
    <n v="55"/>
    <x v="5"/>
    <x v="1"/>
  </r>
  <r>
    <n v="44740"/>
    <x v="114"/>
    <x v="4"/>
    <x v="0"/>
    <x v="4"/>
    <s v="Boston Model 1800 Electric Pencil Sharpener, Gray"/>
    <x v="2117"/>
    <n v="5"/>
    <n v="42.23"/>
    <x v="5"/>
    <x v="1"/>
  </r>
  <r>
    <n v="44741"/>
    <x v="236"/>
    <x v="2"/>
    <x v="1"/>
    <x v="8"/>
    <s v="Eldon Executive Woodline II Desk Accessories, Mahogany"/>
    <x v="2118"/>
    <n v="1"/>
    <n v="1.76"/>
    <x v="5"/>
    <x v="1"/>
  </r>
  <r>
    <n v="44741"/>
    <x v="147"/>
    <x v="20"/>
    <x v="0"/>
    <x v="0"/>
    <s v="Ampad Phone Message Book, Recycled, 400 Message Capacity, 5 Â¾Â” x 11Â”"/>
    <x v="2119"/>
    <n v="4"/>
    <n v="11.23"/>
    <x v="5"/>
    <x v="1"/>
  </r>
  <r>
    <n v="44741"/>
    <x v="320"/>
    <x v="20"/>
    <x v="1"/>
    <x v="5"/>
    <s v="Office Star - Mesh Screen back chair with Vinyl seat"/>
    <x v="2120"/>
    <n v="1"/>
    <n v="1.31"/>
    <x v="5"/>
    <x v="1"/>
  </r>
  <r>
    <n v="44741"/>
    <x v="82"/>
    <x v="40"/>
    <x v="2"/>
    <x v="6"/>
    <s v="Cisco 8x8 Inc. 6753i IP Business Phone System"/>
    <x v="2121"/>
    <n v="2"/>
    <n v="72.89"/>
    <x v="5"/>
    <x v="1"/>
  </r>
  <r>
    <n v="44744"/>
    <x v="77"/>
    <x v="0"/>
    <x v="0"/>
    <x v="12"/>
    <s v="Belkin 8 Outlet Surge Protector"/>
    <x v="2122"/>
    <n v="4"/>
    <n v="-85.24"/>
    <x v="6"/>
    <x v="1"/>
  </r>
  <r>
    <n v="44744"/>
    <x v="663"/>
    <x v="1"/>
    <x v="1"/>
    <x v="5"/>
    <s v="Hon 4070 Series Pagoda Armless Upholstered Stacking Chairs"/>
    <x v="1915"/>
    <n v="2"/>
    <n v="-5.83"/>
    <x v="6"/>
    <x v="1"/>
  </r>
  <r>
    <n v="44744"/>
    <x v="663"/>
    <x v="1"/>
    <x v="1"/>
    <x v="5"/>
    <s v="Global Wood Trimmed Manager's Task Chair, Khaki"/>
    <x v="2123"/>
    <n v="6"/>
    <n v="-92.8"/>
    <x v="6"/>
    <x v="1"/>
  </r>
  <r>
    <n v="44744"/>
    <x v="663"/>
    <x v="1"/>
    <x v="0"/>
    <x v="2"/>
    <s v="Advantus Rolling Storage Box"/>
    <x v="2124"/>
    <n v="5"/>
    <n v="6"/>
    <x v="6"/>
    <x v="1"/>
  </r>
  <r>
    <n v="44744"/>
    <x v="663"/>
    <x v="1"/>
    <x v="0"/>
    <x v="2"/>
    <s v="Adjustable Depth Letter/Legal Cart"/>
    <x v="2125"/>
    <n v="3"/>
    <n v="48.99"/>
    <x v="6"/>
    <x v="1"/>
  </r>
  <r>
    <n v="44744"/>
    <x v="663"/>
    <x v="1"/>
    <x v="0"/>
    <x v="0"/>
    <s v="Adams Phone Message Book, Professional, 400 Message Capacity, 5 3/6Â” x 11Â”"/>
    <x v="2126"/>
    <n v="2"/>
    <n v="3.77"/>
    <x v="6"/>
    <x v="1"/>
  </r>
  <r>
    <n v="44744"/>
    <x v="366"/>
    <x v="16"/>
    <x v="0"/>
    <x v="0"/>
    <s v="Easy-staple paper"/>
    <x v="1177"/>
    <n v="3"/>
    <n v="4.03"/>
    <x v="6"/>
    <x v="1"/>
  </r>
  <r>
    <n v="44744"/>
    <x v="366"/>
    <x v="16"/>
    <x v="0"/>
    <x v="0"/>
    <s v="Xerox 1957"/>
    <x v="143"/>
    <n v="3"/>
    <n v="5.64"/>
    <x v="6"/>
    <x v="1"/>
  </r>
  <r>
    <n v="44744"/>
    <x v="50"/>
    <x v="20"/>
    <x v="0"/>
    <x v="0"/>
    <s v="Xerox 209"/>
    <x v="5"/>
    <n v="3"/>
    <n v="9.33"/>
    <x v="6"/>
    <x v="1"/>
  </r>
  <r>
    <n v="44744"/>
    <x v="410"/>
    <x v="25"/>
    <x v="2"/>
    <x v="6"/>
    <s v="Geemarc AmpliPOWER60"/>
    <x v="2127"/>
    <n v="1"/>
    <n v="8.35"/>
    <x v="6"/>
    <x v="1"/>
  </r>
  <r>
    <n v="44744"/>
    <x v="410"/>
    <x v="25"/>
    <x v="1"/>
    <x v="8"/>
    <s v="24-Hour Round Wall Clock"/>
    <x v="2128"/>
    <n v="10"/>
    <n v="45.95"/>
    <x v="6"/>
    <x v="1"/>
  </r>
  <r>
    <n v="44744"/>
    <x v="410"/>
    <x v="25"/>
    <x v="0"/>
    <x v="3"/>
    <s v="Wilson Jones Turn Tabs Binder Tool for Ring Binders"/>
    <x v="18"/>
    <n v="2"/>
    <n v="-2.31"/>
    <x v="6"/>
    <x v="1"/>
  </r>
  <r>
    <n v="44744"/>
    <x v="410"/>
    <x v="25"/>
    <x v="0"/>
    <x v="0"/>
    <s v="Things To Do Today Pad"/>
    <x v="2129"/>
    <n v="2"/>
    <n v="3.29"/>
    <x v="6"/>
    <x v="1"/>
  </r>
  <r>
    <n v="44745"/>
    <x v="664"/>
    <x v="5"/>
    <x v="1"/>
    <x v="5"/>
    <s v="Novimex High-Tech Fabric Mesh Task Chair"/>
    <x v="2130"/>
    <n v="1"/>
    <n v="4.97"/>
    <x v="6"/>
    <x v="1"/>
  </r>
  <r>
    <n v="44745"/>
    <x v="664"/>
    <x v="5"/>
    <x v="0"/>
    <x v="1"/>
    <s v="Dot Matrix Printer Tape Reel Labels, White, 5000/Box"/>
    <x v="2131"/>
    <n v="3"/>
    <n v="144.52000000000001"/>
    <x v="6"/>
    <x v="1"/>
  </r>
  <r>
    <n v="44745"/>
    <x v="486"/>
    <x v="2"/>
    <x v="1"/>
    <x v="8"/>
    <s v="Eldon Antistatic Chair Mats for Low to Medium Pile Carpets"/>
    <x v="2132"/>
    <n v="2"/>
    <n v="-29.48"/>
    <x v="6"/>
    <x v="1"/>
  </r>
  <r>
    <n v="44745"/>
    <x v="486"/>
    <x v="2"/>
    <x v="0"/>
    <x v="0"/>
    <s v="Important Message Pads, 50 4-1/4 x 5-1/2 Forms per Pad"/>
    <x v="1237"/>
    <n v="2"/>
    <n v="2.44"/>
    <x v="6"/>
    <x v="1"/>
  </r>
  <r>
    <n v="44745"/>
    <x v="486"/>
    <x v="2"/>
    <x v="1"/>
    <x v="8"/>
    <s v="Howard Miller 12&quot; Round Wall Clock"/>
    <x v="2133"/>
    <n v="9"/>
    <n v="56.58"/>
    <x v="6"/>
    <x v="1"/>
  </r>
  <r>
    <n v="44746"/>
    <x v="576"/>
    <x v="21"/>
    <x v="2"/>
    <x v="6"/>
    <s v="Mitel MiVoice 5330e IP Phone"/>
    <x v="2134"/>
    <n v="4"/>
    <n v="285.99"/>
    <x v="6"/>
    <x v="1"/>
  </r>
  <r>
    <n v="44746"/>
    <x v="525"/>
    <x v="20"/>
    <x v="0"/>
    <x v="4"/>
    <s v="Colorific Watercolor Pencils"/>
    <x v="2135"/>
    <n v="3"/>
    <n v="4.49"/>
    <x v="6"/>
    <x v="1"/>
  </r>
  <r>
    <n v="44746"/>
    <x v="425"/>
    <x v="3"/>
    <x v="0"/>
    <x v="3"/>
    <s v="Avery Premier Heavy-Duty Binder with Round Locking Rings"/>
    <x v="2136"/>
    <n v="2"/>
    <n v="7.43"/>
    <x v="6"/>
    <x v="1"/>
  </r>
  <r>
    <n v="44747"/>
    <x v="302"/>
    <x v="25"/>
    <x v="1"/>
    <x v="8"/>
    <s v="Stackable Trays"/>
    <x v="1086"/>
    <n v="2"/>
    <n v="0.74"/>
    <x v="6"/>
    <x v="1"/>
  </r>
  <r>
    <n v="44747"/>
    <x v="302"/>
    <x v="25"/>
    <x v="0"/>
    <x v="3"/>
    <s v="Wilson Jones Turn Tabs Binder Tool for Ring Binders"/>
    <x v="2137"/>
    <n v="5"/>
    <n v="-5.78"/>
    <x v="6"/>
    <x v="1"/>
  </r>
  <r>
    <n v="44747"/>
    <x v="665"/>
    <x v="14"/>
    <x v="0"/>
    <x v="3"/>
    <s v="Durable Pressboard Binders"/>
    <x v="2138"/>
    <n v="5"/>
    <n v="8.93"/>
    <x v="6"/>
    <x v="1"/>
  </r>
  <r>
    <n v="44747"/>
    <x v="363"/>
    <x v="2"/>
    <x v="2"/>
    <x v="9"/>
    <s v="HP Standard 104 key PS/2 Keyboard"/>
    <x v="2139"/>
    <n v="3"/>
    <n v="2.1800000000000002"/>
    <x v="6"/>
    <x v="1"/>
  </r>
  <r>
    <n v="44747"/>
    <x v="363"/>
    <x v="2"/>
    <x v="0"/>
    <x v="2"/>
    <s v="Acco Perma 4000 Stacking Storage Drawers"/>
    <x v="1614"/>
    <n v="3"/>
    <n v="-2.44"/>
    <x v="6"/>
    <x v="1"/>
  </r>
  <r>
    <n v="44747"/>
    <x v="138"/>
    <x v="25"/>
    <x v="1"/>
    <x v="8"/>
    <s v="Stackable Trays"/>
    <x v="1086"/>
    <n v="2"/>
    <n v="0.74"/>
    <x v="6"/>
    <x v="1"/>
  </r>
  <r>
    <n v="44747"/>
    <x v="138"/>
    <x v="25"/>
    <x v="0"/>
    <x v="1"/>
    <s v="Avery 508"/>
    <x v="1"/>
    <n v="3"/>
    <n v="4.2699999999999996"/>
    <x v="6"/>
    <x v="1"/>
  </r>
  <r>
    <n v="44748"/>
    <x v="666"/>
    <x v="20"/>
    <x v="1"/>
    <x v="8"/>
    <s v="G.E. Halogen Desk Lamp Bulbs"/>
    <x v="517"/>
    <n v="2"/>
    <n v="6.7"/>
    <x v="6"/>
    <x v="1"/>
  </r>
  <r>
    <n v="44748"/>
    <x v="666"/>
    <x v="20"/>
    <x v="1"/>
    <x v="8"/>
    <s v="Howard Miller 11-1/2&quot; Diameter Ridgewood Wall Clock"/>
    <x v="2140"/>
    <n v="3"/>
    <n v="63.89"/>
    <x v="6"/>
    <x v="1"/>
  </r>
  <r>
    <n v="44748"/>
    <x v="666"/>
    <x v="20"/>
    <x v="2"/>
    <x v="6"/>
    <s v="OtterBox Commuter Series Case - Samsung Galaxy S4"/>
    <x v="2141"/>
    <n v="5"/>
    <n v="2.5"/>
    <x v="6"/>
    <x v="1"/>
  </r>
  <r>
    <n v="44748"/>
    <x v="666"/>
    <x v="20"/>
    <x v="0"/>
    <x v="2"/>
    <s v="Iceberg Mobile Mega Data/Printer Cart"/>
    <x v="2142"/>
    <n v="5"/>
    <n v="156.43"/>
    <x v="6"/>
    <x v="1"/>
  </r>
  <r>
    <n v="44748"/>
    <x v="367"/>
    <x v="32"/>
    <x v="1"/>
    <x v="11"/>
    <s v="Bush Mission Pointe Library"/>
    <x v="2143"/>
    <n v="2"/>
    <n v="60.39"/>
    <x v="6"/>
    <x v="1"/>
  </r>
  <r>
    <n v="44748"/>
    <x v="605"/>
    <x v="3"/>
    <x v="1"/>
    <x v="5"/>
    <s v="Novimex Turbo Task Chair"/>
    <x v="529"/>
    <n v="3"/>
    <n v="-17.04"/>
    <x v="6"/>
    <x v="1"/>
  </r>
  <r>
    <n v="44748"/>
    <x v="302"/>
    <x v="23"/>
    <x v="0"/>
    <x v="4"/>
    <s v="Newell 333"/>
    <x v="997"/>
    <n v="4"/>
    <n v="2.89"/>
    <x v="6"/>
    <x v="1"/>
  </r>
  <r>
    <n v="44750"/>
    <x v="406"/>
    <x v="0"/>
    <x v="0"/>
    <x v="0"/>
    <s v="Xerox 1990"/>
    <x v="1609"/>
    <n v="5"/>
    <n v="6.6"/>
    <x v="6"/>
    <x v="1"/>
  </r>
  <r>
    <n v="44751"/>
    <x v="595"/>
    <x v="32"/>
    <x v="0"/>
    <x v="0"/>
    <s v="Tops Wirebound Message Log Books"/>
    <x v="1369"/>
    <n v="2"/>
    <n v="3.03"/>
    <x v="6"/>
    <x v="1"/>
  </r>
  <r>
    <n v="44751"/>
    <x v="595"/>
    <x v="32"/>
    <x v="0"/>
    <x v="3"/>
    <s v="Wilson Jones Ledger-Size, Piano-Hinge Binder, 2&quot;, Blue"/>
    <x v="224"/>
    <n v="3"/>
    <n v="59.01"/>
    <x v="6"/>
    <x v="1"/>
  </r>
  <r>
    <n v="44751"/>
    <x v="185"/>
    <x v="15"/>
    <x v="0"/>
    <x v="4"/>
    <s v="Binney &amp; Smith inkTank Desk Highlighter, Chisel Tip, Yellow, 12/Box"/>
    <x v="2144"/>
    <n v="3"/>
    <n v="0.84"/>
    <x v="6"/>
    <x v="1"/>
  </r>
  <r>
    <n v="44751"/>
    <x v="542"/>
    <x v="36"/>
    <x v="0"/>
    <x v="7"/>
    <s v="Advantus Map Pennant Flags and Round Head Tacks"/>
    <x v="2145"/>
    <n v="4"/>
    <n v="5.0599999999999996"/>
    <x v="6"/>
    <x v="1"/>
  </r>
  <r>
    <n v="44751"/>
    <x v="542"/>
    <x v="36"/>
    <x v="2"/>
    <x v="15"/>
    <s v="Fellowes Powershred HS-440 4-Sheet High Security Shredder"/>
    <x v="2146"/>
    <n v="3"/>
    <n v="209.24"/>
    <x v="6"/>
    <x v="1"/>
  </r>
  <r>
    <n v="44751"/>
    <x v="542"/>
    <x v="36"/>
    <x v="1"/>
    <x v="8"/>
    <s v="Eldon ClusterMat Chair Mat with Cordless Antistatic Protection"/>
    <x v="2147"/>
    <n v="2"/>
    <n v="20.02"/>
    <x v="6"/>
    <x v="1"/>
  </r>
  <r>
    <n v="44751"/>
    <x v="542"/>
    <x v="36"/>
    <x v="0"/>
    <x v="1"/>
    <s v="Avery 05222 Permanent Self-Adhesive File Folder Labels for Typewriters, on Rolls, White, 250/Roll"/>
    <x v="1192"/>
    <n v="3"/>
    <n v="5.7"/>
    <x v="6"/>
    <x v="1"/>
  </r>
  <r>
    <n v="44751"/>
    <x v="542"/>
    <x v="36"/>
    <x v="0"/>
    <x v="3"/>
    <s v="Performers Binder/Pad Holder, Black"/>
    <x v="2148"/>
    <n v="3"/>
    <n v="42.05"/>
    <x v="6"/>
    <x v="1"/>
  </r>
  <r>
    <n v="44751"/>
    <x v="542"/>
    <x v="36"/>
    <x v="0"/>
    <x v="4"/>
    <s v="Prismacolor Color Pencil Set"/>
    <x v="284"/>
    <n v="4"/>
    <n v="32.54"/>
    <x v="6"/>
    <x v="1"/>
  </r>
  <r>
    <n v="44751"/>
    <x v="542"/>
    <x v="36"/>
    <x v="0"/>
    <x v="3"/>
    <s v="GBC Recycled VeloBinder Covers"/>
    <x v="2149"/>
    <n v="9"/>
    <n v="70.55"/>
    <x v="6"/>
    <x v="1"/>
  </r>
  <r>
    <n v="44751"/>
    <x v="542"/>
    <x v="36"/>
    <x v="0"/>
    <x v="3"/>
    <s v="Wilson Jones Active Use Binders"/>
    <x v="1258"/>
    <n v="6"/>
    <n v="21.4"/>
    <x v="6"/>
    <x v="1"/>
  </r>
  <r>
    <n v="44751"/>
    <x v="542"/>
    <x v="36"/>
    <x v="0"/>
    <x v="2"/>
    <s v="Project Tote Personal File"/>
    <x v="2150"/>
    <n v="7"/>
    <n v="28.48"/>
    <x v="6"/>
    <x v="1"/>
  </r>
  <r>
    <n v="44751"/>
    <x v="550"/>
    <x v="2"/>
    <x v="2"/>
    <x v="6"/>
    <s v="Panasonic KX-TG9541B DECT 6.0 Digital 2-Line Expandable Cordless Phone With Digital Answering System"/>
    <x v="2121"/>
    <n v="3"/>
    <n v="40.5"/>
    <x v="6"/>
    <x v="1"/>
  </r>
  <r>
    <n v="44751"/>
    <x v="148"/>
    <x v="0"/>
    <x v="0"/>
    <x v="12"/>
    <s v="Acco 7-Outlet Masterpiece Power Center, Wihtout Fax/Phone Line Protection"/>
    <x v="2151"/>
    <n v="2"/>
    <n v="-121.58"/>
    <x v="6"/>
    <x v="1"/>
  </r>
  <r>
    <n v="44752"/>
    <x v="281"/>
    <x v="12"/>
    <x v="0"/>
    <x v="3"/>
    <s v="Accohide Poly Flexible Ring Binders"/>
    <x v="2152"/>
    <n v="3"/>
    <n v="-2.2400000000000002"/>
    <x v="6"/>
    <x v="1"/>
  </r>
  <r>
    <n v="44752"/>
    <x v="30"/>
    <x v="3"/>
    <x v="0"/>
    <x v="3"/>
    <s v="Large Capacity Hanging Post Binders"/>
    <x v="2153"/>
    <n v="2"/>
    <n v="12.97"/>
    <x v="6"/>
    <x v="1"/>
  </r>
  <r>
    <n v="44753"/>
    <x v="584"/>
    <x v="2"/>
    <x v="1"/>
    <x v="8"/>
    <s v="Howard Miller 13-3/4&quot; Diameter Brushed Chrome Round Wall Clock"/>
    <x v="2154"/>
    <n v="7"/>
    <n v="36.229999999999997"/>
    <x v="6"/>
    <x v="1"/>
  </r>
  <r>
    <n v="44753"/>
    <x v="584"/>
    <x v="2"/>
    <x v="0"/>
    <x v="3"/>
    <s v="Acco Suede Grain Vinyl Round Ring Binder"/>
    <x v="359"/>
    <n v="3"/>
    <n v="-2"/>
    <x v="6"/>
    <x v="1"/>
  </r>
  <r>
    <n v="44753"/>
    <x v="584"/>
    <x v="2"/>
    <x v="0"/>
    <x v="3"/>
    <s v="3M Organizer Strips"/>
    <x v="710"/>
    <n v="4"/>
    <n v="-4.75"/>
    <x v="6"/>
    <x v="1"/>
  </r>
  <r>
    <n v="44753"/>
    <x v="584"/>
    <x v="2"/>
    <x v="1"/>
    <x v="5"/>
    <s v="Novimex Fabric Task Chair"/>
    <x v="2155"/>
    <n v="8"/>
    <n v="-73.180000000000007"/>
    <x v="6"/>
    <x v="1"/>
  </r>
  <r>
    <n v="44753"/>
    <x v="584"/>
    <x v="2"/>
    <x v="0"/>
    <x v="4"/>
    <s v="Newell 333"/>
    <x v="997"/>
    <n v="5"/>
    <n v="0.83"/>
    <x v="6"/>
    <x v="1"/>
  </r>
  <r>
    <n v="44753"/>
    <x v="584"/>
    <x v="2"/>
    <x v="1"/>
    <x v="8"/>
    <s v="Master Big Foot Doorstop, Beige"/>
    <x v="2156"/>
    <n v="6"/>
    <n v="3.48"/>
    <x v="6"/>
    <x v="1"/>
  </r>
  <r>
    <n v="44753"/>
    <x v="59"/>
    <x v="22"/>
    <x v="0"/>
    <x v="0"/>
    <s v="Xerox 1896"/>
    <x v="2157"/>
    <n v="3"/>
    <n v="13.49"/>
    <x v="6"/>
    <x v="1"/>
  </r>
  <r>
    <n v="44753"/>
    <x v="59"/>
    <x v="22"/>
    <x v="0"/>
    <x v="3"/>
    <s v="Wilson Jones Ledger-Size, Piano-Hinge Binder, 2&quot;, Blue"/>
    <x v="1159"/>
    <n v="3"/>
    <n v="34.42"/>
    <x v="6"/>
    <x v="1"/>
  </r>
  <r>
    <n v="44753"/>
    <x v="477"/>
    <x v="7"/>
    <x v="1"/>
    <x v="13"/>
    <s v="Lesro Sheffield Collection Coffee Table, End Table, Center Table, Corner Table"/>
    <x v="2158"/>
    <n v="4"/>
    <n v="-37.11"/>
    <x v="6"/>
    <x v="1"/>
  </r>
  <r>
    <n v="44753"/>
    <x v="477"/>
    <x v="7"/>
    <x v="2"/>
    <x v="6"/>
    <s v="Wilson Electronics DB Pro Signal Booster"/>
    <x v="2159"/>
    <n v="2"/>
    <n v="193.32"/>
    <x v="6"/>
    <x v="1"/>
  </r>
  <r>
    <n v="44753"/>
    <x v="477"/>
    <x v="7"/>
    <x v="0"/>
    <x v="3"/>
    <s v="Tuf-Vin Binders"/>
    <x v="2160"/>
    <n v="7"/>
    <n v="103.9"/>
    <x v="6"/>
    <x v="1"/>
  </r>
  <r>
    <n v="44754"/>
    <x v="556"/>
    <x v="1"/>
    <x v="1"/>
    <x v="5"/>
    <s v="Global Push Button Manager's Chair, Indigo"/>
    <x v="1730"/>
    <n v="9"/>
    <n v="-5.48"/>
    <x v="6"/>
    <x v="1"/>
  </r>
  <r>
    <n v="44754"/>
    <x v="556"/>
    <x v="1"/>
    <x v="2"/>
    <x v="6"/>
    <s v="Geemarc AmpliPOWER60"/>
    <x v="1289"/>
    <n v="2"/>
    <n v="16.7"/>
    <x v="6"/>
    <x v="1"/>
  </r>
  <r>
    <n v="44754"/>
    <x v="556"/>
    <x v="1"/>
    <x v="2"/>
    <x v="6"/>
    <s v="Vtech CS6719"/>
    <x v="2161"/>
    <n v="7"/>
    <n v="53.75"/>
    <x v="6"/>
    <x v="1"/>
  </r>
  <r>
    <n v="44754"/>
    <x v="556"/>
    <x v="1"/>
    <x v="0"/>
    <x v="3"/>
    <s v="Tuff Stuff Recycled Round Ring Binders"/>
    <x v="2162"/>
    <n v="2"/>
    <n v="-2.99"/>
    <x v="6"/>
    <x v="1"/>
  </r>
  <r>
    <n v="44754"/>
    <x v="556"/>
    <x v="1"/>
    <x v="0"/>
    <x v="4"/>
    <s v="Newell 32"/>
    <x v="318"/>
    <n v="3"/>
    <n v="0.69"/>
    <x v="6"/>
    <x v="1"/>
  </r>
  <r>
    <n v="44754"/>
    <x v="556"/>
    <x v="1"/>
    <x v="1"/>
    <x v="8"/>
    <s v="Floodlight Indoor Halogen Bulbs, 1 Bulb per Pack, 60 Watts"/>
    <x v="2163"/>
    <n v="1"/>
    <n v="-2.13"/>
    <x v="6"/>
    <x v="1"/>
  </r>
  <r>
    <n v="44754"/>
    <x v="556"/>
    <x v="1"/>
    <x v="2"/>
    <x v="6"/>
    <s v="GE 2-Jack Phone Line Splitter"/>
    <x v="2164"/>
    <n v="4"/>
    <n v="49.44"/>
    <x v="6"/>
    <x v="1"/>
  </r>
  <r>
    <n v="44754"/>
    <x v="667"/>
    <x v="0"/>
    <x v="2"/>
    <x v="6"/>
    <s v="Vtech CS6719"/>
    <x v="2165"/>
    <n v="4"/>
    <n v="30.72"/>
    <x v="6"/>
    <x v="1"/>
  </r>
  <r>
    <n v="44755"/>
    <x v="11"/>
    <x v="20"/>
    <x v="0"/>
    <x v="3"/>
    <s v="GBC Plastic Binding Combs"/>
    <x v="211"/>
    <n v="2"/>
    <n v="4.28"/>
    <x v="6"/>
    <x v="1"/>
  </r>
  <r>
    <n v="44755"/>
    <x v="11"/>
    <x v="20"/>
    <x v="1"/>
    <x v="5"/>
    <s v="Safco Contoured Stacking Chairs"/>
    <x v="2166"/>
    <n v="9"/>
    <n v="321.83999999999997"/>
    <x v="6"/>
    <x v="1"/>
  </r>
  <r>
    <n v="44755"/>
    <x v="11"/>
    <x v="20"/>
    <x v="0"/>
    <x v="0"/>
    <s v="Easy-staple paper"/>
    <x v="967"/>
    <n v="2"/>
    <n v="4.68"/>
    <x v="6"/>
    <x v="1"/>
  </r>
  <r>
    <n v="44755"/>
    <x v="421"/>
    <x v="0"/>
    <x v="0"/>
    <x v="3"/>
    <s v="Wilson Jones Heavy-Duty Casebound Ring Binders with Metal Hinges"/>
    <x v="2014"/>
    <n v="6"/>
    <n v="-66.510000000000005"/>
    <x v="6"/>
    <x v="1"/>
  </r>
  <r>
    <n v="44755"/>
    <x v="37"/>
    <x v="4"/>
    <x v="0"/>
    <x v="0"/>
    <s v="Xerox 1931"/>
    <x v="2167"/>
    <n v="6"/>
    <n v="18.66"/>
    <x v="6"/>
    <x v="1"/>
  </r>
  <r>
    <n v="44756"/>
    <x v="614"/>
    <x v="12"/>
    <x v="0"/>
    <x v="2"/>
    <s v="SAFCO Boltless Steel Shelving"/>
    <x v="2"/>
    <n v="3"/>
    <n v="-64.77"/>
    <x v="6"/>
    <x v="1"/>
  </r>
  <r>
    <n v="44756"/>
    <x v="614"/>
    <x v="12"/>
    <x v="0"/>
    <x v="0"/>
    <s v="Xerox 1899"/>
    <x v="535"/>
    <n v="4"/>
    <n v="6.7"/>
    <x v="6"/>
    <x v="1"/>
  </r>
  <r>
    <n v="44756"/>
    <x v="614"/>
    <x v="12"/>
    <x v="1"/>
    <x v="5"/>
    <s v="SAFCO Arco Folding Chair"/>
    <x v="2168"/>
    <n v="2"/>
    <n v="49.72"/>
    <x v="6"/>
    <x v="1"/>
  </r>
  <r>
    <n v="44756"/>
    <x v="614"/>
    <x v="12"/>
    <x v="1"/>
    <x v="11"/>
    <s v="Hon Metal Bookcases, Black"/>
    <x v="1879"/>
    <n v="6"/>
    <n v="-191.65"/>
    <x v="6"/>
    <x v="1"/>
  </r>
  <r>
    <n v="44758"/>
    <x v="654"/>
    <x v="3"/>
    <x v="1"/>
    <x v="5"/>
    <s v="Hon 2090 Â“Pillow SoftÂ” Series Mid Back Swivel/Tilt Chairs"/>
    <x v="2169"/>
    <n v="6"/>
    <n v="-219.16"/>
    <x v="6"/>
    <x v="1"/>
  </r>
  <r>
    <n v="44758"/>
    <x v="654"/>
    <x v="3"/>
    <x v="1"/>
    <x v="5"/>
    <s v="Hon 4070 Series Pagoda Armless Upholstered Stacking Chairs"/>
    <x v="2170"/>
    <n v="3"/>
    <n v="78.77"/>
    <x v="6"/>
    <x v="1"/>
  </r>
  <r>
    <n v="44758"/>
    <x v="124"/>
    <x v="20"/>
    <x v="0"/>
    <x v="0"/>
    <s v="Petty Cash Envelope"/>
    <x v="2021"/>
    <n v="3"/>
    <n v="39.630000000000003"/>
    <x v="6"/>
    <x v="1"/>
  </r>
  <r>
    <n v="44758"/>
    <x v="124"/>
    <x v="20"/>
    <x v="2"/>
    <x v="9"/>
    <s v="Kensington Orbit Wireless Mobile Trackball for PC and Mac"/>
    <x v="2171"/>
    <n v="10"/>
    <n v="191.97"/>
    <x v="6"/>
    <x v="1"/>
  </r>
  <r>
    <n v="44758"/>
    <x v="588"/>
    <x v="36"/>
    <x v="1"/>
    <x v="5"/>
    <s v="Global Manager's Adjustable Task Chair, Storm"/>
    <x v="2172"/>
    <n v="1"/>
    <n v="43.78"/>
    <x v="6"/>
    <x v="1"/>
  </r>
  <r>
    <n v="44758"/>
    <x v="588"/>
    <x v="36"/>
    <x v="0"/>
    <x v="10"/>
    <s v="White Envelopes, White Envelopes with Clear Poly Window"/>
    <x v="2173"/>
    <n v="9"/>
    <n v="63.14"/>
    <x v="6"/>
    <x v="1"/>
  </r>
  <r>
    <n v="44758"/>
    <x v="588"/>
    <x v="36"/>
    <x v="0"/>
    <x v="7"/>
    <s v="Acco Banker's Clasps, 5 3/4&quot;-Long"/>
    <x v="697"/>
    <n v="4"/>
    <n v="5.41"/>
    <x v="6"/>
    <x v="1"/>
  </r>
  <r>
    <n v="44759"/>
    <x v="401"/>
    <x v="3"/>
    <x v="1"/>
    <x v="11"/>
    <s v="Sauder Camden County Collection Libraries, Planked Cherry Finish"/>
    <x v="2174"/>
    <n v="2"/>
    <n v="-13.8"/>
    <x v="6"/>
    <x v="1"/>
  </r>
  <r>
    <n v="44759"/>
    <x v="634"/>
    <x v="16"/>
    <x v="1"/>
    <x v="11"/>
    <s v="Bush Westfield Collection Bookcases, Medium Cherry Finish"/>
    <x v="2175"/>
    <n v="5"/>
    <n v="5.8"/>
    <x v="6"/>
    <x v="1"/>
  </r>
  <r>
    <n v="44759"/>
    <x v="668"/>
    <x v="0"/>
    <x v="0"/>
    <x v="1"/>
    <s v="Avery 479"/>
    <x v="2176"/>
    <n v="3"/>
    <n v="2.04"/>
    <x v="6"/>
    <x v="1"/>
  </r>
  <r>
    <n v="44759"/>
    <x v="668"/>
    <x v="0"/>
    <x v="0"/>
    <x v="7"/>
    <s v="Advantus T-Pin Paper Clips"/>
    <x v="2177"/>
    <n v="4"/>
    <n v="3.43"/>
    <x v="6"/>
    <x v="1"/>
  </r>
  <r>
    <n v="44760"/>
    <x v="334"/>
    <x v="3"/>
    <x v="2"/>
    <x v="9"/>
    <s v="Logitech G35 7.1-Channel Surround Sound Headset"/>
    <x v="2178"/>
    <n v="4"/>
    <n v="176.79"/>
    <x v="6"/>
    <x v="1"/>
  </r>
  <r>
    <n v="44760"/>
    <x v="385"/>
    <x v="20"/>
    <x v="0"/>
    <x v="4"/>
    <s v="Newell 32"/>
    <x v="1235"/>
    <n v="2"/>
    <n v="1.61"/>
    <x v="6"/>
    <x v="1"/>
  </r>
  <r>
    <n v="44760"/>
    <x v="137"/>
    <x v="20"/>
    <x v="0"/>
    <x v="3"/>
    <s v="Economy Binders"/>
    <x v="2179"/>
    <n v="2"/>
    <n v="1.21"/>
    <x v="6"/>
    <x v="1"/>
  </r>
  <r>
    <n v="44760"/>
    <x v="137"/>
    <x v="20"/>
    <x v="2"/>
    <x v="6"/>
    <s v="Plantronics CS 50-USB -Â headsetÂ - Convertible, Monaural"/>
    <x v="762"/>
    <n v="1"/>
    <n v="36.72"/>
    <x v="6"/>
    <x v="1"/>
  </r>
  <r>
    <n v="44760"/>
    <x v="137"/>
    <x v="20"/>
    <x v="1"/>
    <x v="8"/>
    <s v="Eldon Expressions Wood Desk Accessories, Oak"/>
    <x v="1764"/>
    <n v="1"/>
    <n v="2.14"/>
    <x v="6"/>
    <x v="1"/>
  </r>
  <r>
    <n v="44761"/>
    <x v="669"/>
    <x v="12"/>
    <x v="0"/>
    <x v="3"/>
    <s v="Wilson Jones DublLock D-Ring Binders"/>
    <x v="2180"/>
    <n v="1"/>
    <n v="-1.35"/>
    <x v="6"/>
    <x v="1"/>
  </r>
  <r>
    <n v="44762"/>
    <x v="670"/>
    <x v="18"/>
    <x v="0"/>
    <x v="2"/>
    <s v="Multi-Use Personal File Cart and Caster Set, Three Stacking Bins"/>
    <x v="2181"/>
    <n v="1"/>
    <n v="9.73"/>
    <x v="6"/>
    <x v="1"/>
  </r>
  <r>
    <n v="44762"/>
    <x v="670"/>
    <x v="18"/>
    <x v="2"/>
    <x v="9"/>
    <s v="Imation Bio 8GB USBÂ Flash Drive ImationÂ Corp"/>
    <x v="2182"/>
    <n v="5"/>
    <n v="124.68"/>
    <x v="6"/>
    <x v="1"/>
  </r>
  <r>
    <n v="44762"/>
    <x v="670"/>
    <x v="18"/>
    <x v="0"/>
    <x v="0"/>
    <s v="Xerox 1981"/>
    <x v="2183"/>
    <n v="5"/>
    <n v="11.88"/>
    <x v="6"/>
    <x v="1"/>
  </r>
  <r>
    <n v="44762"/>
    <x v="670"/>
    <x v="18"/>
    <x v="0"/>
    <x v="10"/>
    <s v="White Envelopes, White Envelopes with Clear Poly Window"/>
    <x v="2184"/>
    <n v="7"/>
    <n v="49.11"/>
    <x v="6"/>
    <x v="1"/>
  </r>
  <r>
    <n v="44762"/>
    <x v="670"/>
    <x v="18"/>
    <x v="0"/>
    <x v="0"/>
    <s v="Tops White Computer Printout Paper"/>
    <x v="148"/>
    <n v="2"/>
    <n v="45.98"/>
    <x v="6"/>
    <x v="1"/>
  </r>
  <r>
    <n v="44762"/>
    <x v="670"/>
    <x v="18"/>
    <x v="0"/>
    <x v="2"/>
    <s v="Eldon Portable Mobile Manager"/>
    <x v="1180"/>
    <n v="5"/>
    <n v="38.18"/>
    <x v="6"/>
    <x v="1"/>
  </r>
  <r>
    <n v="44762"/>
    <x v="277"/>
    <x v="1"/>
    <x v="0"/>
    <x v="3"/>
    <s v="Avery Durable Binders"/>
    <x v="633"/>
    <n v="5"/>
    <n v="-4.46"/>
    <x v="6"/>
    <x v="1"/>
  </r>
  <r>
    <n v="44762"/>
    <x v="277"/>
    <x v="1"/>
    <x v="1"/>
    <x v="11"/>
    <s v="O'Sullivan Cherrywood Estates Traditional Barrister Bookcase"/>
    <x v="2185"/>
    <n v="4"/>
    <n v="-126.48"/>
    <x v="6"/>
    <x v="1"/>
  </r>
  <r>
    <n v="44762"/>
    <x v="277"/>
    <x v="1"/>
    <x v="2"/>
    <x v="6"/>
    <s v="Pyle PMP37LED"/>
    <x v="2186"/>
    <n v="2"/>
    <n v="13.44"/>
    <x v="6"/>
    <x v="1"/>
  </r>
  <r>
    <n v="44762"/>
    <x v="277"/>
    <x v="1"/>
    <x v="1"/>
    <x v="11"/>
    <s v="Atlantic Metals Mobile 3-Shelf Bookcases, Custom Colors"/>
    <x v="2187"/>
    <n v="5"/>
    <n v="-52.2"/>
    <x v="6"/>
    <x v="1"/>
  </r>
  <r>
    <n v="44765"/>
    <x v="128"/>
    <x v="20"/>
    <x v="0"/>
    <x v="12"/>
    <s v="Belkin F5C206VTEL 6 Outlet Surge"/>
    <x v="2188"/>
    <n v="3"/>
    <n v="20.68"/>
    <x v="6"/>
    <x v="1"/>
  </r>
  <r>
    <n v="44765"/>
    <x v="128"/>
    <x v="20"/>
    <x v="1"/>
    <x v="8"/>
    <s v="Howard Miller 13&quot; Diameter Pewter Finish Round Wall Clock"/>
    <x v="2189"/>
    <n v="3"/>
    <n v="50.24"/>
    <x v="6"/>
    <x v="1"/>
  </r>
  <r>
    <n v="44765"/>
    <x v="7"/>
    <x v="20"/>
    <x v="0"/>
    <x v="3"/>
    <s v="Acco 3-Hole Punch"/>
    <x v="2190"/>
    <n v="3"/>
    <n v="3.68"/>
    <x v="6"/>
    <x v="1"/>
  </r>
  <r>
    <n v="44766"/>
    <x v="301"/>
    <x v="5"/>
    <x v="1"/>
    <x v="8"/>
    <s v="Eldon Expressions Wood and Plastic Desk Accessories, Cherry Wood"/>
    <x v="753"/>
    <n v="3"/>
    <n v="6.07"/>
    <x v="6"/>
    <x v="1"/>
  </r>
  <r>
    <n v="44766"/>
    <x v="301"/>
    <x v="5"/>
    <x v="0"/>
    <x v="3"/>
    <s v="GBC Prepunched Paper, 19-Hole, for Binding Systems, 24-lb"/>
    <x v="2191"/>
    <n v="9"/>
    <n v="62.14"/>
    <x v="6"/>
    <x v="1"/>
  </r>
  <r>
    <n v="44766"/>
    <x v="301"/>
    <x v="5"/>
    <x v="2"/>
    <x v="9"/>
    <s v="Anker Ultra-Slim Mini Bluetooth 3.0 Wireless Keyboard"/>
    <x v="2192"/>
    <n v="14"/>
    <n v="64.37"/>
    <x v="6"/>
    <x v="1"/>
  </r>
  <r>
    <n v="44766"/>
    <x v="301"/>
    <x v="5"/>
    <x v="0"/>
    <x v="3"/>
    <s v="GBC Prepunched Paper, 19-Hole, for Binding Systems, 24-lb"/>
    <x v="2193"/>
    <n v="6"/>
    <n v="41.43"/>
    <x v="6"/>
    <x v="1"/>
  </r>
  <r>
    <n v="44767"/>
    <x v="237"/>
    <x v="2"/>
    <x v="0"/>
    <x v="3"/>
    <s v="GBC Premium Transparent Covers with Diagonal Lined Pattern"/>
    <x v="2194"/>
    <n v="4"/>
    <n v="-18.46"/>
    <x v="6"/>
    <x v="1"/>
  </r>
  <r>
    <n v="44767"/>
    <x v="289"/>
    <x v="22"/>
    <x v="0"/>
    <x v="7"/>
    <s v="Plymouth Boxed Rubber Bands by Plymouth"/>
    <x v="395"/>
    <n v="2"/>
    <n v="0.47"/>
    <x v="6"/>
    <x v="1"/>
  </r>
  <r>
    <n v="44767"/>
    <x v="289"/>
    <x v="22"/>
    <x v="0"/>
    <x v="0"/>
    <s v="Xerox 228"/>
    <x v="115"/>
    <n v="2"/>
    <n v="6.22"/>
    <x v="6"/>
    <x v="1"/>
  </r>
  <r>
    <n v="44767"/>
    <x v="289"/>
    <x v="22"/>
    <x v="1"/>
    <x v="11"/>
    <s v="Sauder Forest Hills Library, Woodland Oak Finish"/>
    <x v="2195"/>
    <n v="5"/>
    <n v="56.39"/>
    <x v="6"/>
    <x v="1"/>
  </r>
  <r>
    <n v="44767"/>
    <x v="289"/>
    <x v="22"/>
    <x v="1"/>
    <x v="5"/>
    <s v="Office Star - Professional Matrix Back Chair with 2-to-1 Synchro Tilt and Mesh Fabric Seat"/>
    <x v="2196"/>
    <n v="2"/>
    <n v="28.08"/>
    <x v="6"/>
    <x v="1"/>
  </r>
  <r>
    <n v="44767"/>
    <x v="598"/>
    <x v="33"/>
    <x v="0"/>
    <x v="10"/>
    <s v="White Business Envelopes with Contemporary Seam, Recycled White Business Envelopes"/>
    <x v="2197"/>
    <n v="9"/>
    <n v="49.23"/>
    <x v="6"/>
    <x v="1"/>
  </r>
  <r>
    <n v="44767"/>
    <x v="598"/>
    <x v="33"/>
    <x v="1"/>
    <x v="13"/>
    <s v="Bevis Round Conference Table Top, X-Base"/>
    <x v="2198"/>
    <n v="2"/>
    <n v="39.44"/>
    <x v="6"/>
    <x v="1"/>
  </r>
  <r>
    <n v="44767"/>
    <x v="446"/>
    <x v="3"/>
    <x v="2"/>
    <x v="6"/>
    <s v="Motorola L703CM"/>
    <x v="2199"/>
    <n v="5"/>
    <n v="39"/>
    <x v="6"/>
    <x v="1"/>
  </r>
  <r>
    <n v="44768"/>
    <x v="273"/>
    <x v="12"/>
    <x v="1"/>
    <x v="13"/>
    <s v="Bevis Boat-Shaped Conference Table"/>
    <x v="2200"/>
    <n v="3"/>
    <n v="-204.45"/>
    <x v="6"/>
    <x v="1"/>
  </r>
  <r>
    <n v="44768"/>
    <x v="454"/>
    <x v="3"/>
    <x v="0"/>
    <x v="10"/>
    <s v="Airmail Envelopes"/>
    <x v="2201"/>
    <n v="2"/>
    <n v="78.89"/>
    <x v="6"/>
    <x v="1"/>
  </r>
  <r>
    <n v="44768"/>
    <x v="244"/>
    <x v="3"/>
    <x v="0"/>
    <x v="3"/>
    <s v="Acco Pressboard Covers with Storage Hooks, 9 1/2&quot; x 11&quot;, Executive Red"/>
    <x v="1876"/>
    <n v="3"/>
    <n v="3.09"/>
    <x v="6"/>
    <x v="1"/>
  </r>
  <r>
    <n v="44768"/>
    <x v="244"/>
    <x v="3"/>
    <x v="0"/>
    <x v="3"/>
    <s v="Tuff Stuff Recycled Round Ring Binders"/>
    <x v="2202"/>
    <n v="6"/>
    <n v="8.39"/>
    <x v="6"/>
    <x v="1"/>
  </r>
  <r>
    <n v="44768"/>
    <x v="244"/>
    <x v="3"/>
    <x v="0"/>
    <x v="4"/>
    <s v="Newell 334"/>
    <x v="689"/>
    <n v="5"/>
    <n v="25.79"/>
    <x v="6"/>
    <x v="1"/>
  </r>
  <r>
    <n v="44768"/>
    <x v="38"/>
    <x v="12"/>
    <x v="1"/>
    <x v="5"/>
    <s v="Office Star - Contemporary Task Swivel Chair"/>
    <x v="2203"/>
    <n v="3"/>
    <n v="13.32"/>
    <x v="6"/>
    <x v="1"/>
  </r>
  <r>
    <n v="44768"/>
    <x v="83"/>
    <x v="2"/>
    <x v="0"/>
    <x v="0"/>
    <s v="Eureka Recycled Copy Paper 8 1/2&quot; x 11&quot;, Ream"/>
    <x v="320"/>
    <n v="2"/>
    <n v="3.63"/>
    <x v="6"/>
    <x v="1"/>
  </r>
  <r>
    <n v="44769"/>
    <x v="190"/>
    <x v="5"/>
    <x v="2"/>
    <x v="6"/>
    <s v="Mediabridge Sport Armband iPhone 5s"/>
    <x v="2157"/>
    <n v="3"/>
    <n v="0.3"/>
    <x v="6"/>
    <x v="1"/>
  </r>
  <r>
    <n v="44772"/>
    <x v="454"/>
    <x v="3"/>
    <x v="2"/>
    <x v="9"/>
    <s v="Logitech 910-002974 M325 Wireless Mouse for Web Scrolling"/>
    <x v="2204"/>
    <n v="7"/>
    <n v="92.37"/>
    <x v="6"/>
    <x v="1"/>
  </r>
  <r>
    <n v="44772"/>
    <x v="454"/>
    <x v="3"/>
    <x v="1"/>
    <x v="8"/>
    <s v="Regeneration Desk Collection"/>
    <x v="1685"/>
    <n v="3"/>
    <n v="2.3199999999999998"/>
    <x v="6"/>
    <x v="1"/>
  </r>
  <r>
    <n v="44772"/>
    <x v="454"/>
    <x v="3"/>
    <x v="0"/>
    <x v="3"/>
    <s v="Presstex Flexible Ring Binders"/>
    <x v="2205"/>
    <n v="3"/>
    <n v="4.0999999999999996"/>
    <x v="6"/>
    <x v="1"/>
  </r>
  <r>
    <n v="44772"/>
    <x v="369"/>
    <x v="0"/>
    <x v="0"/>
    <x v="2"/>
    <s v="Eldon ProFile File 'N Store Portable File Tub Letter/Legal Size Black"/>
    <x v="2206"/>
    <n v="4"/>
    <n v="6.18"/>
    <x v="6"/>
    <x v="1"/>
  </r>
  <r>
    <n v="44772"/>
    <x v="292"/>
    <x v="28"/>
    <x v="1"/>
    <x v="5"/>
    <s v="Global Stack Chair without Arms, Black"/>
    <x v="2207"/>
    <n v="6"/>
    <n v="38.97"/>
    <x v="6"/>
    <x v="1"/>
  </r>
  <r>
    <n v="44773"/>
    <x v="356"/>
    <x v="20"/>
    <x v="2"/>
    <x v="9"/>
    <s v="Plantronics CS510 - Over-the-Head monaural Wireless Headset System"/>
    <x v="2208"/>
    <n v="7"/>
    <n v="762.18"/>
    <x v="6"/>
    <x v="1"/>
  </r>
  <r>
    <n v="44773"/>
    <x v="356"/>
    <x v="20"/>
    <x v="1"/>
    <x v="13"/>
    <s v="Bevis Round Bullnose 29&quot; High Table Top"/>
    <x v="2209"/>
    <n v="7"/>
    <n v="-290.88"/>
    <x v="6"/>
    <x v="1"/>
  </r>
  <r>
    <n v="44773"/>
    <x v="356"/>
    <x v="20"/>
    <x v="0"/>
    <x v="0"/>
    <s v="Xerox 212"/>
    <x v="5"/>
    <n v="3"/>
    <n v="9.33"/>
    <x v="6"/>
    <x v="1"/>
  </r>
  <r>
    <n v="44773"/>
    <x v="444"/>
    <x v="29"/>
    <x v="2"/>
    <x v="9"/>
    <s v="Microsoft Sculpt Comfort Mouse"/>
    <x v="2210"/>
    <n v="6"/>
    <n v="105.47"/>
    <x v="6"/>
    <x v="1"/>
  </r>
  <r>
    <n v="44773"/>
    <x v="571"/>
    <x v="24"/>
    <x v="0"/>
    <x v="14"/>
    <s v="Acme 10&quot; Easy Grip Assistive Scissors"/>
    <x v="2211"/>
    <n v="3"/>
    <n v="15.78"/>
    <x v="6"/>
    <x v="1"/>
  </r>
  <r>
    <n v="44774"/>
    <x v="142"/>
    <x v="3"/>
    <x v="0"/>
    <x v="4"/>
    <s v="Prang Dustless Chalk Sticks"/>
    <x v="1237"/>
    <n v="4"/>
    <n v="3.36"/>
    <x v="7"/>
    <x v="1"/>
  </r>
  <r>
    <n v="44774"/>
    <x v="142"/>
    <x v="3"/>
    <x v="1"/>
    <x v="13"/>
    <s v="Hon 2111 Invitation Series Corner Table"/>
    <x v="2212"/>
    <n v="6"/>
    <n v="-175.87"/>
    <x v="7"/>
    <x v="1"/>
  </r>
  <r>
    <n v="44775"/>
    <x v="261"/>
    <x v="22"/>
    <x v="0"/>
    <x v="3"/>
    <s v="Ibico Presentation Index for Binding Systems"/>
    <x v="1380"/>
    <n v="2"/>
    <n v="2.15"/>
    <x v="7"/>
    <x v="1"/>
  </r>
  <r>
    <n v="44775"/>
    <x v="261"/>
    <x v="22"/>
    <x v="2"/>
    <x v="15"/>
    <s v="Okidata C331dn Printer"/>
    <x v="2213"/>
    <n v="2"/>
    <n v="41.88"/>
    <x v="7"/>
    <x v="1"/>
  </r>
  <r>
    <n v="44775"/>
    <x v="671"/>
    <x v="43"/>
    <x v="2"/>
    <x v="6"/>
    <s v="Plantronics MX500i Earset"/>
    <x v="2018"/>
    <n v="3"/>
    <n v="3.87"/>
    <x v="7"/>
    <x v="1"/>
  </r>
  <r>
    <n v="44775"/>
    <x v="671"/>
    <x v="43"/>
    <x v="0"/>
    <x v="0"/>
    <s v="Important Message Pads, 50 4-1/4 x 5-1/2 Forms per Pad"/>
    <x v="2214"/>
    <n v="2"/>
    <n v="4.12"/>
    <x v="7"/>
    <x v="1"/>
  </r>
  <r>
    <n v="44775"/>
    <x v="671"/>
    <x v="43"/>
    <x v="2"/>
    <x v="9"/>
    <s v="Logitech G700s Rechargeable Gaming Mouse"/>
    <x v="766"/>
    <n v="2"/>
    <n v="83.99"/>
    <x v="7"/>
    <x v="1"/>
  </r>
  <r>
    <n v="44775"/>
    <x v="671"/>
    <x v="43"/>
    <x v="1"/>
    <x v="5"/>
    <s v="Office Star Flex Back Scooter Chair with White Frame"/>
    <x v="2215"/>
    <n v="1"/>
    <n v="15.54"/>
    <x v="7"/>
    <x v="1"/>
  </r>
  <r>
    <n v="44775"/>
    <x v="536"/>
    <x v="11"/>
    <x v="1"/>
    <x v="13"/>
    <s v="Balt Split Level Computer Training Table"/>
    <x v="2216"/>
    <n v="4"/>
    <n v="-188.7"/>
    <x v="7"/>
    <x v="1"/>
  </r>
  <r>
    <n v="44778"/>
    <x v="123"/>
    <x v="0"/>
    <x v="0"/>
    <x v="2"/>
    <s v="Perma STOR-ALL Hanging File Box, 13 1/8&quot;W x 12 1/4&quot;D x 10 1/2&quot;H"/>
    <x v="278"/>
    <n v="7"/>
    <n v="-1.26"/>
    <x v="7"/>
    <x v="1"/>
  </r>
  <r>
    <n v="44778"/>
    <x v="123"/>
    <x v="0"/>
    <x v="0"/>
    <x v="14"/>
    <s v="Stiletto Hand Letter Openers"/>
    <x v="2217"/>
    <n v="3"/>
    <n v="-4.9000000000000004"/>
    <x v="7"/>
    <x v="1"/>
  </r>
  <r>
    <n v="44778"/>
    <x v="123"/>
    <x v="0"/>
    <x v="0"/>
    <x v="3"/>
    <s v="Avery Self-Adhesive Photo Pockets for Polaroid Photos"/>
    <x v="2218"/>
    <n v="1"/>
    <n v="-2.1800000000000002"/>
    <x v="7"/>
    <x v="1"/>
  </r>
  <r>
    <n v="44778"/>
    <x v="123"/>
    <x v="0"/>
    <x v="1"/>
    <x v="8"/>
    <s v="Eldon Expressions Wood Desk Accessories, Oak"/>
    <x v="1195"/>
    <n v="5"/>
    <n v="-11.44"/>
    <x v="7"/>
    <x v="1"/>
  </r>
  <r>
    <n v="44779"/>
    <x v="279"/>
    <x v="0"/>
    <x v="0"/>
    <x v="0"/>
    <s v="Xerox 188"/>
    <x v="2073"/>
    <n v="3"/>
    <n v="9.8699999999999992"/>
    <x v="7"/>
    <x v="1"/>
  </r>
  <r>
    <n v="44779"/>
    <x v="468"/>
    <x v="0"/>
    <x v="0"/>
    <x v="1"/>
    <s v="Avery 505"/>
    <x v="2219"/>
    <n v="3"/>
    <n v="13.32"/>
    <x v="7"/>
    <x v="1"/>
  </r>
  <r>
    <n v="44779"/>
    <x v="468"/>
    <x v="0"/>
    <x v="0"/>
    <x v="3"/>
    <s v="Avery Hole Reinforcements"/>
    <x v="2220"/>
    <n v="5"/>
    <n v="-9.66"/>
    <x v="7"/>
    <x v="1"/>
  </r>
  <r>
    <n v="44779"/>
    <x v="468"/>
    <x v="0"/>
    <x v="0"/>
    <x v="0"/>
    <s v="Xerox 1906"/>
    <x v="2221"/>
    <n v="2"/>
    <n v="19.14"/>
    <x v="7"/>
    <x v="1"/>
  </r>
  <r>
    <n v="44779"/>
    <x v="468"/>
    <x v="0"/>
    <x v="1"/>
    <x v="11"/>
    <s v="O'Sullivan Manor Hill 2-Door Library in Brianna Oak"/>
    <x v="2222"/>
    <n v="3"/>
    <n v="-114.02"/>
    <x v="7"/>
    <x v="1"/>
  </r>
  <r>
    <n v="44780"/>
    <x v="270"/>
    <x v="34"/>
    <x v="0"/>
    <x v="3"/>
    <s v="ACCOHIDE 3-Ring Binder, Blue, 1&quot;"/>
    <x v="2223"/>
    <n v="1"/>
    <n v="1.1200000000000001"/>
    <x v="7"/>
    <x v="1"/>
  </r>
  <r>
    <n v="44780"/>
    <x v="672"/>
    <x v="3"/>
    <x v="0"/>
    <x v="3"/>
    <s v="Cardinal Hold-It CD Pocket"/>
    <x v="2224"/>
    <n v="3"/>
    <n v="6.46"/>
    <x v="7"/>
    <x v="1"/>
  </r>
  <r>
    <n v="44780"/>
    <x v="439"/>
    <x v="24"/>
    <x v="0"/>
    <x v="3"/>
    <s v="Wilson Jones Hanging View Binder, White, 1&quot;"/>
    <x v="1680"/>
    <n v="4"/>
    <n v="13.06"/>
    <x v="7"/>
    <x v="1"/>
  </r>
  <r>
    <n v="44780"/>
    <x v="439"/>
    <x v="24"/>
    <x v="1"/>
    <x v="8"/>
    <s v="Tenex V2T-RE Standard Weight Series Chair Mat, 45&quot; x 53&quot;, Lip 25&quot; x 12&quot;"/>
    <x v="549"/>
    <n v="3"/>
    <n v="34.07"/>
    <x v="7"/>
    <x v="1"/>
  </r>
  <r>
    <n v="44780"/>
    <x v="232"/>
    <x v="2"/>
    <x v="0"/>
    <x v="4"/>
    <s v="Stanley Contemporary Battery Pencil Sharpeners"/>
    <x v="2225"/>
    <n v="10"/>
    <n v="10.68"/>
    <x v="7"/>
    <x v="1"/>
  </r>
  <r>
    <n v="44780"/>
    <x v="270"/>
    <x v="36"/>
    <x v="0"/>
    <x v="12"/>
    <s v="Acco Six-Outlet Power Strip, 4' Cord Length"/>
    <x v="2226"/>
    <n v="9"/>
    <n v="20.170000000000002"/>
    <x v="7"/>
    <x v="1"/>
  </r>
  <r>
    <n v="44780"/>
    <x v="673"/>
    <x v="6"/>
    <x v="2"/>
    <x v="6"/>
    <s v="Ativa D5772 2-Line 5.8GHz Digital Expandable Corded/Cordless Phone System with Answering &amp; Caller ID/Call Waiting, Black/Silver"/>
    <x v="2227"/>
    <n v="3"/>
    <n v="148.49"/>
    <x v="7"/>
    <x v="1"/>
  </r>
  <r>
    <n v="44780"/>
    <x v="673"/>
    <x v="6"/>
    <x v="0"/>
    <x v="1"/>
    <s v="Avery 50"/>
    <x v="1432"/>
    <n v="2"/>
    <n v="11.78"/>
    <x v="7"/>
    <x v="1"/>
  </r>
  <r>
    <n v="44781"/>
    <x v="426"/>
    <x v="3"/>
    <x v="0"/>
    <x v="3"/>
    <s v="ACCOHIDE 3-Ring Binder, Blue, 1&quot;"/>
    <x v="2228"/>
    <n v="2"/>
    <n v="2.23"/>
    <x v="7"/>
    <x v="1"/>
  </r>
  <r>
    <n v="44781"/>
    <x v="426"/>
    <x v="3"/>
    <x v="0"/>
    <x v="3"/>
    <s v="Presstex Flexible Ring Binders"/>
    <x v="533"/>
    <n v="2"/>
    <n v="2.73"/>
    <x v="7"/>
    <x v="1"/>
  </r>
  <r>
    <n v="44781"/>
    <x v="426"/>
    <x v="3"/>
    <x v="1"/>
    <x v="5"/>
    <s v="Global Ergonomic Managers Chair"/>
    <x v="2229"/>
    <n v="1"/>
    <n v="10.86"/>
    <x v="7"/>
    <x v="1"/>
  </r>
  <r>
    <n v="44781"/>
    <x v="674"/>
    <x v="32"/>
    <x v="0"/>
    <x v="4"/>
    <s v="Boston 1827 Commercial Additional Cutter, Drive Gear &amp; Gear Rack for 1606"/>
    <x v="2230"/>
    <n v="2"/>
    <n v="11.9"/>
    <x v="7"/>
    <x v="1"/>
  </r>
  <r>
    <n v="44781"/>
    <x v="674"/>
    <x v="32"/>
    <x v="0"/>
    <x v="12"/>
    <s v="Conquest 14 Commercial Heavy-Duty Upright Vacuum, Collection System, Accessory Kit"/>
    <x v="2231"/>
    <n v="2"/>
    <n v="33.04"/>
    <x v="7"/>
    <x v="1"/>
  </r>
  <r>
    <n v="44781"/>
    <x v="674"/>
    <x v="32"/>
    <x v="0"/>
    <x v="3"/>
    <s v="GBC DocuBind P50 Personal Binding Machine"/>
    <x v="455"/>
    <n v="7"/>
    <n v="210.49"/>
    <x v="7"/>
    <x v="1"/>
  </r>
  <r>
    <n v="44781"/>
    <x v="122"/>
    <x v="20"/>
    <x v="2"/>
    <x v="9"/>
    <s v="Logitech G600 MMO Gaming Mouse"/>
    <x v="2232"/>
    <n v="1"/>
    <n v="28.8"/>
    <x v="7"/>
    <x v="1"/>
  </r>
  <r>
    <n v="44782"/>
    <x v="171"/>
    <x v="14"/>
    <x v="0"/>
    <x v="4"/>
    <s v="Sanford Uni-Blazer View Highlighters, Chisel Tip, Yellow"/>
    <x v="2233"/>
    <n v="1"/>
    <n v="0.97"/>
    <x v="7"/>
    <x v="1"/>
  </r>
  <r>
    <n v="44782"/>
    <x v="171"/>
    <x v="14"/>
    <x v="1"/>
    <x v="13"/>
    <s v="Bevis 36 x 72 Conference Tables"/>
    <x v="2234"/>
    <n v="5"/>
    <n v="136.94"/>
    <x v="7"/>
    <x v="1"/>
  </r>
  <r>
    <n v="44782"/>
    <x v="171"/>
    <x v="14"/>
    <x v="0"/>
    <x v="2"/>
    <s v="Rogers Deluxe File Chest"/>
    <x v="1345"/>
    <n v="1"/>
    <n v="0.22"/>
    <x v="7"/>
    <x v="1"/>
  </r>
  <r>
    <n v="44782"/>
    <x v="201"/>
    <x v="20"/>
    <x v="2"/>
    <x v="6"/>
    <s v="Nortel Meridian M3904 Professional Digital phone"/>
    <x v="2235"/>
    <n v="2"/>
    <n v="89.31"/>
    <x v="7"/>
    <x v="1"/>
  </r>
  <r>
    <n v="44782"/>
    <x v="201"/>
    <x v="20"/>
    <x v="1"/>
    <x v="13"/>
    <s v="KI Conference Tables"/>
    <x v="2236"/>
    <n v="9"/>
    <n v="-153.12"/>
    <x v="7"/>
    <x v="1"/>
  </r>
  <r>
    <n v="44782"/>
    <x v="201"/>
    <x v="20"/>
    <x v="0"/>
    <x v="2"/>
    <s v="Tennsco Lockers, Gray"/>
    <x v="2237"/>
    <n v="2"/>
    <n v="2.94"/>
    <x v="7"/>
    <x v="1"/>
  </r>
  <r>
    <n v="44782"/>
    <x v="201"/>
    <x v="20"/>
    <x v="0"/>
    <x v="3"/>
    <s v="GBC Ibimaster 500 Manual ProClick Binding System"/>
    <x v="2097"/>
    <n v="2"/>
    <n v="456.59"/>
    <x v="7"/>
    <x v="1"/>
  </r>
  <r>
    <n v="44782"/>
    <x v="201"/>
    <x v="20"/>
    <x v="1"/>
    <x v="8"/>
    <s v="Artistic Insta-Plaque"/>
    <x v="2238"/>
    <n v="3"/>
    <n v="18.350000000000001"/>
    <x v="7"/>
    <x v="1"/>
  </r>
  <r>
    <n v="44782"/>
    <x v="201"/>
    <x v="20"/>
    <x v="1"/>
    <x v="8"/>
    <s v="Longer-Life Soft White Bulbs"/>
    <x v="1059"/>
    <n v="2"/>
    <n v="2.96"/>
    <x v="7"/>
    <x v="1"/>
  </r>
  <r>
    <n v="44782"/>
    <x v="201"/>
    <x v="20"/>
    <x v="2"/>
    <x v="6"/>
    <s v="Panasonic KX-TG9471B"/>
    <x v="2239"/>
    <n v="5"/>
    <n v="274.39"/>
    <x v="7"/>
    <x v="1"/>
  </r>
  <r>
    <n v="44782"/>
    <x v="201"/>
    <x v="20"/>
    <x v="0"/>
    <x v="0"/>
    <s v="Xerox 1886"/>
    <x v="2240"/>
    <n v="3"/>
    <n v="68.98"/>
    <x v="7"/>
    <x v="1"/>
  </r>
  <r>
    <n v="44782"/>
    <x v="201"/>
    <x v="20"/>
    <x v="0"/>
    <x v="7"/>
    <s v="Acco Clips to Go Binder Clips, 24 Clips in Two Sizes"/>
    <x v="2241"/>
    <n v="3"/>
    <n v="5.01"/>
    <x v="7"/>
    <x v="1"/>
  </r>
  <r>
    <n v="44782"/>
    <x v="201"/>
    <x v="20"/>
    <x v="2"/>
    <x v="9"/>
    <s v="Belkin QODE FastFit Bluetooth Keyboard"/>
    <x v="1530"/>
    <n v="4"/>
    <n v="34.69"/>
    <x v="7"/>
    <x v="1"/>
  </r>
  <r>
    <n v="44782"/>
    <x v="141"/>
    <x v="16"/>
    <x v="0"/>
    <x v="1"/>
    <s v="Avery File Folder Labels"/>
    <x v="1012"/>
    <n v="2"/>
    <n v="1.67"/>
    <x v="7"/>
    <x v="1"/>
  </r>
  <r>
    <n v="44782"/>
    <x v="57"/>
    <x v="21"/>
    <x v="1"/>
    <x v="11"/>
    <s v="O'Sullivan Cherrywood Estates Traditional Barrister Bookcase"/>
    <x v="2242"/>
    <n v="5"/>
    <n v="48.12"/>
    <x v="7"/>
    <x v="1"/>
  </r>
  <r>
    <n v="44782"/>
    <x v="407"/>
    <x v="20"/>
    <x v="1"/>
    <x v="8"/>
    <s v="OIC Stacking Trays"/>
    <x v="2243"/>
    <n v="3"/>
    <n v="4.41"/>
    <x v="7"/>
    <x v="1"/>
  </r>
  <r>
    <n v="44782"/>
    <x v="407"/>
    <x v="20"/>
    <x v="0"/>
    <x v="0"/>
    <s v="Xerox 1885"/>
    <x v="1399"/>
    <n v="3"/>
    <n v="69.180000000000007"/>
    <x v="7"/>
    <x v="1"/>
  </r>
  <r>
    <n v="44783"/>
    <x v="488"/>
    <x v="28"/>
    <x v="0"/>
    <x v="1"/>
    <s v="Avery 480"/>
    <x v="2244"/>
    <n v="1"/>
    <n v="1.8"/>
    <x v="7"/>
    <x v="1"/>
  </r>
  <r>
    <n v="44783"/>
    <x v="488"/>
    <x v="28"/>
    <x v="0"/>
    <x v="1"/>
    <s v="Avery 489"/>
    <x v="554"/>
    <n v="4"/>
    <n v="19.87"/>
    <x v="7"/>
    <x v="1"/>
  </r>
  <r>
    <n v="44783"/>
    <x v="488"/>
    <x v="28"/>
    <x v="0"/>
    <x v="4"/>
    <s v="Peel-Off China Markers"/>
    <x v="2245"/>
    <n v="3"/>
    <n v="12.51"/>
    <x v="7"/>
    <x v="1"/>
  </r>
  <r>
    <n v="44783"/>
    <x v="494"/>
    <x v="11"/>
    <x v="2"/>
    <x v="6"/>
    <s v="AT&amp;T 1080 Corded phone"/>
    <x v="328"/>
    <n v="4"/>
    <n v="38.36"/>
    <x v="7"/>
    <x v="1"/>
  </r>
  <r>
    <n v="44783"/>
    <x v="494"/>
    <x v="11"/>
    <x v="2"/>
    <x v="6"/>
    <s v="OtterBox Commuter Series Case - Samsung Galaxy S4"/>
    <x v="2246"/>
    <n v="7"/>
    <n v="-31.49"/>
    <x v="7"/>
    <x v="1"/>
  </r>
  <r>
    <n v="44783"/>
    <x v="494"/>
    <x v="11"/>
    <x v="0"/>
    <x v="12"/>
    <s v="Fellowes 8 Outlet Superior Workstation Surge Protector"/>
    <x v="2247"/>
    <n v="4"/>
    <n v="15.02"/>
    <x v="7"/>
    <x v="1"/>
  </r>
  <r>
    <n v="44783"/>
    <x v="649"/>
    <x v="14"/>
    <x v="0"/>
    <x v="3"/>
    <s v="GBC Binding covers"/>
    <x v="2248"/>
    <n v="5"/>
    <n v="29.14"/>
    <x v="7"/>
    <x v="1"/>
  </r>
  <r>
    <n v="44784"/>
    <x v="220"/>
    <x v="25"/>
    <x v="1"/>
    <x v="8"/>
    <s v="Executive Impressions 13&quot; Clairmont Wall Clock"/>
    <x v="2249"/>
    <n v="3"/>
    <n v="12.11"/>
    <x v="7"/>
    <x v="1"/>
  </r>
  <r>
    <n v="44784"/>
    <x v="675"/>
    <x v="20"/>
    <x v="0"/>
    <x v="4"/>
    <s v="Newell 330"/>
    <x v="687"/>
    <n v="2"/>
    <n v="3.11"/>
    <x v="7"/>
    <x v="1"/>
  </r>
  <r>
    <n v="44784"/>
    <x v="675"/>
    <x v="20"/>
    <x v="2"/>
    <x v="6"/>
    <s v="AT&amp;T 841000 Phone"/>
    <x v="2250"/>
    <n v="2"/>
    <n v="34.5"/>
    <x v="7"/>
    <x v="1"/>
  </r>
  <r>
    <n v="44786"/>
    <x v="402"/>
    <x v="3"/>
    <x v="0"/>
    <x v="4"/>
    <s v="50 Colored Long Pencils"/>
    <x v="2251"/>
    <n v="5"/>
    <n v="13.21"/>
    <x v="7"/>
    <x v="1"/>
  </r>
  <r>
    <n v="44786"/>
    <x v="584"/>
    <x v="4"/>
    <x v="0"/>
    <x v="3"/>
    <s v="3-ring staple pack"/>
    <x v="24"/>
    <n v="3"/>
    <n v="2.71"/>
    <x v="7"/>
    <x v="1"/>
  </r>
  <r>
    <n v="44786"/>
    <x v="565"/>
    <x v="18"/>
    <x v="0"/>
    <x v="3"/>
    <s v="Avery Round Ring Poly Binders"/>
    <x v="21"/>
    <n v="4"/>
    <n v="5.57"/>
    <x v="7"/>
    <x v="1"/>
  </r>
  <r>
    <n v="44786"/>
    <x v="28"/>
    <x v="2"/>
    <x v="0"/>
    <x v="2"/>
    <s v="Fellowes High-Stak Drawer Files"/>
    <x v="2252"/>
    <n v="3"/>
    <n v="15.86"/>
    <x v="7"/>
    <x v="1"/>
  </r>
  <r>
    <n v="44786"/>
    <x v="394"/>
    <x v="3"/>
    <x v="1"/>
    <x v="8"/>
    <s v="Ultra Door Pull Handle"/>
    <x v="1791"/>
    <n v="3"/>
    <n v="10.41"/>
    <x v="7"/>
    <x v="1"/>
  </r>
  <r>
    <n v="44786"/>
    <x v="271"/>
    <x v="25"/>
    <x v="0"/>
    <x v="4"/>
    <s v="Newell 309"/>
    <x v="2253"/>
    <n v="7"/>
    <n v="8.09"/>
    <x v="7"/>
    <x v="1"/>
  </r>
  <r>
    <n v="44788"/>
    <x v="676"/>
    <x v="3"/>
    <x v="0"/>
    <x v="2"/>
    <s v="Fellowes Super Stor/Drawer Files"/>
    <x v="2024"/>
    <n v="2"/>
    <n v="61.39"/>
    <x v="7"/>
    <x v="1"/>
  </r>
  <r>
    <n v="44788"/>
    <x v="238"/>
    <x v="3"/>
    <x v="1"/>
    <x v="8"/>
    <s v="Tensor Computer Mounted Lamp"/>
    <x v="2254"/>
    <n v="7"/>
    <n v="28.14"/>
    <x v="7"/>
    <x v="1"/>
  </r>
  <r>
    <n v="44788"/>
    <x v="238"/>
    <x v="3"/>
    <x v="0"/>
    <x v="2"/>
    <s v="Mobile Personal File Cube"/>
    <x v="2255"/>
    <n v="3"/>
    <n v="18.97"/>
    <x v="7"/>
    <x v="1"/>
  </r>
  <r>
    <n v="44789"/>
    <x v="522"/>
    <x v="12"/>
    <x v="0"/>
    <x v="4"/>
    <s v="Newell 346"/>
    <x v="2256"/>
    <n v="1"/>
    <n v="0.26"/>
    <x v="7"/>
    <x v="1"/>
  </r>
  <r>
    <n v="44789"/>
    <x v="522"/>
    <x v="12"/>
    <x v="2"/>
    <x v="6"/>
    <s v="Samsung Galaxy S4 Mini"/>
    <x v="2257"/>
    <n v="5"/>
    <n v="211.5"/>
    <x v="7"/>
    <x v="1"/>
  </r>
  <r>
    <n v="44789"/>
    <x v="522"/>
    <x v="12"/>
    <x v="0"/>
    <x v="0"/>
    <s v="Xerox 1891"/>
    <x v="2258"/>
    <n v="8"/>
    <n v="105.65"/>
    <x v="7"/>
    <x v="1"/>
  </r>
  <r>
    <n v="44789"/>
    <x v="522"/>
    <x v="12"/>
    <x v="0"/>
    <x v="1"/>
    <s v="Avery 488"/>
    <x v="466"/>
    <n v="2"/>
    <n v="1.76"/>
    <x v="7"/>
    <x v="1"/>
  </r>
  <r>
    <n v="44789"/>
    <x v="569"/>
    <x v="2"/>
    <x v="2"/>
    <x v="6"/>
    <s v="Cisco IP Phone 7961G-GE VoIP phone"/>
    <x v="2259"/>
    <n v="4"/>
    <n v="-112.62"/>
    <x v="7"/>
    <x v="1"/>
  </r>
  <r>
    <n v="44789"/>
    <x v="569"/>
    <x v="2"/>
    <x v="2"/>
    <x v="9"/>
    <s v="SanDisk Ultra 16 GB MicroSDHC Class 10 Memory Card"/>
    <x v="2260"/>
    <n v="3"/>
    <n v="-5.46"/>
    <x v="7"/>
    <x v="1"/>
  </r>
  <r>
    <n v="44789"/>
    <x v="569"/>
    <x v="2"/>
    <x v="0"/>
    <x v="0"/>
    <s v="Xerox 227"/>
    <x v="320"/>
    <n v="2"/>
    <n v="3.63"/>
    <x v="7"/>
    <x v="1"/>
  </r>
  <r>
    <n v="44789"/>
    <x v="569"/>
    <x v="2"/>
    <x v="0"/>
    <x v="3"/>
    <s v="Avery Durable Plastic 1&quot; Binders"/>
    <x v="1031"/>
    <n v="2"/>
    <n v="-1.91"/>
    <x v="7"/>
    <x v="1"/>
  </r>
  <r>
    <n v="44789"/>
    <x v="569"/>
    <x v="2"/>
    <x v="1"/>
    <x v="8"/>
    <s v="Tenex 46&quot; x 60&quot; Computer Anti-Static Chairmat, Rectangular Shaped"/>
    <x v="2261"/>
    <n v="3"/>
    <n v="0"/>
    <x v="7"/>
    <x v="1"/>
  </r>
  <r>
    <n v="44789"/>
    <x v="569"/>
    <x v="2"/>
    <x v="0"/>
    <x v="3"/>
    <s v="Avery Durable Slant Ring Binders With Label Holder"/>
    <x v="572"/>
    <n v="3"/>
    <n v="-2.76"/>
    <x v="7"/>
    <x v="1"/>
  </r>
  <r>
    <n v="44789"/>
    <x v="569"/>
    <x v="2"/>
    <x v="0"/>
    <x v="0"/>
    <s v="Xerox 199"/>
    <x v="1207"/>
    <n v="3"/>
    <n v="3.21"/>
    <x v="7"/>
    <x v="1"/>
  </r>
  <r>
    <n v="44789"/>
    <x v="677"/>
    <x v="2"/>
    <x v="0"/>
    <x v="2"/>
    <s v="Iris Project Case"/>
    <x v="2262"/>
    <n v="7"/>
    <n v="3.35"/>
    <x v="7"/>
    <x v="1"/>
  </r>
  <r>
    <n v="44789"/>
    <x v="677"/>
    <x v="2"/>
    <x v="1"/>
    <x v="11"/>
    <s v="O'Sullivan Plantations 2-Door Library in Landvery Oak"/>
    <x v="2263"/>
    <n v="3"/>
    <n v="-205"/>
    <x v="7"/>
    <x v="1"/>
  </r>
  <r>
    <n v="44790"/>
    <x v="678"/>
    <x v="32"/>
    <x v="0"/>
    <x v="3"/>
    <s v="Wilson Jones Â“SnapÂ” Scratch Pad Binder Tool for Ring Binders"/>
    <x v="2264"/>
    <n v="9"/>
    <n v="23.49"/>
    <x v="7"/>
    <x v="1"/>
  </r>
  <r>
    <n v="44790"/>
    <x v="236"/>
    <x v="12"/>
    <x v="2"/>
    <x v="9"/>
    <s v="ImationÂ Clip USBÂ flash driveÂ - 8 GB"/>
    <x v="2265"/>
    <n v="2"/>
    <n v="-5.26"/>
    <x v="7"/>
    <x v="1"/>
  </r>
  <r>
    <n v="44790"/>
    <x v="236"/>
    <x v="12"/>
    <x v="0"/>
    <x v="0"/>
    <s v="Xerox 21"/>
    <x v="1308"/>
    <n v="7"/>
    <n v="12.7"/>
    <x v="7"/>
    <x v="1"/>
  </r>
  <r>
    <n v="44790"/>
    <x v="236"/>
    <x v="12"/>
    <x v="0"/>
    <x v="4"/>
    <s v="Newell 336"/>
    <x v="1207"/>
    <n v="3"/>
    <n v="1.1599999999999999"/>
    <x v="7"/>
    <x v="1"/>
  </r>
  <r>
    <n v="44790"/>
    <x v="236"/>
    <x v="12"/>
    <x v="2"/>
    <x v="9"/>
    <s v="First Data FD10 PIN Pad"/>
    <x v="2266"/>
    <n v="4"/>
    <n v="-31.6"/>
    <x v="7"/>
    <x v="1"/>
  </r>
  <r>
    <n v="44794"/>
    <x v="327"/>
    <x v="3"/>
    <x v="1"/>
    <x v="5"/>
    <s v="Hon GuestStacker Chair"/>
    <x v="2267"/>
    <n v="3"/>
    <n v="40.799999999999997"/>
    <x v="7"/>
    <x v="1"/>
  </r>
  <r>
    <n v="44794"/>
    <x v="327"/>
    <x v="3"/>
    <x v="0"/>
    <x v="0"/>
    <s v="Xerox 191"/>
    <x v="2268"/>
    <n v="3"/>
    <n v="28.17"/>
    <x v="7"/>
    <x v="1"/>
  </r>
  <r>
    <n v="44794"/>
    <x v="327"/>
    <x v="3"/>
    <x v="0"/>
    <x v="0"/>
    <s v="Xerox 1974"/>
    <x v="635"/>
    <n v="4"/>
    <n v="11.72"/>
    <x v="7"/>
    <x v="1"/>
  </r>
  <r>
    <n v="44794"/>
    <x v="327"/>
    <x v="3"/>
    <x v="0"/>
    <x v="0"/>
    <s v="Xerox 1927"/>
    <x v="2269"/>
    <n v="1"/>
    <n v="1.93"/>
    <x v="7"/>
    <x v="1"/>
  </r>
  <r>
    <n v="44794"/>
    <x v="171"/>
    <x v="3"/>
    <x v="1"/>
    <x v="11"/>
    <s v="Sauder Camden County Collection Library"/>
    <x v="2270"/>
    <n v="6"/>
    <n v="34.49"/>
    <x v="7"/>
    <x v="1"/>
  </r>
  <r>
    <n v="44794"/>
    <x v="171"/>
    <x v="3"/>
    <x v="0"/>
    <x v="2"/>
    <s v="Carina Double Wide Media Storage Towers in Natural &amp; Black"/>
    <x v="170"/>
    <n v="1"/>
    <n v="3.24"/>
    <x v="7"/>
    <x v="1"/>
  </r>
  <r>
    <n v="44794"/>
    <x v="549"/>
    <x v="10"/>
    <x v="0"/>
    <x v="3"/>
    <s v="Acco D-Ring Binder w/DublLock"/>
    <x v="1845"/>
    <n v="2"/>
    <n v="-8.98"/>
    <x v="7"/>
    <x v="1"/>
  </r>
  <r>
    <n v="44794"/>
    <x v="549"/>
    <x v="10"/>
    <x v="1"/>
    <x v="5"/>
    <s v="Global Commerce Series High-Back Swivel/Tilt Chairs"/>
    <x v="2271"/>
    <n v="3"/>
    <n v="-42.75"/>
    <x v="7"/>
    <x v="1"/>
  </r>
  <r>
    <n v="44794"/>
    <x v="549"/>
    <x v="10"/>
    <x v="1"/>
    <x v="8"/>
    <s v="Tenex Chairmats For Use with Hard Floors"/>
    <x v="679"/>
    <n v="1"/>
    <n v="-3.9"/>
    <x v="7"/>
    <x v="1"/>
  </r>
  <r>
    <n v="44794"/>
    <x v="418"/>
    <x v="5"/>
    <x v="0"/>
    <x v="4"/>
    <s v="Quartet Omega Colored Chalk, 12/Pack"/>
    <x v="1765"/>
    <n v="3"/>
    <n v="8.23"/>
    <x v="7"/>
    <x v="1"/>
  </r>
  <r>
    <n v="44794"/>
    <x v="418"/>
    <x v="5"/>
    <x v="0"/>
    <x v="4"/>
    <s v="Premium Writing Pencils, Soft, #2 by Central Association for the Blind"/>
    <x v="2272"/>
    <n v="12"/>
    <n v="10.01"/>
    <x v="7"/>
    <x v="1"/>
  </r>
  <r>
    <n v="44794"/>
    <x v="88"/>
    <x v="2"/>
    <x v="0"/>
    <x v="14"/>
    <s v="Staple remover"/>
    <x v="656"/>
    <n v="2"/>
    <n v="-0.7"/>
    <x v="7"/>
    <x v="1"/>
  </r>
  <r>
    <n v="44794"/>
    <x v="88"/>
    <x v="2"/>
    <x v="2"/>
    <x v="9"/>
    <s v="Sabrent 4-Port USB 2.0 Hub"/>
    <x v="928"/>
    <n v="4"/>
    <n v="3.8"/>
    <x v="7"/>
    <x v="1"/>
  </r>
  <r>
    <n v="44794"/>
    <x v="88"/>
    <x v="2"/>
    <x v="0"/>
    <x v="2"/>
    <s v="SAFCO Commercial Wire Shelving, Black"/>
    <x v="2273"/>
    <n v="6"/>
    <n v="-165.77"/>
    <x v="7"/>
    <x v="1"/>
  </r>
  <r>
    <n v="44794"/>
    <x v="88"/>
    <x v="2"/>
    <x v="0"/>
    <x v="3"/>
    <s v="GBC DocuBind P100 Manual Binding Machine"/>
    <x v="315"/>
    <n v="2"/>
    <n v="-82.99"/>
    <x v="7"/>
    <x v="1"/>
  </r>
  <r>
    <n v="44794"/>
    <x v="88"/>
    <x v="2"/>
    <x v="0"/>
    <x v="0"/>
    <s v="Xerox 1979"/>
    <x v="827"/>
    <n v="2"/>
    <n v="15.49"/>
    <x v="7"/>
    <x v="1"/>
  </r>
  <r>
    <n v="44795"/>
    <x v="679"/>
    <x v="20"/>
    <x v="0"/>
    <x v="3"/>
    <s v="Avery 3 1/2&quot; Diskette Storage Pages, 10/Pack"/>
    <x v="2274"/>
    <n v="6"/>
    <n v="16.29"/>
    <x v="7"/>
    <x v="1"/>
  </r>
  <r>
    <n v="44795"/>
    <x v="680"/>
    <x v="20"/>
    <x v="0"/>
    <x v="4"/>
    <s v="Newell Chalk Holder"/>
    <x v="356"/>
    <n v="4"/>
    <n v="7.6"/>
    <x v="7"/>
    <x v="1"/>
  </r>
  <r>
    <n v="44796"/>
    <x v="210"/>
    <x v="1"/>
    <x v="0"/>
    <x v="14"/>
    <s v="Acme Tagit Stainless Steel Antibacterial Scissors"/>
    <x v="1214"/>
    <n v="4"/>
    <n v="2.77"/>
    <x v="7"/>
    <x v="1"/>
  </r>
  <r>
    <n v="44796"/>
    <x v="210"/>
    <x v="1"/>
    <x v="0"/>
    <x v="0"/>
    <s v="Xerox 206"/>
    <x v="320"/>
    <n v="2"/>
    <n v="3.63"/>
    <x v="7"/>
    <x v="1"/>
  </r>
  <r>
    <n v="44796"/>
    <x v="210"/>
    <x v="1"/>
    <x v="0"/>
    <x v="7"/>
    <s v="Staples"/>
    <x v="2275"/>
    <n v="8"/>
    <n v="2.2599999999999998"/>
    <x v="7"/>
    <x v="1"/>
  </r>
  <r>
    <n v="44796"/>
    <x v="210"/>
    <x v="1"/>
    <x v="0"/>
    <x v="12"/>
    <s v="Holmes Odor Grabber"/>
    <x v="2276"/>
    <n v="2"/>
    <n v="-13.55"/>
    <x v="7"/>
    <x v="1"/>
  </r>
  <r>
    <n v="44796"/>
    <x v="681"/>
    <x v="4"/>
    <x v="0"/>
    <x v="12"/>
    <s v="Avanti 4.4 Cu. Ft. Refrigerator"/>
    <x v="2277"/>
    <n v="3"/>
    <n v="152.02000000000001"/>
    <x v="7"/>
    <x v="1"/>
  </r>
  <r>
    <n v="44796"/>
    <x v="681"/>
    <x v="4"/>
    <x v="0"/>
    <x v="1"/>
    <s v="Avery 474"/>
    <x v="406"/>
    <n v="3"/>
    <n v="4.2300000000000004"/>
    <x v="7"/>
    <x v="1"/>
  </r>
  <r>
    <n v="44796"/>
    <x v="681"/>
    <x v="4"/>
    <x v="0"/>
    <x v="0"/>
    <s v="Xerox 1944"/>
    <x v="2278"/>
    <n v="5"/>
    <n v="94.96"/>
    <x v="7"/>
    <x v="1"/>
  </r>
  <r>
    <n v="44796"/>
    <x v="681"/>
    <x v="4"/>
    <x v="0"/>
    <x v="0"/>
    <s v="Xerox 1962"/>
    <x v="369"/>
    <n v="5"/>
    <n v="9.6300000000000008"/>
    <x v="7"/>
    <x v="1"/>
  </r>
  <r>
    <n v="44796"/>
    <x v="681"/>
    <x v="4"/>
    <x v="0"/>
    <x v="0"/>
    <s v="Xerox 1890"/>
    <x v="2279"/>
    <n v="2"/>
    <n v="48.94"/>
    <x v="7"/>
    <x v="1"/>
  </r>
  <r>
    <n v="44796"/>
    <x v="681"/>
    <x v="4"/>
    <x v="2"/>
    <x v="9"/>
    <s v="MaxellÂ LTO Ultrium - 800 GB"/>
    <x v="1191"/>
    <n v="9"/>
    <n v="47.86"/>
    <x v="7"/>
    <x v="1"/>
  </r>
  <r>
    <n v="44796"/>
    <x v="681"/>
    <x v="4"/>
    <x v="0"/>
    <x v="12"/>
    <s v="Acco Six-Outlet Power Strip, 4' Cord Length"/>
    <x v="2280"/>
    <n v="3"/>
    <n v="6.72"/>
    <x v="7"/>
    <x v="1"/>
  </r>
  <r>
    <n v="44797"/>
    <x v="92"/>
    <x v="0"/>
    <x v="0"/>
    <x v="2"/>
    <s v="Hot File 7-Pocket, Floor Stand"/>
    <x v="2281"/>
    <n v="7"/>
    <n v="124.93"/>
    <x v="7"/>
    <x v="1"/>
  </r>
  <r>
    <n v="44797"/>
    <x v="92"/>
    <x v="0"/>
    <x v="0"/>
    <x v="2"/>
    <s v="Space Solutions Commercial Steel Shelving"/>
    <x v="2282"/>
    <n v="14"/>
    <n v="-135.77000000000001"/>
    <x v="7"/>
    <x v="1"/>
  </r>
  <r>
    <n v="44797"/>
    <x v="92"/>
    <x v="0"/>
    <x v="1"/>
    <x v="13"/>
    <s v="Hon Racetrack Conference Tables"/>
    <x v="2283"/>
    <n v="5"/>
    <n v="-118.13"/>
    <x v="7"/>
    <x v="1"/>
  </r>
  <r>
    <n v="44797"/>
    <x v="92"/>
    <x v="0"/>
    <x v="0"/>
    <x v="3"/>
    <s v="Avery Durable Plastic 1&quot; Binders"/>
    <x v="1031"/>
    <n v="3"/>
    <n v="-4.22"/>
    <x v="7"/>
    <x v="1"/>
  </r>
  <r>
    <n v="44797"/>
    <x v="654"/>
    <x v="20"/>
    <x v="1"/>
    <x v="13"/>
    <s v="Chromcraft Rectangular Conference Tables"/>
    <x v="2284"/>
    <n v="2"/>
    <n v="-75.83"/>
    <x v="7"/>
    <x v="1"/>
  </r>
  <r>
    <n v="44797"/>
    <x v="654"/>
    <x v="20"/>
    <x v="2"/>
    <x v="9"/>
    <s v="Memorex Micro Travel Drive 8 GB"/>
    <x v="2285"/>
    <n v="2"/>
    <n v="11.7"/>
    <x v="7"/>
    <x v="1"/>
  </r>
  <r>
    <n v="44797"/>
    <x v="682"/>
    <x v="5"/>
    <x v="2"/>
    <x v="15"/>
    <s v="Cisco 9971 IP Video Phone Charcoal"/>
    <x v="2286"/>
    <n v="7"/>
    <n v="1416.8"/>
    <x v="7"/>
    <x v="1"/>
  </r>
  <r>
    <n v="44797"/>
    <x v="682"/>
    <x v="5"/>
    <x v="2"/>
    <x v="9"/>
    <s v="Anker Ultra-Slim Mini Bluetooth 3.0 Wireless Keyboard"/>
    <x v="1813"/>
    <n v="4"/>
    <n v="18.39"/>
    <x v="7"/>
    <x v="1"/>
  </r>
  <r>
    <n v="44797"/>
    <x v="682"/>
    <x v="5"/>
    <x v="2"/>
    <x v="6"/>
    <s v="LG G3"/>
    <x v="165"/>
    <n v="3"/>
    <n v="170.51"/>
    <x v="7"/>
    <x v="1"/>
  </r>
  <r>
    <n v="44797"/>
    <x v="59"/>
    <x v="20"/>
    <x v="1"/>
    <x v="8"/>
    <s v="DAX Value U-Channel Document Frames, Easel Back"/>
    <x v="2287"/>
    <n v="3"/>
    <n v="4.62"/>
    <x v="7"/>
    <x v="1"/>
  </r>
  <r>
    <n v="44797"/>
    <x v="445"/>
    <x v="11"/>
    <x v="0"/>
    <x v="4"/>
    <s v="Premium Writing Pencils, Soft, #2 by Central Association for the Blind"/>
    <x v="2288"/>
    <n v="3"/>
    <n v="0.72"/>
    <x v="7"/>
    <x v="1"/>
  </r>
  <r>
    <n v="44797"/>
    <x v="102"/>
    <x v="10"/>
    <x v="2"/>
    <x v="6"/>
    <s v="Belkin SportFit Armband For iPhone 5s/5c, Fuchsia"/>
    <x v="1984"/>
    <n v="3"/>
    <n v="4.05"/>
    <x v="7"/>
    <x v="1"/>
  </r>
  <r>
    <n v="44797"/>
    <x v="102"/>
    <x v="10"/>
    <x v="0"/>
    <x v="1"/>
    <s v="Avery 474"/>
    <x v="318"/>
    <n v="3"/>
    <n v="2.5099999999999998"/>
    <x v="7"/>
    <x v="1"/>
  </r>
  <r>
    <n v="44797"/>
    <x v="102"/>
    <x v="10"/>
    <x v="0"/>
    <x v="2"/>
    <s v="Adjustable Depth Letter/Legal Cart"/>
    <x v="2125"/>
    <n v="3"/>
    <n v="48.99"/>
    <x v="7"/>
    <x v="1"/>
  </r>
  <r>
    <n v="44798"/>
    <x v="483"/>
    <x v="3"/>
    <x v="1"/>
    <x v="5"/>
    <s v="Global Deluxe Stacking Chair, Gray"/>
    <x v="1174"/>
    <n v="1"/>
    <n v="4.59"/>
    <x v="7"/>
    <x v="1"/>
  </r>
  <r>
    <n v="44798"/>
    <x v="483"/>
    <x v="3"/>
    <x v="0"/>
    <x v="12"/>
    <s v="Fellowes Advanced Computer Series Surge Protectors"/>
    <x v="2289"/>
    <n v="4"/>
    <n v="29.67"/>
    <x v="7"/>
    <x v="1"/>
  </r>
  <r>
    <n v="44798"/>
    <x v="260"/>
    <x v="0"/>
    <x v="1"/>
    <x v="8"/>
    <s v="Eldon Executive Woodline II Desk Accessories, Mahogany"/>
    <x v="2118"/>
    <n v="2"/>
    <n v="-16.59"/>
    <x v="7"/>
    <x v="1"/>
  </r>
  <r>
    <n v="44798"/>
    <x v="260"/>
    <x v="0"/>
    <x v="0"/>
    <x v="3"/>
    <s v="Poly Designer Cover &amp; Back"/>
    <x v="2290"/>
    <n v="1"/>
    <n v="-6.08"/>
    <x v="7"/>
    <x v="1"/>
  </r>
  <r>
    <n v="44798"/>
    <x v="260"/>
    <x v="0"/>
    <x v="1"/>
    <x v="8"/>
    <s v="Nu-Dell EZ-Mount Plastic Wall Frames"/>
    <x v="2291"/>
    <n v="5"/>
    <n v="-3.94"/>
    <x v="7"/>
    <x v="1"/>
  </r>
  <r>
    <n v="44800"/>
    <x v="371"/>
    <x v="3"/>
    <x v="0"/>
    <x v="2"/>
    <s v="Fellowes Super Stor/Drawer Files"/>
    <x v="2292"/>
    <n v="3"/>
    <n v="92.08"/>
    <x v="7"/>
    <x v="1"/>
  </r>
  <r>
    <n v="44800"/>
    <x v="413"/>
    <x v="3"/>
    <x v="0"/>
    <x v="14"/>
    <s v="Fiskars Softgrip Scissors"/>
    <x v="2293"/>
    <n v="3"/>
    <n v="9.2200000000000006"/>
    <x v="7"/>
    <x v="1"/>
  </r>
  <r>
    <n v="44800"/>
    <x v="413"/>
    <x v="3"/>
    <x v="0"/>
    <x v="0"/>
    <s v="Xerox 1973"/>
    <x v="809"/>
    <n v="5"/>
    <n v="52.53"/>
    <x v="7"/>
    <x v="1"/>
  </r>
  <r>
    <n v="44800"/>
    <x v="413"/>
    <x v="3"/>
    <x v="0"/>
    <x v="1"/>
    <s v="Avery 511"/>
    <x v="2294"/>
    <n v="1"/>
    <n v="1.48"/>
    <x v="7"/>
    <x v="1"/>
  </r>
  <r>
    <n v="44800"/>
    <x v="570"/>
    <x v="3"/>
    <x v="0"/>
    <x v="3"/>
    <s v="Avery Heavy-Duty EZD View Binder with Locking Rings"/>
    <x v="1509"/>
    <n v="1"/>
    <n v="1.66"/>
    <x v="7"/>
    <x v="1"/>
  </r>
  <r>
    <n v="44801"/>
    <x v="477"/>
    <x v="1"/>
    <x v="2"/>
    <x v="16"/>
    <s v="Canon Imageclass D680 Copier / Fax"/>
    <x v="962"/>
    <n v="5"/>
    <n v="874.99"/>
    <x v="7"/>
    <x v="1"/>
  </r>
  <r>
    <n v="44801"/>
    <x v="92"/>
    <x v="3"/>
    <x v="0"/>
    <x v="2"/>
    <s v="Hot File 7-Pocket, Floor Stand"/>
    <x v="2295"/>
    <n v="5"/>
    <n v="267.70999999999998"/>
    <x v="7"/>
    <x v="1"/>
  </r>
  <r>
    <n v="44801"/>
    <x v="92"/>
    <x v="3"/>
    <x v="1"/>
    <x v="11"/>
    <s v="O'Sullivan 2-Door Barrister Bookcase in Odessa Pine"/>
    <x v="2296"/>
    <n v="2"/>
    <n v="28.96"/>
    <x v="7"/>
    <x v="1"/>
  </r>
  <r>
    <n v="44801"/>
    <x v="92"/>
    <x v="3"/>
    <x v="0"/>
    <x v="2"/>
    <s v="Carina Double Wide Media Storage Towers in Natural &amp; Black"/>
    <x v="2297"/>
    <n v="9"/>
    <n v="29.15"/>
    <x v="7"/>
    <x v="1"/>
  </r>
  <r>
    <n v="44801"/>
    <x v="92"/>
    <x v="3"/>
    <x v="0"/>
    <x v="3"/>
    <s v="GBC Wire Binding Combs"/>
    <x v="2298"/>
    <n v="5"/>
    <n v="13.96"/>
    <x v="7"/>
    <x v="1"/>
  </r>
  <r>
    <n v="44801"/>
    <x v="92"/>
    <x v="3"/>
    <x v="2"/>
    <x v="6"/>
    <s v="invisibleSHIELD by ZAGG Smudge-Free Screen Protector"/>
    <x v="1067"/>
    <n v="3"/>
    <n v="15.11"/>
    <x v="7"/>
    <x v="1"/>
  </r>
  <r>
    <n v="44801"/>
    <x v="92"/>
    <x v="3"/>
    <x v="1"/>
    <x v="8"/>
    <s v="Eldon Wave Desk Accessories"/>
    <x v="2299"/>
    <n v="2"/>
    <n v="1.75"/>
    <x v="7"/>
    <x v="1"/>
  </r>
  <r>
    <n v="44801"/>
    <x v="624"/>
    <x v="0"/>
    <x v="2"/>
    <x v="6"/>
    <s v="Mitel MiVoice 5330e IP Phone"/>
    <x v="2134"/>
    <n v="5"/>
    <n v="82.5"/>
    <x v="7"/>
    <x v="1"/>
  </r>
  <r>
    <n v="44801"/>
    <x v="624"/>
    <x v="0"/>
    <x v="1"/>
    <x v="13"/>
    <s v="Hon 2111 Invitation Series Straight Table"/>
    <x v="2300"/>
    <n v="1"/>
    <n v="-16.260000000000002"/>
    <x v="7"/>
    <x v="1"/>
  </r>
  <r>
    <n v="44801"/>
    <x v="436"/>
    <x v="37"/>
    <x v="0"/>
    <x v="2"/>
    <s v="SAFCO Mobile Desk Side File, Wire Frame"/>
    <x v="2301"/>
    <n v="11"/>
    <n v="122.29"/>
    <x v="7"/>
    <x v="1"/>
  </r>
  <r>
    <n v="44802"/>
    <x v="570"/>
    <x v="14"/>
    <x v="2"/>
    <x v="6"/>
    <s v="Samsung Rugby III"/>
    <x v="2302"/>
    <n v="2"/>
    <n v="35.630000000000003"/>
    <x v="7"/>
    <x v="1"/>
  </r>
  <r>
    <n v="44802"/>
    <x v="570"/>
    <x v="14"/>
    <x v="2"/>
    <x v="9"/>
    <s v="Logitech Desktop MK120 Mouse and keyboard Combo"/>
    <x v="2303"/>
    <n v="7"/>
    <n v="11.45"/>
    <x v="7"/>
    <x v="1"/>
  </r>
  <r>
    <n v="44804"/>
    <x v="177"/>
    <x v="3"/>
    <x v="0"/>
    <x v="0"/>
    <s v="Xerox 226"/>
    <x v="309"/>
    <n v="9"/>
    <n v="27.99"/>
    <x v="7"/>
    <x v="1"/>
  </r>
  <r>
    <n v="44804"/>
    <x v="134"/>
    <x v="3"/>
    <x v="1"/>
    <x v="11"/>
    <s v="Atlantic Metals Mobile 3-Shelf Bookcases, Custom Colors"/>
    <x v="2304"/>
    <n v="7"/>
    <n v="200.95"/>
    <x v="7"/>
    <x v="1"/>
  </r>
  <r>
    <n v="44804"/>
    <x v="134"/>
    <x v="3"/>
    <x v="0"/>
    <x v="3"/>
    <s v="GBC Prestige Therm-A-Bind Covers"/>
    <x v="977"/>
    <n v="5"/>
    <n v="46.32"/>
    <x v="7"/>
    <x v="1"/>
  </r>
  <r>
    <n v="44804"/>
    <x v="134"/>
    <x v="3"/>
    <x v="2"/>
    <x v="9"/>
    <s v="Memorex Micro Travel Drive 32 GB"/>
    <x v="2305"/>
    <n v="1"/>
    <n v="15.7"/>
    <x v="7"/>
    <x v="1"/>
  </r>
  <r>
    <n v="44804"/>
    <x v="134"/>
    <x v="3"/>
    <x v="2"/>
    <x v="15"/>
    <s v="Lexmark S315 Color Inkjet Printer"/>
    <x v="868"/>
    <n v="3"/>
    <n v="80.989999999999995"/>
    <x v="7"/>
    <x v="1"/>
  </r>
  <r>
    <n v="44804"/>
    <x v="26"/>
    <x v="0"/>
    <x v="0"/>
    <x v="0"/>
    <s v="Message Book, Phone, Wirebound Standard Line Memo, 2 3/4&quot; X 5&quot;"/>
    <x v="2105"/>
    <n v="4"/>
    <n v="6.81"/>
    <x v="7"/>
    <x v="1"/>
  </r>
  <r>
    <n v="44804"/>
    <x v="511"/>
    <x v="3"/>
    <x v="2"/>
    <x v="6"/>
    <s v="Toshiba IPT2010-SD IPÂ Telephone"/>
    <x v="2306"/>
    <n v="5"/>
    <n v="41.7"/>
    <x v="7"/>
    <x v="1"/>
  </r>
  <r>
    <n v="44805"/>
    <x v="440"/>
    <x v="3"/>
    <x v="0"/>
    <x v="3"/>
    <s v="Storex Dura Pro Binders"/>
    <x v="2307"/>
    <n v="1"/>
    <n v="1.6"/>
    <x v="8"/>
    <x v="1"/>
  </r>
  <r>
    <n v="44805"/>
    <x v="440"/>
    <x v="3"/>
    <x v="2"/>
    <x v="16"/>
    <s v="Hewlett Packard LaserJet 3310 Copier"/>
    <x v="2308"/>
    <n v="2"/>
    <n v="335.99"/>
    <x v="8"/>
    <x v="1"/>
  </r>
  <r>
    <n v="44805"/>
    <x v="440"/>
    <x v="3"/>
    <x v="0"/>
    <x v="3"/>
    <s v="Avery Non-Stick Binders"/>
    <x v="2309"/>
    <n v="4"/>
    <n v="4.49"/>
    <x v="8"/>
    <x v="1"/>
  </r>
  <r>
    <n v="44805"/>
    <x v="108"/>
    <x v="32"/>
    <x v="0"/>
    <x v="3"/>
    <s v="Deluxe Heavy-Duty Vinyl Round Ring Binder"/>
    <x v="2310"/>
    <n v="5"/>
    <n v="51.57"/>
    <x v="8"/>
    <x v="1"/>
  </r>
  <r>
    <n v="44805"/>
    <x v="108"/>
    <x v="32"/>
    <x v="1"/>
    <x v="5"/>
    <s v="Global Value Steno Chair, Gray"/>
    <x v="2311"/>
    <n v="1"/>
    <n v="15.19"/>
    <x v="8"/>
    <x v="1"/>
  </r>
  <r>
    <n v="44805"/>
    <x v="108"/>
    <x v="32"/>
    <x v="1"/>
    <x v="8"/>
    <s v="Deflect-o Glass Clear Studded Chair Mats"/>
    <x v="2312"/>
    <n v="2"/>
    <n v="27.36"/>
    <x v="8"/>
    <x v="1"/>
  </r>
  <r>
    <n v="44805"/>
    <x v="108"/>
    <x v="32"/>
    <x v="0"/>
    <x v="2"/>
    <s v="Adjustable Depth Letter/Legal Cart"/>
    <x v="2313"/>
    <n v="6"/>
    <n v="315.74"/>
    <x v="8"/>
    <x v="1"/>
  </r>
  <r>
    <n v="44807"/>
    <x v="520"/>
    <x v="25"/>
    <x v="0"/>
    <x v="10"/>
    <s v="Jet-Pak Recycled Peel 'N' Seal Padded Mailers"/>
    <x v="1969"/>
    <n v="7"/>
    <n v="62.81"/>
    <x v="8"/>
    <x v="1"/>
  </r>
  <r>
    <n v="44807"/>
    <x v="110"/>
    <x v="2"/>
    <x v="0"/>
    <x v="2"/>
    <s v="Eldon Gobal File Keepers"/>
    <x v="2314"/>
    <n v="3"/>
    <n v="-7.27"/>
    <x v="8"/>
    <x v="1"/>
  </r>
  <r>
    <n v="44807"/>
    <x v="110"/>
    <x v="2"/>
    <x v="0"/>
    <x v="14"/>
    <s v="Martin Yale Chadless Opener Electric Letter Opener"/>
    <x v="2315"/>
    <n v="1"/>
    <n v="-149.91"/>
    <x v="8"/>
    <x v="1"/>
  </r>
  <r>
    <n v="44807"/>
    <x v="110"/>
    <x v="2"/>
    <x v="0"/>
    <x v="10"/>
    <s v="White Business Envelopes with Contemporary Seam, Recycled White Business Envelopes"/>
    <x v="1148"/>
    <n v="6"/>
    <n v="19.690000000000001"/>
    <x v="8"/>
    <x v="1"/>
  </r>
  <r>
    <n v="44807"/>
    <x v="639"/>
    <x v="3"/>
    <x v="0"/>
    <x v="2"/>
    <s v="Sterilite Officeware Hinged File Box"/>
    <x v="2316"/>
    <n v="3"/>
    <n v="8.49"/>
    <x v="8"/>
    <x v="1"/>
  </r>
  <r>
    <n v="44807"/>
    <x v="639"/>
    <x v="3"/>
    <x v="2"/>
    <x v="9"/>
    <s v="Kingston Digital DataTraveler 16GB USB 2.0"/>
    <x v="558"/>
    <n v="2"/>
    <n v="3.4"/>
    <x v="8"/>
    <x v="1"/>
  </r>
  <r>
    <n v="44807"/>
    <x v="639"/>
    <x v="3"/>
    <x v="2"/>
    <x v="9"/>
    <s v="TRENDnet 56K USB 2.0 Phone, Internet and Fax Modem"/>
    <x v="2317"/>
    <n v="5"/>
    <n v="46.6"/>
    <x v="8"/>
    <x v="1"/>
  </r>
  <r>
    <n v="44807"/>
    <x v="403"/>
    <x v="37"/>
    <x v="0"/>
    <x v="12"/>
    <s v="Holmes Replacement Filter for HEPA Air Cleaner, Very Large Room, HEPA Filter"/>
    <x v="2318"/>
    <n v="2"/>
    <n v="60.55"/>
    <x v="8"/>
    <x v="1"/>
  </r>
  <r>
    <n v="44807"/>
    <x v="403"/>
    <x v="37"/>
    <x v="2"/>
    <x v="6"/>
    <s v="Classic Ivory AntiqueÂ TelephoneÂ ZL1810"/>
    <x v="2319"/>
    <n v="1"/>
    <n v="25.12"/>
    <x v="8"/>
    <x v="1"/>
  </r>
  <r>
    <n v="44807"/>
    <x v="403"/>
    <x v="20"/>
    <x v="0"/>
    <x v="2"/>
    <s v="Iceberg Mobile Mega Data/Printer Cart"/>
    <x v="2320"/>
    <n v="1"/>
    <n v="31.29"/>
    <x v="8"/>
    <x v="1"/>
  </r>
  <r>
    <n v="44807"/>
    <x v="326"/>
    <x v="3"/>
    <x v="1"/>
    <x v="5"/>
    <s v="Office Star - Ergonomically Designed Knee Chair"/>
    <x v="102"/>
    <n v="2"/>
    <n v="-12.96"/>
    <x v="8"/>
    <x v="1"/>
  </r>
  <r>
    <n v="44807"/>
    <x v="326"/>
    <x v="3"/>
    <x v="0"/>
    <x v="3"/>
    <s v="Avery Durable Slant Ring Binders, No Labels"/>
    <x v="1380"/>
    <n v="2"/>
    <n v="2.15"/>
    <x v="8"/>
    <x v="1"/>
  </r>
  <r>
    <n v="44807"/>
    <x v="552"/>
    <x v="12"/>
    <x v="1"/>
    <x v="8"/>
    <s v="GE 48&quot; Fluorescent Tube, Cool White Energy Saver, 34 Watts, 30/Box"/>
    <x v="2321"/>
    <n v="3"/>
    <n v="89.31"/>
    <x v="8"/>
    <x v="1"/>
  </r>
  <r>
    <n v="44807"/>
    <x v="209"/>
    <x v="14"/>
    <x v="0"/>
    <x v="1"/>
    <s v="Smead Alpha-Z Color-Coded Name Labels First Letter Starter Set"/>
    <x v="2322"/>
    <n v="2"/>
    <n v="3.6"/>
    <x v="8"/>
    <x v="1"/>
  </r>
  <r>
    <n v="44808"/>
    <x v="349"/>
    <x v="4"/>
    <x v="0"/>
    <x v="0"/>
    <s v="Xerox 1908"/>
    <x v="2323"/>
    <n v="5"/>
    <n v="137.15"/>
    <x v="8"/>
    <x v="1"/>
  </r>
  <r>
    <n v="44808"/>
    <x v="349"/>
    <x v="4"/>
    <x v="2"/>
    <x v="9"/>
    <s v="Logitech G19 Programmable Gaming Keyboard"/>
    <x v="2324"/>
    <n v="5"/>
    <n v="111.59"/>
    <x v="8"/>
    <x v="1"/>
  </r>
  <r>
    <n v="44808"/>
    <x v="349"/>
    <x v="4"/>
    <x v="0"/>
    <x v="0"/>
    <s v="Ampad Evidence Wirebond Steno Books, 6&quot; x 9&quot;"/>
    <x v="2325"/>
    <n v="2"/>
    <n v="2.0499999999999998"/>
    <x v="8"/>
    <x v="1"/>
  </r>
  <r>
    <n v="44808"/>
    <x v="349"/>
    <x v="4"/>
    <x v="0"/>
    <x v="10"/>
    <s v="Security-Tint Envelopes"/>
    <x v="510"/>
    <n v="2"/>
    <n v="7.49"/>
    <x v="8"/>
    <x v="1"/>
  </r>
  <r>
    <n v="44808"/>
    <x v="127"/>
    <x v="11"/>
    <x v="0"/>
    <x v="3"/>
    <s v="Acco Flexible ACCOHIDE Square Ring Data Binder, Dark Blue, 11 1/2&quot; X 14&quot; 7/8&quot;"/>
    <x v="2326"/>
    <n v="2"/>
    <n v="-6.83"/>
    <x v="8"/>
    <x v="1"/>
  </r>
  <r>
    <n v="44808"/>
    <x v="171"/>
    <x v="0"/>
    <x v="2"/>
    <x v="9"/>
    <s v="Sony Micro Vault Click 16 GB USB 2.0 Flash Drive"/>
    <x v="2327"/>
    <n v="3"/>
    <n v="6.72"/>
    <x v="8"/>
    <x v="1"/>
  </r>
  <r>
    <n v="44808"/>
    <x v="678"/>
    <x v="2"/>
    <x v="0"/>
    <x v="3"/>
    <s v="Avery Heavy-Duty EZD View Binder with Locking Rings"/>
    <x v="1994"/>
    <n v="4"/>
    <n v="-6.12"/>
    <x v="8"/>
    <x v="1"/>
  </r>
  <r>
    <n v="44809"/>
    <x v="316"/>
    <x v="3"/>
    <x v="1"/>
    <x v="11"/>
    <s v="Sauder Camden County Barrister Bookcase, Planked Cherry Finish"/>
    <x v="1427"/>
    <n v="4"/>
    <n v="-4.84"/>
    <x v="8"/>
    <x v="1"/>
  </r>
  <r>
    <n v="44809"/>
    <x v="316"/>
    <x v="3"/>
    <x v="0"/>
    <x v="3"/>
    <s v="DXL Angle-View Binders with Locking Rings, Black"/>
    <x v="2072"/>
    <n v="6"/>
    <n v="9.6999999999999993"/>
    <x v="8"/>
    <x v="1"/>
  </r>
  <r>
    <n v="44809"/>
    <x v="316"/>
    <x v="3"/>
    <x v="1"/>
    <x v="11"/>
    <s v="Sauder Camden County Collection Libraries, Planked Cherry Finish"/>
    <x v="2328"/>
    <n v="3"/>
    <n v="-20.7"/>
    <x v="8"/>
    <x v="1"/>
  </r>
  <r>
    <n v="44809"/>
    <x v="683"/>
    <x v="0"/>
    <x v="0"/>
    <x v="3"/>
    <s v="Acco Flexible ACCOHIDE Square Ring Data Binder, Dark Blue, 11 1/2&quot; X 14&quot; 7/8&quot;"/>
    <x v="219"/>
    <n v="5"/>
    <n v="-25.22"/>
    <x v="8"/>
    <x v="1"/>
  </r>
  <r>
    <n v="44809"/>
    <x v="683"/>
    <x v="0"/>
    <x v="0"/>
    <x v="14"/>
    <s v="Stiletto Hand Letter Openers"/>
    <x v="2329"/>
    <n v="9"/>
    <n v="-14.69"/>
    <x v="8"/>
    <x v="1"/>
  </r>
  <r>
    <n v="44809"/>
    <x v="683"/>
    <x v="0"/>
    <x v="0"/>
    <x v="3"/>
    <s v="Acco Four Pocket Poly Ring Binder with Label Holder, Smoke, 1&quot;"/>
    <x v="2330"/>
    <n v="3"/>
    <n v="-7.82"/>
    <x v="8"/>
    <x v="1"/>
  </r>
  <r>
    <n v="44809"/>
    <x v="569"/>
    <x v="28"/>
    <x v="1"/>
    <x v="8"/>
    <s v="Longer-Life Soft White Bulbs"/>
    <x v="1059"/>
    <n v="2"/>
    <n v="2.96"/>
    <x v="8"/>
    <x v="1"/>
  </r>
  <r>
    <n v="44809"/>
    <x v="569"/>
    <x v="28"/>
    <x v="0"/>
    <x v="0"/>
    <s v="Xerox 1881"/>
    <x v="570"/>
    <n v="3"/>
    <n v="17.309999999999999"/>
    <x v="8"/>
    <x v="1"/>
  </r>
  <r>
    <n v="44809"/>
    <x v="581"/>
    <x v="6"/>
    <x v="1"/>
    <x v="8"/>
    <s v="Tensor Brushed Steel Torchiere Floor Lamp"/>
    <x v="2331"/>
    <n v="4"/>
    <n v="12.23"/>
    <x v="8"/>
    <x v="1"/>
  </r>
  <r>
    <n v="44810"/>
    <x v="165"/>
    <x v="22"/>
    <x v="0"/>
    <x v="3"/>
    <s v="Acco Hanging Data Binders"/>
    <x v="675"/>
    <n v="2"/>
    <n v="2.13"/>
    <x v="8"/>
    <x v="1"/>
  </r>
  <r>
    <n v="44810"/>
    <x v="165"/>
    <x v="22"/>
    <x v="1"/>
    <x v="8"/>
    <s v="Howard Miller 16&quot; Diameter Gallery Wall Clock"/>
    <x v="2332"/>
    <n v="3"/>
    <n v="74.81"/>
    <x v="8"/>
    <x v="1"/>
  </r>
  <r>
    <n v="44810"/>
    <x v="604"/>
    <x v="3"/>
    <x v="2"/>
    <x v="9"/>
    <s v="Memorex Mini Travel Drive 8 GB USB 2.0 Flash Drive"/>
    <x v="2333"/>
    <n v="4"/>
    <n v="18.059999999999999"/>
    <x v="8"/>
    <x v="1"/>
  </r>
  <r>
    <n v="44810"/>
    <x v="684"/>
    <x v="20"/>
    <x v="1"/>
    <x v="5"/>
    <s v="Global Airflow Leather Mesh Back Chair, Black"/>
    <x v="2334"/>
    <n v="2"/>
    <n v="60.39"/>
    <x v="8"/>
    <x v="1"/>
  </r>
  <r>
    <n v="44810"/>
    <x v="38"/>
    <x v="15"/>
    <x v="0"/>
    <x v="7"/>
    <s v="Assorted Color Push Pins"/>
    <x v="2335"/>
    <n v="5"/>
    <n v="1.18"/>
    <x v="8"/>
    <x v="1"/>
  </r>
  <r>
    <n v="44810"/>
    <x v="538"/>
    <x v="16"/>
    <x v="0"/>
    <x v="3"/>
    <s v="GBC Plasticlear Binding Covers"/>
    <x v="31"/>
    <n v="1"/>
    <n v="-2.5299999999999998"/>
    <x v="8"/>
    <x v="1"/>
  </r>
  <r>
    <n v="44810"/>
    <x v="14"/>
    <x v="20"/>
    <x v="0"/>
    <x v="12"/>
    <s v="Black &amp; Decker Filter for Double Action Dustbuster Cordless Vac BLDV7210"/>
    <x v="2336"/>
    <n v="1"/>
    <n v="2.1"/>
    <x v="8"/>
    <x v="1"/>
  </r>
  <r>
    <n v="44810"/>
    <x v="14"/>
    <x v="20"/>
    <x v="2"/>
    <x v="6"/>
    <s v="ShoreTel ShorePhone IP 230 VoIP phone"/>
    <x v="2337"/>
    <n v="2"/>
    <n v="101.39"/>
    <x v="8"/>
    <x v="1"/>
  </r>
  <r>
    <n v="44810"/>
    <x v="340"/>
    <x v="6"/>
    <x v="0"/>
    <x v="3"/>
    <s v="SlimView Poly Binder, 3/8&quot;"/>
    <x v="2338"/>
    <n v="9"/>
    <n v="21.45"/>
    <x v="8"/>
    <x v="1"/>
  </r>
  <r>
    <n v="44810"/>
    <x v="661"/>
    <x v="8"/>
    <x v="1"/>
    <x v="13"/>
    <s v="KI Adjustable-Height Table"/>
    <x v="596"/>
    <n v="1"/>
    <n v="22.35"/>
    <x v="8"/>
    <x v="1"/>
  </r>
  <r>
    <n v="44811"/>
    <x v="454"/>
    <x v="3"/>
    <x v="0"/>
    <x v="2"/>
    <s v="Safco Industrial Wire Shelving"/>
    <x v="2339"/>
    <n v="7"/>
    <n v="20.16"/>
    <x v="8"/>
    <x v="1"/>
  </r>
  <r>
    <n v="44811"/>
    <x v="309"/>
    <x v="0"/>
    <x v="1"/>
    <x v="5"/>
    <s v="Metal Folding Chairs, Beige, 4/Carton"/>
    <x v="2340"/>
    <n v="2"/>
    <n v="-2.04"/>
    <x v="8"/>
    <x v="1"/>
  </r>
  <r>
    <n v="44811"/>
    <x v="387"/>
    <x v="20"/>
    <x v="0"/>
    <x v="2"/>
    <s v="Eldon Shelf Savers Cubes and Bins"/>
    <x v="517"/>
    <n v="2"/>
    <n v="0.28000000000000003"/>
    <x v="8"/>
    <x v="1"/>
  </r>
  <r>
    <n v="44811"/>
    <x v="387"/>
    <x v="20"/>
    <x v="1"/>
    <x v="13"/>
    <s v="Anderson Hickey Conga Table Tops &amp; Accessories"/>
    <x v="2341"/>
    <n v="3"/>
    <n v="-14.16"/>
    <x v="8"/>
    <x v="1"/>
  </r>
  <r>
    <n v="44811"/>
    <x v="382"/>
    <x v="2"/>
    <x v="0"/>
    <x v="3"/>
    <s v="GBC Wire Binding Strips"/>
    <x v="2342"/>
    <n v="1"/>
    <n v="-6.98"/>
    <x v="8"/>
    <x v="1"/>
  </r>
  <r>
    <n v="44811"/>
    <x v="382"/>
    <x v="2"/>
    <x v="2"/>
    <x v="6"/>
    <s v="Samsung Galaxy Note 3"/>
    <x v="2343"/>
    <n v="6"/>
    <n v="-131.99"/>
    <x v="8"/>
    <x v="1"/>
  </r>
  <r>
    <n v="44811"/>
    <x v="382"/>
    <x v="2"/>
    <x v="0"/>
    <x v="3"/>
    <s v="Angle-D Ring Binders"/>
    <x v="2344"/>
    <n v="3"/>
    <n v="-3.94"/>
    <x v="8"/>
    <x v="1"/>
  </r>
  <r>
    <n v="44811"/>
    <x v="369"/>
    <x v="25"/>
    <x v="0"/>
    <x v="4"/>
    <s v="Boston 1645 Deluxe Heavier-Duty Electric Pencil Sharpener"/>
    <x v="401"/>
    <n v="4"/>
    <n v="12.31"/>
    <x v="8"/>
    <x v="1"/>
  </r>
  <r>
    <n v="44811"/>
    <x v="451"/>
    <x v="20"/>
    <x v="2"/>
    <x v="9"/>
    <s v="Razer Kraken PRO Over Ear PC and Music Headset"/>
    <x v="2345"/>
    <n v="7"/>
    <n v="167.98"/>
    <x v="8"/>
    <x v="1"/>
  </r>
  <r>
    <n v="44811"/>
    <x v="340"/>
    <x v="20"/>
    <x v="0"/>
    <x v="2"/>
    <s v="Mobile Personal File Cube"/>
    <x v="2255"/>
    <n v="3"/>
    <n v="18.97"/>
    <x v="8"/>
    <x v="1"/>
  </r>
  <r>
    <n v="44811"/>
    <x v="340"/>
    <x v="20"/>
    <x v="2"/>
    <x v="9"/>
    <s v="KeyTronicÂ E03601U1 -Â KeyboardÂ - Beige"/>
    <x v="2346"/>
    <n v="5"/>
    <n v="16.2"/>
    <x v="8"/>
    <x v="1"/>
  </r>
  <r>
    <n v="44811"/>
    <x v="340"/>
    <x v="20"/>
    <x v="0"/>
    <x v="3"/>
    <s v="Acco Pressboard Covers with Storage Hooks, 9 1/2&quot; x 11&quot;, Executive Red"/>
    <x v="675"/>
    <n v="2"/>
    <n v="2.06"/>
    <x v="8"/>
    <x v="1"/>
  </r>
  <r>
    <n v="44811"/>
    <x v="340"/>
    <x v="20"/>
    <x v="1"/>
    <x v="13"/>
    <s v="Bretford CR8500 Series Meeting Room Furniture"/>
    <x v="2347"/>
    <n v="2"/>
    <n v="-120.29"/>
    <x v="8"/>
    <x v="1"/>
  </r>
  <r>
    <n v="44811"/>
    <x v="340"/>
    <x v="20"/>
    <x v="0"/>
    <x v="7"/>
    <s v="Assorted Color Push Pins"/>
    <x v="2335"/>
    <n v="4"/>
    <n v="2.39"/>
    <x v="8"/>
    <x v="1"/>
  </r>
  <r>
    <n v="44812"/>
    <x v="685"/>
    <x v="3"/>
    <x v="0"/>
    <x v="0"/>
    <s v="Xerox 1928"/>
    <x v="2183"/>
    <n v="5"/>
    <n v="11.88"/>
    <x v="8"/>
    <x v="1"/>
  </r>
  <r>
    <n v="44812"/>
    <x v="685"/>
    <x v="3"/>
    <x v="0"/>
    <x v="2"/>
    <s v="Eldon Shelf Savers Cubes and Bins"/>
    <x v="874"/>
    <n v="6"/>
    <n v="0.84"/>
    <x v="8"/>
    <x v="1"/>
  </r>
  <r>
    <n v="44812"/>
    <x v="197"/>
    <x v="33"/>
    <x v="1"/>
    <x v="8"/>
    <s v="Acrylic Self-Standing Desk Frames"/>
    <x v="107"/>
    <n v="8"/>
    <n v="8.1199999999999992"/>
    <x v="8"/>
    <x v="1"/>
  </r>
  <r>
    <n v="44814"/>
    <x v="309"/>
    <x v="3"/>
    <x v="0"/>
    <x v="14"/>
    <s v="Martin-Yale Premier Letter Opener"/>
    <x v="2348"/>
    <n v="4"/>
    <n v="1.55"/>
    <x v="8"/>
    <x v="1"/>
  </r>
  <r>
    <n v="44814"/>
    <x v="69"/>
    <x v="39"/>
    <x v="0"/>
    <x v="0"/>
    <s v="Xerox 1952"/>
    <x v="98"/>
    <n v="3"/>
    <n v="7.02"/>
    <x v="8"/>
    <x v="1"/>
  </r>
  <r>
    <n v="44814"/>
    <x v="150"/>
    <x v="32"/>
    <x v="0"/>
    <x v="12"/>
    <s v="Euro-Pro Shark Turbo Vacuum"/>
    <x v="32"/>
    <n v="2"/>
    <n v="16.11"/>
    <x v="8"/>
    <x v="1"/>
  </r>
  <r>
    <n v="44814"/>
    <x v="150"/>
    <x v="32"/>
    <x v="1"/>
    <x v="11"/>
    <s v="O'Sullivan 2-Door Barrister Bookcase in Odessa Pine"/>
    <x v="1576"/>
    <n v="2"/>
    <n v="83.25"/>
    <x v="8"/>
    <x v="1"/>
  </r>
  <r>
    <n v="44814"/>
    <x v="150"/>
    <x v="32"/>
    <x v="0"/>
    <x v="0"/>
    <s v="Xerox 1960"/>
    <x v="2349"/>
    <n v="9"/>
    <n v="125.47"/>
    <x v="8"/>
    <x v="1"/>
  </r>
  <r>
    <n v="44814"/>
    <x v="550"/>
    <x v="22"/>
    <x v="0"/>
    <x v="2"/>
    <s v="Belkin 19&quot; Center-Weighted Shelf, Gray"/>
    <x v="2350"/>
    <n v="6"/>
    <n v="17.690000000000001"/>
    <x v="8"/>
    <x v="1"/>
  </r>
  <r>
    <n v="44814"/>
    <x v="686"/>
    <x v="20"/>
    <x v="0"/>
    <x v="4"/>
    <s v="Manco Dry-Lighter Erasable Highlighter"/>
    <x v="603"/>
    <n v="2"/>
    <n v="2.0699999999999998"/>
    <x v="8"/>
    <x v="1"/>
  </r>
  <r>
    <n v="44814"/>
    <x v="410"/>
    <x v="3"/>
    <x v="1"/>
    <x v="8"/>
    <s v="Seth Thomas 13 1/2&quot; Wall Clock"/>
    <x v="2351"/>
    <n v="6"/>
    <n v="33.07"/>
    <x v="8"/>
    <x v="1"/>
  </r>
  <r>
    <n v="44814"/>
    <x v="592"/>
    <x v="0"/>
    <x v="1"/>
    <x v="5"/>
    <s v="Global Commerce Series Low-Back Swivel/Tilt Chairs"/>
    <x v="2352"/>
    <n v="1"/>
    <n v="-2.57"/>
    <x v="8"/>
    <x v="1"/>
  </r>
  <r>
    <n v="44815"/>
    <x v="236"/>
    <x v="3"/>
    <x v="0"/>
    <x v="4"/>
    <s v="Boston 19500 Mighty Mite Electric Pencil Sharpener"/>
    <x v="2353"/>
    <n v="9"/>
    <n v="48.96"/>
    <x v="8"/>
    <x v="1"/>
  </r>
  <r>
    <n v="44815"/>
    <x v="236"/>
    <x v="3"/>
    <x v="0"/>
    <x v="1"/>
    <s v="Avery 474"/>
    <x v="406"/>
    <n v="3"/>
    <n v="4.2300000000000004"/>
    <x v="8"/>
    <x v="1"/>
  </r>
  <r>
    <n v="44815"/>
    <x v="191"/>
    <x v="3"/>
    <x v="0"/>
    <x v="4"/>
    <s v="Hunt PowerHouse Electric Pencil Sharpener, Blue"/>
    <x v="2354"/>
    <n v="7"/>
    <n v="79.760000000000005"/>
    <x v="8"/>
    <x v="1"/>
  </r>
  <r>
    <n v="44815"/>
    <x v="286"/>
    <x v="20"/>
    <x v="1"/>
    <x v="8"/>
    <s v="Deflect-o DuraMat Antistatic Studded Beveled Mat for Medium Pile Carpeting"/>
    <x v="2355"/>
    <n v="2"/>
    <n v="50.56"/>
    <x v="8"/>
    <x v="1"/>
  </r>
  <r>
    <n v="44815"/>
    <x v="286"/>
    <x v="20"/>
    <x v="0"/>
    <x v="2"/>
    <s v="Space Solutions Industrial Galvanized Steel Shelving."/>
    <x v="2356"/>
    <n v="1"/>
    <n v="1.58"/>
    <x v="8"/>
    <x v="1"/>
  </r>
  <r>
    <n v="44815"/>
    <x v="286"/>
    <x v="20"/>
    <x v="2"/>
    <x v="9"/>
    <s v="LogitechÂ LS21 Speaker System - PC Multimedia - 2.1-CH - Wired"/>
    <x v="2357"/>
    <n v="1"/>
    <n v="6.8"/>
    <x v="8"/>
    <x v="1"/>
  </r>
  <r>
    <n v="44815"/>
    <x v="286"/>
    <x v="20"/>
    <x v="0"/>
    <x v="2"/>
    <s v="Fellowes Staxonsteel Drawer Files"/>
    <x v="2358"/>
    <n v="4"/>
    <n v="108.18"/>
    <x v="8"/>
    <x v="1"/>
  </r>
  <r>
    <n v="44815"/>
    <x v="169"/>
    <x v="26"/>
    <x v="1"/>
    <x v="8"/>
    <s v="Deflect-O Glasstique Clear Desk Accessories"/>
    <x v="2359"/>
    <n v="4"/>
    <n v="4"/>
    <x v="8"/>
    <x v="1"/>
  </r>
  <r>
    <n v="44815"/>
    <x v="659"/>
    <x v="23"/>
    <x v="0"/>
    <x v="1"/>
    <s v="Avery 503"/>
    <x v="1541"/>
    <n v="3"/>
    <n v="14.9"/>
    <x v="8"/>
    <x v="1"/>
  </r>
  <r>
    <n v="44815"/>
    <x v="659"/>
    <x v="23"/>
    <x v="1"/>
    <x v="8"/>
    <s v="Eldon Pizzaz Desk Accessories"/>
    <x v="1118"/>
    <n v="4"/>
    <n v="3.92"/>
    <x v="8"/>
    <x v="1"/>
  </r>
  <r>
    <n v="44815"/>
    <x v="659"/>
    <x v="23"/>
    <x v="0"/>
    <x v="3"/>
    <s v="Ibico Laser Imprintable Binding System Covers"/>
    <x v="2360"/>
    <n v="4"/>
    <n v="96.42"/>
    <x v="8"/>
    <x v="1"/>
  </r>
  <r>
    <n v="44815"/>
    <x v="659"/>
    <x v="23"/>
    <x v="0"/>
    <x v="12"/>
    <s v="Fellowes Advanced 8 Outlet Surge Suppressor with Phone/Fax Protection"/>
    <x v="2361"/>
    <n v="4"/>
    <n v="29.98"/>
    <x v="8"/>
    <x v="1"/>
  </r>
  <r>
    <n v="44815"/>
    <x v="659"/>
    <x v="23"/>
    <x v="0"/>
    <x v="0"/>
    <s v="Xerox 208"/>
    <x v="2167"/>
    <n v="6"/>
    <n v="18.66"/>
    <x v="8"/>
    <x v="1"/>
  </r>
  <r>
    <n v="44816"/>
    <x v="194"/>
    <x v="20"/>
    <x v="2"/>
    <x v="16"/>
    <s v="Hewlett Packard 310 Color Digital Copier"/>
    <x v="386"/>
    <n v="2"/>
    <n v="60"/>
    <x v="8"/>
    <x v="1"/>
  </r>
  <r>
    <n v="44816"/>
    <x v="194"/>
    <x v="20"/>
    <x v="0"/>
    <x v="1"/>
    <s v="Avery 520"/>
    <x v="370"/>
    <n v="4"/>
    <n v="6.05"/>
    <x v="8"/>
    <x v="1"/>
  </r>
  <r>
    <n v="44816"/>
    <x v="51"/>
    <x v="20"/>
    <x v="0"/>
    <x v="4"/>
    <s v="Binney &amp; Smith Crayola Metallic Colored Pencils, 8-Color Set"/>
    <x v="1515"/>
    <n v="2"/>
    <n v="3.06"/>
    <x v="8"/>
    <x v="1"/>
  </r>
  <r>
    <n v="44816"/>
    <x v="51"/>
    <x v="20"/>
    <x v="0"/>
    <x v="2"/>
    <s v="Gould Plastics 9-Pocket Panel Bin, 18-3/8w x 5-1/4d x 20-1/2h, Black"/>
    <x v="1715"/>
    <n v="2"/>
    <n v="4.24"/>
    <x v="8"/>
    <x v="1"/>
  </r>
  <r>
    <n v="44816"/>
    <x v="51"/>
    <x v="20"/>
    <x v="0"/>
    <x v="7"/>
    <s v="OIC Binder Clips, Mini, 1/4&quot; Capacity, Black"/>
    <x v="2362"/>
    <n v="1"/>
    <n v="0.57999999999999996"/>
    <x v="8"/>
    <x v="1"/>
  </r>
  <r>
    <n v="44816"/>
    <x v="51"/>
    <x v="20"/>
    <x v="0"/>
    <x v="1"/>
    <s v="Avery 489"/>
    <x v="2363"/>
    <n v="2"/>
    <n v="9.94"/>
    <x v="8"/>
    <x v="1"/>
  </r>
  <r>
    <n v="44816"/>
    <x v="51"/>
    <x v="20"/>
    <x v="0"/>
    <x v="0"/>
    <s v="HP Office Recycled Paper (20Lb. and 87 Bright)"/>
    <x v="2364"/>
    <n v="5"/>
    <n v="14.16"/>
    <x v="8"/>
    <x v="1"/>
  </r>
  <r>
    <n v="44816"/>
    <x v="51"/>
    <x v="20"/>
    <x v="0"/>
    <x v="10"/>
    <s v="Tyvek  Top-Opening Peel &amp; Seel Envelopes, Plain White"/>
    <x v="2365"/>
    <n v="1"/>
    <n v="12.77"/>
    <x v="8"/>
    <x v="1"/>
  </r>
  <r>
    <n v="44816"/>
    <x v="583"/>
    <x v="22"/>
    <x v="2"/>
    <x v="9"/>
    <s v="Memorex Froggy Flash Drive 4 GB"/>
    <x v="1345"/>
    <n v="2"/>
    <n v="8.57"/>
    <x v="8"/>
    <x v="1"/>
  </r>
  <r>
    <n v="44817"/>
    <x v="456"/>
    <x v="18"/>
    <x v="2"/>
    <x v="9"/>
    <s v="Case Logic 2.4GHz Wireless Keyboard"/>
    <x v="1855"/>
    <n v="4"/>
    <n v="16"/>
    <x v="8"/>
    <x v="1"/>
  </r>
  <r>
    <n v="44817"/>
    <x v="456"/>
    <x v="18"/>
    <x v="1"/>
    <x v="5"/>
    <s v="Hon Multipurpose Stacking Arm Chairs"/>
    <x v="2366"/>
    <n v="7"/>
    <n v="394.21"/>
    <x v="8"/>
    <x v="1"/>
  </r>
  <r>
    <n v="44817"/>
    <x v="173"/>
    <x v="2"/>
    <x v="0"/>
    <x v="3"/>
    <s v="Fellowes Twister Kit, Gray/Clear, 3/pkg"/>
    <x v="2367"/>
    <n v="1"/>
    <n v="-2.0099999999999998"/>
    <x v="8"/>
    <x v="1"/>
  </r>
  <r>
    <n v="44817"/>
    <x v="657"/>
    <x v="4"/>
    <x v="1"/>
    <x v="8"/>
    <s v="Eldon Advantage Chair Mats for Low to Medium Pile Carpets"/>
    <x v="2368"/>
    <n v="3"/>
    <n v="12.99"/>
    <x v="8"/>
    <x v="1"/>
  </r>
  <r>
    <n v="44817"/>
    <x v="657"/>
    <x v="4"/>
    <x v="0"/>
    <x v="0"/>
    <s v="Xerox 1948"/>
    <x v="2369"/>
    <n v="7"/>
    <n v="31.47"/>
    <x v="8"/>
    <x v="1"/>
  </r>
  <r>
    <n v="44817"/>
    <x v="316"/>
    <x v="1"/>
    <x v="0"/>
    <x v="10"/>
    <s v="Staple envelope"/>
    <x v="2370"/>
    <n v="1"/>
    <n v="2.93"/>
    <x v="8"/>
    <x v="1"/>
  </r>
  <r>
    <n v="44817"/>
    <x v="316"/>
    <x v="1"/>
    <x v="1"/>
    <x v="5"/>
    <s v="Global Value Steno Chair, Gray"/>
    <x v="2371"/>
    <n v="4"/>
    <n v="-12.15"/>
    <x v="8"/>
    <x v="1"/>
  </r>
  <r>
    <n v="44817"/>
    <x v="481"/>
    <x v="25"/>
    <x v="0"/>
    <x v="3"/>
    <s v="Heavy-Duty E-Z-D Binders"/>
    <x v="2372"/>
    <n v="4"/>
    <n v="-10.039999999999999"/>
    <x v="8"/>
    <x v="1"/>
  </r>
  <r>
    <n v="44817"/>
    <x v="687"/>
    <x v="3"/>
    <x v="1"/>
    <x v="8"/>
    <s v="Flat Face Poster Frame"/>
    <x v="2373"/>
    <n v="7"/>
    <n v="55.39"/>
    <x v="8"/>
    <x v="1"/>
  </r>
  <r>
    <n v="44817"/>
    <x v="687"/>
    <x v="3"/>
    <x v="0"/>
    <x v="3"/>
    <s v="Acco Data Flex Cable Posts For Top &amp; Bottom Load Binders, 6&quot; Capacity"/>
    <x v="2374"/>
    <n v="3"/>
    <n v="7.82"/>
    <x v="8"/>
    <x v="1"/>
  </r>
  <r>
    <n v="44817"/>
    <x v="687"/>
    <x v="3"/>
    <x v="1"/>
    <x v="5"/>
    <s v="Global Comet Stacking Armless Chair"/>
    <x v="698"/>
    <n v="3"/>
    <n v="71.77"/>
    <x v="8"/>
    <x v="1"/>
  </r>
  <r>
    <n v="44817"/>
    <x v="687"/>
    <x v="3"/>
    <x v="1"/>
    <x v="8"/>
    <s v="Eldon Econocleat Chair Mats for Low Pile Carpets"/>
    <x v="2375"/>
    <n v="5"/>
    <n v="24.88"/>
    <x v="8"/>
    <x v="1"/>
  </r>
  <r>
    <n v="44817"/>
    <x v="687"/>
    <x v="3"/>
    <x v="1"/>
    <x v="8"/>
    <s v="Tensor Computer Mounted Lamp"/>
    <x v="139"/>
    <n v="3"/>
    <n v="12.06"/>
    <x v="8"/>
    <x v="1"/>
  </r>
  <r>
    <n v="44817"/>
    <x v="687"/>
    <x v="3"/>
    <x v="0"/>
    <x v="0"/>
    <s v="Xerox 1915"/>
    <x v="1771"/>
    <n v="2"/>
    <n v="100.66"/>
    <x v="8"/>
    <x v="1"/>
  </r>
  <r>
    <n v="44818"/>
    <x v="103"/>
    <x v="27"/>
    <x v="1"/>
    <x v="13"/>
    <s v="Lesro Round Back Collection Coffee Table, End Table"/>
    <x v="2376"/>
    <n v="5"/>
    <n v="118.66"/>
    <x v="8"/>
    <x v="1"/>
  </r>
  <r>
    <n v="44818"/>
    <x v="386"/>
    <x v="3"/>
    <x v="1"/>
    <x v="13"/>
    <s v="KI Conference Tables"/>
    <x v="2377"/>
    <n v="3"/>
    <n v="-8.51"/>
    <x v="8"/>
    <x v="1"/>
  </r>
  <r>
    <n v="44818"/>
    <x v="616"/>
    <x v="9"/>
    <x v="0"/>
    <x v="2"/>
    <s v="Fellowes Officeware Wire Shelving"/>
    <x v="2378"/>
    <n v="3"/>
    <n v="5.39"/>
    <x v="8"/>
    <x v="1"/>
  </r>
  <r>
    <n v="44818"/>
    <x v="96"/>
    <x v="20"/>
    <x v="0"/>
    <x v="2"/>
    <s v="Economy Rollaway Files"/>
    <x v="2379"/>
    <n v="6"/>
    <n v="257.70999999999998"/>
    <x v="8"/>
    <x v="1"/>
  </r>
  <r>
    <n v="44818"/>
    <x v="96"/>
    <x v="20"/>
    <x v="2"/>
    <x v="16"/>
    <s v="Sharp 1540cs Digital Laser Copier"/>
    <x v="2380"/>
    <n v="2"/>
    <n v="329.99"/>
    <x v="8"/>
    <x v="1"/>
  </r>
  <r>
    <n v="44818"/>
    <x v="96"/>
    <x v="20"/>
    <x v="0"/>
    <x v="3"/>
    <s v="Wilson Jones Easy Flow II Sheet Lifters"/>
    <x v="115"/>
    <n v="9"/>
    <n v="4.54"/>
    <x v="8"/>
    <x v="1"/>
  </r>
  <r>
    <n v="44818"/>
    <x v="671"/>
    <x v="30"/>
    <x v="0"/>
    <x v="3"/>
    <s v="Wilson Jones Impact Binders"/>
    <x v="2381"/>
    <n v="5"/>
    <n v="12.69"/>
    <x v="8"/>
    <x v="1"/>
  </r>
  <r>
    <n v="44819"/>
    <x v="537"/>
    <x v="16"/>
    <x v="0"/>
    <x v="0"/>
    <s v="Xerox 21"/>
    <x v="143"/>
    <n v="3"/>
    <n v="5.44"/>
    <x v="8"/>
    <x v="1"/>
  </r>
  <r>
    <n v="44819"/>
    <x v="537"/>
    <x v="16"/>
    <x v="1"/>
    <x v="8"/>
    <s v="Ultra Door Push Plate"/>
    <x v="2382"/>
    <n v="4"/>
    <n v="2.5499999999999998"/>
    <x v="8"/>
    <x v="1"/>
  </r>
  <r>
    <n v="44819"/>
    <x v="537"/>
    <x v="16"/>
    <x v="0"/>
    <x v="2"/>
    <s v="Decoflex Hanging Personal Folder File, Blue"/>
    <x v="1405"/>
    <n v="2"/>
    <n v="2.16"/>
    <x v="8"/>
    <x v="1"/>
  </r>
  <r>
    <n v="44819"/>
    <x v="537"/>
    <x v="16"/>
    <x v="1"/>
    <x v="8"/>
    <s v="Tenex &quot;The Solids&quot; Textured Chair Mats"/>
    <x v="2383"/>
    <n v="1"/>
    <n v="-2.1"/>
    <x v="8"/>
    <x v="1"/>
  </r>
  <r>
    <n v="44819"/>
    <x v="189"/>
    <x v="18"/>
    <x v="0"/>
    <x v="2"/>
    <s v="Fellowes Stor/Drawer Steel Plus Storage Drawers"/>
    <x v="2384"/>
    <n v="2"/>
    <n v="11.45"/>
    <x v="8"/>
    <x v="1"/>
  </r>
  <r>
    <n v="44819"/>
    <x v="189"/>
    <x v="18"/>
    <x v="0"/>
    <x v="4"/>
    <s v="Manco Dry-Lighter Erasable Highlighter"/>
    <x v="2385"/>
    <n v="8"/>
    <n v="8.27"/>
    <x v="8"/>
    <x v="1"/>
  </r>
  <r>
    <n v="44819"/>
    <x v="688"/>
    <x v="20"/>
    <x v="0"/>
    <x v="3"/>
    <s v="GBC Twin Loop Wire Binding Elements"/>
    <x v="2386"/>
    <n v="3"/>
    <n v="29.95"/>
    <x v="8"/>
    <x v="1"/>
  </r>
  <r>
    <n v="44819"/>
    <x v="688"/>
    <x v="20"/>
    <x v="1"/>
    <x v="11"/>
    <s v="Bush Westfield Collection Bookcases, Medium Cherry Finish"/>
    <x v="1224"/>
    <n v="1"/>
    <n v="1.1599999999999999"/>
    <x v="8"/>
    <x v="1"/>
  </r>
  <r>
    <n v="44819"/>
    <x v="688"/>
    <x v="20"/>
    <x v="0"/>
    <x v="0"/>
    <s v="Xerox 1967"/>
    <x v="115"/>
    <n v="2"/>
    <n v="6.22"/>
    <x v="8"/>
    <x v="1"/>
  </r>
  <r>
    <n v="44819"/>
    <x v="262"/>
    <x v="33"/>
    <x v="1"/>
    <x v="13"/>
    <s v="Bretford CR8500 Series Meeting Room Furniture"/>
    <x v="2387"/>
    <n v="2"/>
    <n v="200.49"/>
    <x v="8"/>
    <x v="1"/>
  </r>
  <r>
    <n v="44819"/>
    <x v="262"/>
    <x v="33"/>
    <x v="2"/>
    <x v="6"/>
    <s v="Anker Astro Mini 3000mAh Ultra-Compact Portable Charger"/>
    <x v="2388"/>
    <n v="3"/>
    <n v="0"/>
    <x v="8"/>
    <x v="1"/>
  </r>
  <r>
    <n v="44819"/>
    <x v="262"/>
    <x v="33"/>
    <x v="1"/>
    <x v="5"/>
    <s v="Global Manager's Adjustable Task Chair, Storm"/>
    <x v="2389"/>
    <n v="7"/>
    <n v="306.49"/>
    <x v="8"/>
    <x v="1"/>
  </r>
  <r>
    <n v="44819"/>
    <x v="689"/>
    <x v="2"/>
    <x v="0"/>
    <x v="3"/>
    <s v="Avery Hidden Tab Dividers for Binding Systems"/>
    <x v="2390"/>
    <n v="4"/>
    <n v="-2.86"/>
    <x v="8"/>
    <x v="1"/>
  </r>
  <r>
    <n v="44819"/>
    <x v="689"/>
    <x v="2"/>
    <x v="0"/>
    <x v="2"/>
    <s v="Gould Plastics 18-Pocket Panel Bin, 34w x 5-1/4d x 20-1/2h"/>
    <x v="2391"/>
    <n v="2"/>
    <n v="-29.44"/>
    <x v="8"/>
    <x v="1"/>
  </r>
  <r>
    <n v="44820"/>
    <x v="32"/>
    <x v="6"/>
    <x v="0"/>
    <x v="10"/>
    <s v="Staple envelope"/>
    <x v="12"/>
    <n v="4"/>
    <n v="14.63"/>
    <x v="8"/>
    <x v="1"/>
  </r>
  <r>
    <n v="44821"/>
    <x v="463"/>
    <x v="2"/>
    <x v="1"/>
    <x v="11"/>
    <s v="Riverside Palais Royal Lawyers Bookcase, Royale Cherry Finish"/>
    <x v="2392"/>
    <n v="7"/>
    <n v="-1665.05"/>
    <x v="8"/>
    <x v="1"/>
  </r>
  <r>
    <n v="44821"/>
    <x v="463"/>
    <x v="2"/>
    <x v="0"/>
    <x v="3"/>
    <s v="Avery Recycled Flexi-View Covers for Binding Systems"/>
    <x v="2393"/>
    <n v="2"/>
    <n v="-7.05"/>
    <x v="8"/>
    <x v="1"/>
  </r>
  <r>
    <n v="44821"/>
    <x v="463"/>
    <x v="2"/>
    <x v="1"/>
    <x v="8"/>
    <s v="Howard Miller 13-3/4&quot; Diameter Brushed Chrome Round Wall Clock"/>
    <x v="35"/>
    <n v="3"/>
    <n v="15.53"/>
    <x v="8"/>
    <x v="1"/>
  </r>
  <r>
    <n v="44821"/>
    <x v="463"/>
    <x v="2"/>
    <x v="0"/>
    <x v="10"/>
    <s v="Poly String Tie Envelopes"/>
    <x v="1032"/>
    <n v="2"/>
    <n v="1.1000000000000001"/>
    <x v="8"/>
    <x v="1"/>
  </r>
  <r>
    <n v="44821"/>
    <x v="463"/>
    <x v="2"/>
    <x v="0"/>
    <x v="4"/>
    <s v="BOSTON Model 1800 Electric Pencil Sharpeners, Putty/Woodgrain"/>
    <x v="2394"/>
    <n v="6"/>
    <n v="9.7100000000000009"/>
    <x v="8"/>
    <x v="1"/>
  </r>
  <r>
    <n v="44821"/>
    <x v="463"/>
    <x v="2"/>
    <x v="0"/>
    <x v="3"/>
    <s v="Acco Pressboard Covers with Storage Hooks, 14 7/8&quot; x 11&quot;, Executive Red"/>
    <x v="2395"/>
    <n v="6"/>
    <n v="-5.72"/>
    <x v="8"/>
    <x v="1"/>
  </r>
  <r>
    <n v="44821"/>
    <x v="463"/>
    <x v="2"/>
    <x v="0"/>
    <x v="4"/>
    <s v="Lumber Crayons"/>
    <x v="2396"/>
    <n v="2"/>
    <n v="3.55"/>
    <x v="8"/>
    <x v="1"/>
  </r>
  <r>
    <n v="44821"/>
    <x v="690"/>
    <x v="3"/>
    <x v="0"/>
    <x v="0"/>
    <s v="Xerox 216"/>
    <x v="331"/>
    <n v="5"/>
    <n v="15.55"/>
    <x v="8"/>
    <x v="1"/>
  </r>
  <r>
    <n v="44821"/>
    <x v="472"/>
    <x v="0"/>
    <x v="1"/>
    <x v="8"/>
    <s v="Howard Miller Distant Time Traveler Alarm Clock"/>
    <x v="1247"/>
    <n v="2"/>
    <n v="-10.42"/>
    <x v="8"/>
    <x v="1"/>
  </r>
  <r>
    <n v="44821"/>
    <x v="472"/>
    <x v="0"/>
    <x v="0"/>
    <x v="3"/>
    <s v="GBC Imprintable Covers"/>
    <x v="2397"/>
    <n v="3"/>
    <n v="-10.210000000000001"/>
    <x v="8"/>
    <x v="1"/>
  </r>
  <r>
    <n v="44821"/>
    <x v="471"/>
    <x v="20"/>
    <x v="1"/>
    <x v="13"/>
    <s v="Riverside Furniture Oval Coffee Table, Oval End Table, End Table with Drawer"/>
    <x v="2398"/>
    <n v="2"/>
    <n v="-103.27"/>
    <x v="8"/>
    <x v="1"/>
  </r>
  <r>
    <n v="44821"/>
    <x v="674"/>
    <x v="16"/>
    <x v="2"/>
    <x v="9"/>
    <s v="SanDisk Cruzer 64 GB USB Flash Drive"/>
    <x v="2399"/>
    <n v="3"/>
    <n v="10.9"/>
    <x v="8"/>
    <x v="1"/>
  </r>
  <r>
    <n v="44821"/>
    <x v="568"/>
    <x v="22"/>
    <x v="0"/>
    <x v="3"/>
    <s v="Acco Data Flex Cable Posts For Top &amp; Bottom Load Binders, 6&quot; Capacity"/>
    <x v="2374"/>
    <n v="3"/>
    <n v="7.82"/>
    <x v="8"/>
    <x v="1"/>
  </r>
  <r>
    <n v="44821"/>
    <x v="184"/>
    <x v="20"/>
    <x v="0"/>
    <x v="2"/>
    <s v="Woodgrain Magazine Files by Perma"/>
    <x v="1119"/>
    <n v="5"/>
    <n v="1.04"/>
    <x v="8"/>
    <x v="1"/>
  </r>
  <r>
    <n v="44821"/>
    <x v="184"/>
    <x v="20"/>
    <x v="0"/>
    <x v="1"/>
    <s v="Avery 485"/>
    <x v="1708"/>
    <n v="7"/>
    <n v="41.22"/>
    <x v="8"/>
    <x v="1"/>
  </r>
  <r>
    <n v="44821"/>
    <x v="184"/>
    <x v="20"/>
    <x v="1"/>
    <x v="5"/>
    <s v="Office Star Flex Back Scooter Chair with White Frame"/>
    <x v="2400"/>
    <n v="2"/>
    <n v="8.8800000000000008"/>
    <x v="8"/>
    <x v="1"/>
  </r>
  <r>
    <n v="44821"/>
    <x v="184"/>
    <x v="20"/>
    <x v="0"/>
    <x v="2"/>
    <s v="Eldon Mobile Mega Data Cart  Mega Stackable  Add-On Trays"/>
    <x v="2401"/>
    <n v="4"/>
    <n v="27.43"/>
    <x v="8"/>
    <x v="1"/>
  </r>
  <r>
    <n v="44821"/>
    <x v="184"/>
    <x v="20"/>
    <x v="1"/>
    <x v="11"/>
    <s v="Riverside Palais Royal Lawyers Bookcase, Royale Cherry Finish"/>
    <x v="2402"/>
    <n v="6"/>
    <n v="158.58000000000001"/>
    <x v="8"/>
    <x v="1"/>
  </r>
  <r>
    <n v="44821"/>
    <x v="184"/>
    <x v="20"/>
    <x v="1"/>
    <x v="11"/>
    <s v="DMI Eclipse Executive Suite Bookcases"/>
    <x v="2403"/>
    <n v="5"/>
    <n v="-25.05"/>
    <x v="8"/>
    <x v="1"/>
  </r>
  <r>
    <n v="44821"/>
    <x v="184"/>
    <x v="20"/>
    <x v="2"/>
    <x v="6"/>
    <s v="ClearSounds CSC500 Amplified Spirit Phone Corded phone"/>
    <x v="910"/>
    <n v="3"/>
    <n v="58.79"/>
    <x v="8"/>
    <x v="1"/>
  </r>
  <r>
    <n v="44821"/>
    <x v="184"/>
    <x v="20"/>
    <x v="2"/>
    <x v="9"/>
    <s v="Plantronics CS510 - Over-the-Head monaural Wireless Headset System"/>
    <x v="2404"/>
    <n v="2"/>
    <n v="217.77"/>
    <x v="8"/>
    <x v="1"/>
  </r>
  <r>
    <n v="44821"/>
    <x v="184"/>
    <x v="20"/>
    <x v="0"/>
    <x v="0"/>
    <s v="Eaton Premium Continuous-Feed Paper, 25% Cotton, Letter Size, White, 1000 Shts/Box"/>
    <x v="754"/>
    <n v="2"/>
    <n v="53.26"/>
    <x v="8"/>
    <x v="1"/>
  </r>
  <r>
    <n v="44821"/>
    <x v="184"/>
    <x v="20"/>
    <x v="2"/>
    <x v="6"/>
    <s v="ARKON Windshield Dashboard Air Vent Car Mount Holder"/>
    <x v="409"/>
    <n v="4"/>
    <n v="1.36"/>
    <x v="8"/>
    <x v="1"/>
  </r>
  <r>
    <n v="44822"/>
    <x v="120"/>
    <x v="3"/>
    <x v="0"/>
    <x v="0"/>
    <s v="Personal Creations Ink Jet Cards and Labels"/>
    <x v="2405"/>
    <n v="14"/>
    <n v="78.75"/>
    <x v="8"/>
    <x v="1"/>
  </r>
  <r>
    <n v="44822"/>
    <x v="120"/>
    <x v="3"/>
    <x v="0"/>
    <x v="0"/>
    <s v="Rediform S.O.S. Phone Message Books"/>
    <x v="611"/>
    <n v="4"/>
    <n v="9.76"/>
    <x v="8"/>
    <x v="1"/>
  </r>
  <r>
    <n v="44822"/>
    <x v="120"/>
    <x v="3"/>
    <x v="0"/>
    <x v="14"/>
    <s v="Acme Value Line Scissors"/>
    <x v="948"/>
    <n v="2"/>
    <n v="2.19"/>
    <x v="8"/>
    <x v="1"/>
  </r>
  <r>
    <n v="44822"/>
    <x v="484"/>
    <x v="36"/>
    <x v="0"/>
    <x v="2"/>
    <s v="Acco Perma 3000 Stacking Storage Drawers"/>
    <x v="2237"/>
    <n v="2"/>
    <n v="7.97"/>
    <x v="8"/>
    <x v="1"/>
  </r>
  <r>
    <n v="44822"/>
    <x v="484"/>
    <x v="36"/>
    <x v="0"/>
    <x v="2"/>
    <s v="Safco Industrial Wire Shelving System"/>
    <x v="2406"/>
    <n v="7"/>
    <n v="0"/>
    <x v="8"/>
    <x v="1"/>
  </r>
  <r>
    <n v="44822"/>
    <x v="484"/>
    <x v="36"/>
    <x v="2"/>
    <x v="6"/>
    <s v="Samsung Galaxy S4 Active"/>
    <x v="2407"/>
    <n v="1"/>
    <n v="130"/>
    <x v="8"/>
    <x v="1"/>
  </r>
  <r>
    <n v="44822"/>
    <x v="484"/>
    <x v="36"/>
    <x v="2"/>
    <x v="6"/>
    <s v="Polycom VVX 310 VoIP phone"/>
    <x v="2408"/>
    <n v="7"/>
    <n v="327.58"/>
    <x v="8"/>
    <x v="1"/>
  </r>
  <r>
    <n v="44822"/>
    <x v="484"/>
    <x v="36"/>
    <x v="0"/>
    <x v="3"/>
    <s v="Acco Flexible ACCOHIDE Square Ring Data Binder, Dark Blue, 11 1/2&quot; X 14&quot; 7/8&quot;"/>
    <x v="2409"/>
    <n v="4"/>
    <n v="31.89"/>
    <x v="8"/>
    <x v="1"/>
  </r>
  <r>
    <n v="44822"/>
    <x v="169"/>
    <x v="3"/>
    <x v="0"/>
    <x v="4"/>
    <s v="Quartet Omega Colored Chalk, 12/Pack"/>
    <x v="2410"/>
    <n v="2"/>
    <n v="5.49"/>
    <x v="8"/>
    <x v="1"/>
  </r>
  <r>
    <n v="44822"/>
    <x v="169"/>
    <x v="3"/>
    <x v="0"/>
    <x v="14"/>
    <s v="Elite 5&quot; Scissors"/>
    <x v="2411"/>
    <n v="2"/>
    <n v="5.07"/>
    <x v="8"/>
    <x v="1"/>
  </r>
  <r>
    <n v="44822"/>
    <x v="169"/>
    <x v="3"/>
    <x v="1"/>
    <x v="8"/>
    <s v="Advantus Panel Wall Certificate Holder - 8.5x11"/>
    <x v="2412"/>
    <n v="2"/>
    <n v="10.25"/>
    <x v="8"/>
    <x v="1"/>
  </r>
  <r>
    <n v="44822"/>
    <x v="691"/>
    <x v="16"/>
    <x v="2"/>
    <x v="9"/>
    <s v="Enermax Acrylux Wireless Keyboard"/>
    <x v="2413"/>
    <n v="9"/>
    <n v="152.38999999999999"/>
    <x v="8"/>
    <x v="1"/>
  </r>
  <r>
    <n v="44822"/>
    <x v="692"/>
    <x v="22"/>
    <x v="0"/>
    <x v="0"/>
    <s v="Wirebound Message Books, Four 2 3/4&quot; x 5&quot; Forms per Page, 600 Sets per Book"/>
    <x v="2414"/>
    <n v="2"/>
    <n v="8.7100000000000009"/>
    <x v="8"/>
    <x v="1"/>
  </r>
  <r>
    <n v="44822"/>
    <x v="693"/>
    <x v="3"/>
    <x v="0"/>
    <x v="2"/>
    <s v="Stur-D-Stor Shelving, Vertical 5-Shelf: 72&quot;H x 36&quot;W x 18 1/2&quot;D"/>
    <x v="1204"/>
    <n v="4"/>
    <n v="8.8800000000000008"/>
    <x v="8"/>
    <x v="1"/>
  </r>
  <r>
    <n v="44823"/>
    <x v="492"/>
    <x v="6"/>
    <x v="1"/>
    <x v="11"/>
    <s v="Sauder Cornerstone Collection Library"/>
    <x v="32"/>
    <n v="2"/>
    <n v="4.34"/>
    <x v="8"/>
    <x v="1"/>
  </r>
  <r>
    <n v="44823"/>
    <x v="62"/>
    <x v="4"/>
    <x v="2"/>
    <x v="9"/>
    <s v="Kensington K72356US Mouse-in-a-Box USB Desktop Mouse"/>
    <x v="2415"/>
    <n v="4"/>
    <n v="23.23"/>
    <x v="8"/>
    <x v="1"/>
  </r>
  <r>
    <n v="44823"/>
    <x v="602"/>
    <x v="3"/>
    <x v="0"/>
    <x v="0"/>
    <s v="Personal Creations Ink Jet Cards and Labels"/>
    <x v="44"/>
    <n v="2"/>
    <n v="11.25"/>
    <x v="8"/>
    <x v="1"/>
  </r>
  <r>
    <n v="44823"/>
    <x v="60"/>
    <x v="20"/>
    <x v="2"/>
    <x v="6"/>
    <s v="PureGear Roll-On Screen Protector"/>
    <x v="2192"/>
    <n v="14"/>
    <n v="134.33000000000001"/>
    <x v="8"/>
    <x v="1"/>
  </r>
  <r>
    <n v="44823"/>
    <x v="167"/>
    <x v="31"/>
    <x v="0"/>
    <x v="4"/>
    <s v="Newell 323"/>
    <x v="2214"/>
    <n v="5"/>
    <n v="2.1800000000000002"/>
    <x v="8"/>
    <x v="1"/>
  </r>
  <r>
    <n v="44823"/>
    <x v="658"/>
    <x v="3"/>
    <x v="1"/>
    <x v="8"/>
    <s v="Seth Thomas 8 1/2&quot; Cubicle Clock"/>
    <x v="2083"/>
    <n v="3"/>
    <n v="19.47"/>
    <x v="8"/>
    <x v="1"/>
  </r>
  <r>
    <n v="44824"/>
    <x v="199"/>
    <x v="32"/>
    <x v="0"/>
    <x v="3"/>
    <s v="GBC Standard Plastic Binding Systems' Combs"/>
    <x v="1859"/>
    <n v="6"/>
    <n v="16.96"/>
    <x v="8"/>
    <x v="1"/>
  </r>
  <r>
    <n v="44824"/>
    <x v="498"/>
    <x v="20"/>
    <x v="0"/>
    <x v="0"/>
    <s v="Xerox 1881"/>
    <x v="2416"/>
    <n v="5"/>
    <n v="28.86"/>
    <x v="8"/>
    <x v="1"/>
  </r>
  <r>
    <n v="44824"/>
    <x v="498"/>
    <x v="20"/>
    <x v="0"/>
    <x v="3"/>
    <s v="Recycled Premium Regency Composition Covers"/>
    <x v="2417"/>
    <n v="2"/>
    <n v="8.86"/>
    <x v="8"/>
    <x v="1"/>
  </r>
  <r>
    <n v="44824"/>
    <x v="497"/>
    <x v="15"/>
    <x v="0"/>
    <x v="3"/>
    <s v="GBC Ibimaster 500 Manual ProClick Binding System"/>
    <x v="2418"/>
    <n v="6"/>
    <n v="-913.18"/>
    <x v="8"/>
    <x v="1"/>
  </r>
  <r>
    <n v="44824"/>
    <x v="497"/>
    <x v="15"/>
    <x v="0"/>
    <x v="2"/>
    <s v="Gould Plastics 18-Pocket Panel Bin, 34w x 5-1/4d x 20-1/2h"/>
    <x v="2419"/>
    <n v="4"/>
    <n v="-58.87"/>
    <x v="8"/>
    <x v="1"/>
  </r>
  <r>
    <n v="44824"/>
    <x v="481"/>
    <x v="17"/>
    <x v="0"/>
    <x v="3"/>
    <s v="Wilson Jones Impact Binders"/>
    <x v="2420"/>
    <n v="11"/>
    <n v="16.52"/>
    <x v="8"/>
    <x v="1"/>
  </r>
  <r>
    <n v="44824"/>
    <x v="633"/>
    <x v="1"/>
    <x v="0"/>
    <x v="3"/>
    <s v="Acco Translucent Poly Ring Binders"/>
    <x v="2421"/>
    <n v="3"/>
    <n v="-4.49"/>
    <x v="8"/>
    <x v="1"/>
  </r>
  <r>
    <n v="44825"/>
    <x v="642"/>
    <x v="0"/>
    <x v="2"/>
    <x v="6"/>
    <s v="ShoreTel ShorePhone IP 230 VoIP phone"/>
    <x v="1950"/>
    <n v="7"/>
    <n v="118.29"/>
    <x v="8"/>
    <x v="1"/>
  </r>
  <r>
    <n v="44825"/>
    <x v="642"/>
    <x v="0"/>
    <x v="2"/>
    <x v="9"/>
    <s v="Hypercom P1300 Pinpad"/>
    <x v="133"/>
    <n v="3"/>
    <n v="32.130000000000003"/>
    <x v="8"/>
    <x v="1"/>
  </r>
  <r>
    <n v="44825"/>
    <x v="642"/>
    <x v="0"/>
    <x v="1"/>
    <x v="8"/>
    <s v="Longer-Life Soft White Bulbs"/>
    <x v="1086"/>
    <n v="4"/>
    <n v="-1.48"/>
    <x v="8"/>
    <x v="1"/>
  </r>
  <r>
    <n v="44825"/>
    <x v="330"/>
    <x v="22"/>
    <x v="0"/>
    <x v="2"/>
    <s v="Fellowes Bases and Tops For Staxonsteel/High-Stak Systems"/>
    <x v="2422"/>
    <n v="6"/>
    <n v="47.94"/>
    <x v="8"/>
    <x v="1"/>
  </r>
  <r>
    <n v="44825"/>
    <x v="33"/>
    <x v="3"/>
    <x v="1"/>
    <x v="5"/>
    <s v="Hon Every-Day Series Multi-Task Chairs"/>
    <x v="1275"/>
    <n v="4"/>
    <n v="0"/>
    <x v="8"/>
    <x v="1"/>
  </r>
  <r>
    <n v="44825"/>
    <x v="33"/>
    <x v="3"/>
    <x v="0"/>
    <x v="7"/>
    <s v="Advantus Map Pennant Flags and Round Head Tacks"/>
    <x v="2423"/>
    <n v="2"/>
    <n v="2.5299999999999998"/>
    <x v="8"/>
    <x v="1"/>
  </r>
  <r>
    <n v="44825"/>
    <x v="441"/>
    <x v="14"/>
    <x v="1"/>
    <x v="11"/>
    <s v="O'Sullivan 2-Shelf Heavy-Duty Bookcases"/>
    <x v="2424"/>
    <n v="4"/>
    <n v="31.09"/>
    <x v="8"/>
    <x v="1"/>
  </r>
  <r>
    <n v="44825"/>
    <x v="441"/>
    <x v="14"/>
    <x v="0"/>
    <x v="4"/>
    <s v="BOSTON Ranger #55 Pencil Sharpener, Black"/>
    <x v="1905"/>
    <n v="1"/>
    <n v="7.54"/>
    <x v="8"/>
    <x v="1"/>
  </r>
  <r>
    <n v="44825"/>
    <x v="347"/>
    <x v="32"/>
    <x v="1"/>
    <x v="8"/>
    <s v="Deflect-o DuraMat Lighweight, Studded, Beveled Mat for Low Pile Carpeting"/>
    <x v="2425"/>
    <n v="2"/>
    <n v="14.5"/>
    <x v="8"/>
    <x v="1"/>
  </r>
  <r>
    <n v="44825"/>
    <x v="128"/>
    <x v="32"/>
    <x v="2"/>
    <x v="6"/>
    <s v="Polycom VoiceStation 500 ConferenceÂ phone"/>
    <x v="2426"/>
    <n v="2"/>
    <n v="147.47999999999999"/>
    <x v="8"/>
    <x v="1"/>
  </r>
  <r>
    <n v="44825"/>
    <x v="128"/>
    <x v="32"/>
    <x v="1"/>
    <x v="5"/>
    <s v="Global Ergonomic Managers Chair"/>
    <x v="2277"/>
    <n v="3"/>
    <n v="141.16"/>
    <x v="8"/>
    <x v="1"/>
  </r>
  <r>
    <n v="44825"/>
    <x v="656"/>
    <x v="9"/>
    <x v="1"/>
    <x v="5"/>
    <s v="Global Comet Stacking Arm Chair"/>
    <x v="2427"/>
    <n v="4"/>
    <n v="422.51"/>
    <x v="8"/>
    <x v="1"/>
  </r>
  <r>
    <n v="44825"/>
    <x v="656"/>
    <x v="9"/>
    <x v="0"/>
    <x v="2"/>
    <s v="Recycled Eldon Regeneration Jumbo File"/>
    <x v="1425"/>
    <n v="7"/>
    <n v="24.07"/>
    <x v="8"/>
    <x v="1"/>
  </r>
  <r>
    <n v="44825"/>
    <x v="656"/>
    <x v="9"/>
    <x v="0"/>
    <x v="10"/>
    <s v="Tyvek Interoffice Envelopes, 9 1/2&quot; x 12 1/2&quot;, 100/Box"/>
    <x v="2428"/>
    <n v="2"/>
    <n v="57.32"/>
    <x v="8"/>
    <x v="1"/>
  </r>
  <r>
    <n v="44825"/>
    <x v="656"/>
    <x v="9"/>
    <x v="0"/>
    <x v="0"/>
    <s v="Xerox 193"/>
    <x v="635"/>
    <n v="4"/>
    <n v="11.72"/>
    <x v="8"/>
    <x v="1"/>
  </r>
  <r>
    <n v="44825"/>
    <x v="656"/>
    <x v="9"/>
    <x v="0"/>
    <x v="2"/>
    <s v="Fellowes Bankers Box Stor/Drawer Steel Plus"/>
    <x v="2429"/>
    <n v="2"/>
    <n v="6.4"/>
    <x v="8"/>
    <x v="1"/>
  </r>
  <r>
    <n v="44825"/>
    <x v="656"/>
    <x v="9"/>
    <x v="2"/>
    <x v="6"/>
    <s v="HTC One Mini"/>
    <x v="308"/>
    <n v="5"/>
    <n v="176.39"/>
    <x v="8"/>
    <x v="1"/>
  </r>
  <r>
    <n v="44825"/>
    <x v="656"/>
    <x v="9"/>
    <x v="2"/>
    <x v="6"/>
    <s v="Grandstream GXP1160 VoIP phone"/>
    <x v="494"/>
    <n v="3"/>
    <n v="32.979999999999997"/>
    <x v="8"/>
    <x v="1"/>
  </r>
  <r>
    <n v="44825"/>
    <x v="656"/>
    <x v="9"/>
    <x v="0"/>
    <x v="3"/>
    <s v="Angle-D Binders with Locking Rings, Label Holders"/>
    <x v="2430"/>
    <n v="2"/>
    <n v="6.86"/>
    <x v="8"/>
    <x v="1"/>
  </r>
  <r>
    <n v="44825"/>
    <x v="656"/>
    <x v="9"/>
    <x v="0"/>
    <x v="2"/>
    <s v="Stur-D-Stor Shelving, Vertical 5-Shelf: 72&quot;H x 36&quot;W x 18 1/2&quot;D"/>
    <x v="2431"/>
    <n v="8"/>
    <n v="17.760000000000002"/>
    <x v="8"/>
    <x v="1"/>
  </r>
  <r>
    <n v="44826"/>
    <x v="392"/>
    <x v="3"/>
    <x v="1"/>
    <x v="8"/>
    <s v="Luxo Professional Combination Clamp-On Lamps"/>
    <x v="1050"/>
    <n v="2"/>
    <n v="53.2"/>
    <x v="8"/>
    <x v="1"/>
  </r>
  <r>
    <n v="44826"/>
    <x v="53"/>
    <x v="6"/>
    <x v="0"/>
    <x v="0"/>
    <s v="Xerox 214"/>
    <x v="331"/>
    <n v="5"/>
    <n v="15.55"/>
    <x v="8"/>
    <x v="1"/>
  </r>
  <r>
    <n v="44826"/>
    <x v="53"/>
    <x v="6"/>
    <x v="1"/>
    <x v="8"/>
    <s v="Westinghouse Floor Lamp with Metal Mesh Shade, Black"/>
    <x v="972"/>
    <n v="2"/>
    <n v="11.04"/>
    <x v="8"/>
    <x v="1"/>
  </r>
  <r>
    <n v="44826"/>
    <x v="694"/>
    <x v="15"/>
    <x v="0"/>
    <x v="1"/>
    <s v="Avery 510"/>
    <x v="2432"/>
    <n v="4"/>
    <n v="4.2"/>
    <x v="8"/>
    <x v="1"/>
  </r>
  <r>
    <n v="44826"/>
    <x v="694"/>
    <x v="15"/>
    <x v="0"/>
    <x v="2"/>
    <s v="Tennsco Double-Tier Lockers"/>
    <x v="2433"/>
    <n v="4"/>
    <n v="-63.01"/>
    <x v="8"/>
    <x v="1"/>
  </r>
  <r>
    <n v="44826"/>
    <x v="694"/>
    <x v="15"/>
    <x v="0"/>
    <x v="2"/>
    <s v="Safco Wire Cube Shelving System, For Use as 4 or 5 14&quot; Cubes, Black"/>
    <x v="2434"/>
    <n v="1"/>
    <n v="-4.7699999999999996"/>
    <x v="8"/>
    <x v="1"/>
  </r>
  <r>
    <n v="44826"/>
    <x v="694"/>
    <x v="15"/>
    <x v="0"/>
    <x v="4"/>
    <s v="Newell 310"/>
    <x v="991"/>
    <n v="2"/>
    <n v="0.32"/>
    <x v="8"/>
    <x v="1"/>
  </r>
  <r>
    <n v="44826"/>
    <x v="694"/>
    <x v="15"/>
    <x v="0"/>
    <x v="3"/>
    <s v="Pressboard Data Binder, Crimson, 12&quot; X 8 1/2&quot;"/>
    <x v="2435"/>
    <n v="2"/>
    <n v="-2.56"/>
    <x v="8"/>
    <x v="1"/>
  </r>
  <r>
    <n v="44826"/>
    <x v="251"/>
    <x v="2"/>
    <x v="0"/>
    <x v="14"/>
    <s v="Acme Hot Forged Carbon Steel Scissors with Nickel-Plated Handles, 3 7/8&quot; Cut, 8&quot;L"/>
    <x v="1980"/>
    <n v="5"/>
    <n v="6.26"/>
    <x v="8"/>
    <x v="1"/>
  </r>
  <r>
    <n v="44826"/>
    <x v="251"/>
    <x v="2"/>
    <x v="2"/>
    <x v="9"/>
    <s v="LogitechÂ P710e Mobile Speakerphone"/>
    <x v="2436"/>
    <n v="3"/>
    <n v="-7.72"/>
    <x v="8"/>
    <x v="1"/>
  </r>
  <r>
    <n v="44826"/>
    <x v="22"/>
    <x v="3"/>
    <x v="0"/>
    <x v="12"/>
    <s v="Kensington 6 Outlet Guardian Standard Surge Protector"/>
    <x v="2437"/>
    <n v="3"/>
    <n v="16.59"/>
    <x v="8"/>
    <x v="1"/>
  </r>
  <r>
    <n v="44828"/>
    <x v="402"/>
    <x v="2"/>
    <x v="0"/>
    <x v="4"/>
    <s v="Newell 320"/>
    <x v="966"/>
    <n v="2"/>
    <n v="0.6"/>
    <x v="8"/>
    <x v="1"/>
  </r>
  <r>
    <n v="44828"/>
    <x v="387"/>
    <x v="8"/>
    <x v="1"/>
    <x v="5"/>
    <s v="Harbour Creations Steel Folding Chair"/>
    <x v="2438"/>
    <n v="6"/>
    <n v="155.25"/>
    <x v="8"/>
    <x v="1"/>
  </r>
  <r>
    <n v="44828"/>
    <x v="354"/>
    <x v="30"/>
    <x v="0"/>
    <x v="3"/>
    <s v="Acco Pressboard Covers with Storage Hooks, 14 7/8&quot; x 11&quot;, Executive Red"/>
    <x v="1068"/>
    <n v="4"/>
    <n v="6.86"/>
    <x v="8"/>
    <x v="1"/>
  </r>
  <r>
    <n v="44828"/>
    <x v="354"/>
    <x v="30"/>
    <x v="1"/>
    <x v="5"/>
    <s v="Hon Olson Stacker Stools"/>
    <x v="2439"/>
    <n v="10"/>
    <n v="394.27"/>
    <x v="8"/>
    <x v="1"/>
  </r>
  <r>
    <n v="44828"/>
    <x v="528"/>
    <x v="39"/>
    <x v="2"/>
    <x v="6"/>
    <s v="AT&amp;T 1080 Phone"/>
    <x v="2440"/>
    <n v="6"/>
    <n v="213.7"/>
    <x v="8"/>
    <x v="1"/>
  </r>
  <r>
    <n v="44828"/>
    <x v="297"/>
    <x v="22"/>
    <x v="0"/>
    <x v="4"/>
    <s v="BOSTON Model 1800 Electric Pencil Sharpeners, Putty/Woodgrain"/>
    <x v="2441"/>
    <n v="2"/>
    <n v="10.43"/>
    <x v="8"/>
    <x v="1"/>
  </r>
  <r>
    <n v="44828"/>
    <x v="297"/>
    <x v="22"/>
    <x v="0"/>
    <x v="3"/>
    <s v="Avery Hole Reinforcements"/>
    <x v="1700"/>
    <n v="3"/>
    <n v="5.42"/>
    <x v="8"/>
    <x v="1"/>
  </r>
  <r>
    <n v="44828"/>
    <x v="678"/>
    <x v="3"/>
    <x v="1"/>
    <x v="8"/>
    <s v="DAX Value U-Channel Document Frames, Easel Back"/>
    <x v="2287"/>
    <n v="3"/>
    <n v="4.62"/>
    <x v="8"/>
    <x v="1"/>
  </r>
  <r>
    <n v="44828"/>
    <x v="678"/>
    <x v="3"/>
    <x v="0"/>
    <x v="12"/>
    <s v="Hoover Upright Vacuum With Dirt Cup"/>
    <x v="2442"/>
    <n v="4"/>
    <n v="335.85"/>
    <x v="8"/>
    <x v="1"/>
  </r>
  <r>
    <n v="44828"/>
    <x v="695"/>
    <x v="12"/>
    <x v="2"/>
    <x v="6"/>
    <s v="Samsung HM1900 Bluetooth Headset"/>
    <x v="2443"/>
    <n v="2"/>
    <n v="13.17"/>
    <x v="8"/>
    <x v="1"/>
  </r>
  <r>
    <n v="44828"/>
    <x v="111"/>
    <x v="12"/>
    <x v="0"/>
    <x v="4"/>
    <s v="Dixon Ticonderoga Core-Lock Colored Pencils"/>
    <x v="1033"/>
    <n v="2"/>
    <n v="2.37"/>
    <x v="8"/>
    <x v="1"/>
  </r>
  <r>
    <n v="44828"/>
    <x v="111"/>
    <x v="12"/>
    <x v="2"/>
    <x v="9"/>
    <s v="HP Standard 104 key PS/2 Keyboard"/>
    <x v="2444"/>
    <n v="2"/>
    <n v="1.45"/>
    <x v="8"/>
    <x v="1"/>
  </r>
  <r>
    <n v="44828"/>
    <x v="111"/>
    <x v="12"/>
    <x v="0"/>
    <x v="4"/>
    <s v="Newell 317"/>
    <x v="1450"/>
    <n v="7"/>
    <n v="1.85"/>
    <x v="8"/>
    <x v="1"/>
  </r>
  <r>
    <n v="44828"/>
    <x v="337"/>
    <x v="10"/>
    <x v="0"/>
    <x v="3"/>
    <s v="Accohide Poly Flexible Ring Binders"/>
    <x v="2445"/>
    <n v="6"/>
    <n v="-4.49"/>
    <x v="8"/>
    <x v="1"/>
  </r>
  <r>
    <n v="44828"/>
    <x v="337"/>
    <x v="10"/>
    <x v="0"/>
    <x v="2"/>
    <s v="Tennsco Lockers, Sand"/>
    <x v="213"/>
    <n v="2"/>
    <n v="1.68"/>
    <x v="8"/>
    <x v="1"/>
  </r>
  <r>
    <n v="44828"/>
    <x v="337"/>
    <x v="10"/>
    <x v="0"/>
    <x v="10"/>
    <s v="#6 3/4 Gummed Flap White Envelopes"/>
    <x v="254"/>
    <n v="2"/>
    <n v="5.54"/>
    <x v="8"/>
    <x v="1"/>
  </r>
  <r>
    <n v="44828"/>
    <x v="337"/>
    <x v="10"/>
    <x v="0"/>
    <x v="1"/>
    <s v="Avery 4027 File Folder Labels for Dot Matrix Printers, 5000 Labels per Box, White"/>
    <x v="1163"/>
    <n v="1"/>
    <n v="7.94"/>
    <x v="8"/>
    <x v="1"/>
  </r>
  <r>
    <n v="44828"/>
    <x v="337"/>
    <x v="10"/>
    <x v="0"/>
    <x v="4"/>
    <s v="Newell 347"/>
    <x v="2446"/>
    <n v="5"/>
    <n v="1.93"/>
    <x v="8"/>
    <x v="1"/>
  </r>
  <r>
    <n v="44828"/>
    <x v="509"/>
    <x v="20"/>
    <x v="0"/>
    <x v="10"/>
    <s v="Blue String-Tie &amp; Button Interoffice Envelopes, 10 x 13"/>
    <x v="2447"/>
    <n v="1"/>
    <n v="17.989999999999998"/>
    <x v="8"/>
    <x v="1"/>
  </r>
  <r>
    <n v="44829"/>
    <x v="185"/>
    <x v="27"/>
    <x v="1"/>
    <x v="13"/>
    <s v="Bretford CR4500 Series Slim Rectangular Table"/>
    <x v="2448"/>
    <n v="3"/>
    <n v="240.26"/>
    <x v="8"/>
    <x v="1"/>
  </r>
  <r>
    <n v="44829"/>
    <x v="1"/>
    <x v="23"/>
    <x v="2"/>
    <x v="9"/>
    <s v="Memorex Micro Travel Drive 16 GB"/>
    <x v="2429"/>
    <n v="4"/>
    <n v="19.829999999999998"/>
    <x v="8"/>
    <x v="1"/>
  </r>
  <r>
    <n v="44829"/>
    <x v="1"/>
    <x v="23"/>
    <x v="0"/>
    <x v="3"/>
    <s v="Tuff Stuff Recycled Round Ring Binders"/>
    <x v="2449"/>
    <n v="3"/>
    <n v="7.09"/>
    <x v="8"/>
    <x v="1"/>
  </r>
  <r>
    <n v="44829"/>
    <x v="1"/>
    <x v="23"/>
    <x v="2"/>
    <x v="6"/>
    <s v="netTALK DUO VoIP Telephone Service"/>
    <x v="2450"/>
    <n v="2"/>
    <n v="52.49"/>
    <x v="8"/>
    <x v="1"/>
  </r>
  <r>
    <n v="44829"/>
    <x v="481"/>
    <x v="3"/>
    <x v="0"/>
    <x v="10"/>
    <s v="#10- 4 1/8&quot; x 9 1/2&quot; Recycled Envelopes"/>
    <x v="1649"/>
    <n v="2"/>
    <n v="8.2200000000000006"/>
    <x v="8"/>
    <x v="1"/>
  </r>
  <r>
    <n v="44829"/>
    <x v="417"/>
    <x v="38"/>
    <x v="0"/>
    <x v="3"/>
    <s v="GBC Prestige Therm-A-Bind Covers"/>
    <x v="2451"/>
    <n v="2"/>
    <n v="32.25"/>
    <x v="8"/>
    <x v="1"/>
  </r>
  <r>
    <n v="44829"/>
    <x v="696"/>
    <x v="20"/>
    <x v="2"/>
    <x v="9"/>
    <s v="Razer Kraken 7.1 Surround Sound Over Ear USB Gaming Headset"/>
    <x v="2452"/>
    <n v="9"/>
    <n v="395.96"/>
    <x v="8"/>
    <x v="1"/>
  </r>
  <r>
    <n v="44829"/>
    <x v="15"/>
    <x v="37"/>
    <x v="0"/>
    <x v="3"/>
    <s v="Acco PRESSTEX Data Binder with Storage Hooks, Light Blue, 9 1/2&quot; X 11&quot;"/>
    <x v="2453"/>
    <n v="2"/>
    <n v="5.16"/>
    <x v="8"/>
    <x v="1"/>
  </r>
  <r>
    <n v="44829"/>
    <x v="15"/>
    <x v="37"/>
    <x v="0"/>
    <x v="0"/>
    <s v="Xerox Color Copier Paper, 11&quot; x 17&quot;, Ream"/>
    <x v="1488"/>
    <n v="2"/>
    <n v="21.01"/>
    <x v="8"/>
    <x v="1"/>
  </r>
  <r>
    <n v="44829"/>
    <x v="15"/>
    <x v="37"/>
    <x v="0"/>
    <x v="4"/>
    <s v="Turquoise Lead Holder with Pocket Clip"/>
    <x v="2454"/>
    <n v="1"/>
    <n v="2.21"/>
    <x v="8"/>
    <x v="1"/>
  </r>
  <r>
    <n v="44829"/>
    <x v="613"/>
    <x v="1"/>
    <x v="0"/>
    <x v="4"/>
    <s v="Boston KS Multi-Size Manual Pencil Sharpener"/>
    <x v="2455"/>
    <n v="7"/>
    <n v="12.87"/>
    <x v="8"/>
    <x v="1"/>
  </r>
  <r>
    <n v="44829"/>
    <x v="562"/>
    <x v="22"/>
    <x v="1"/>
    <x v="5"/>
    <s v="Global Super Steno Chair"/>
    <x v="2456"/>
    <n v="4"/>
    <n v="-11.52"/>
    <x v="8"/>
    <x v="1"/>
  </r>
  <r>
    <n v="44829"/>
    <x v="562"/>
    <x v="22"/>
    <x v="0"/>
    <x v="1"/>
    <s v="Permanent Self-Adhesive File Folder Labels for Typewriters, 1 1/8 x 3 1/2, White"/>
    <x v="370"/>
    <n v="2"/>
    <n v="5.8"/>
    <x v="8"/>
    <x v="1"/>
  </r>
  <r>
    <n v="44829"/>
    <x v="562"/>
    <x v="22"/>
    <x v="2"/>
    <x v="9"/>
    <s v="Logitech G602 Wireless Gaming Mouse"/>
    <x v="281"/>
    <n v="2"/>
    <n v="57.59"/>
    <x v="8"/>
    <x v="1"/>
  </r>
  <r>
    <n v="44829"/>
    <x v="44"/>
    <x v="15"/>
    <x v="0"/>
    <x v="3"/>
    <s v="Wilson Jones 1&quot; Hanging DublLock Ring Binders"/>
    <x v="2457"/>
    <n v="4"/>
    <n v="-4.6500000000000004"/>
    <x v="8"/>
    <x v="1"/>
  </r>
  <r>
    <n v="44829"/>
    <x v="44"/>
    <x v="15"/>
    <x v="0"/>
    <x v="0"/>
    <s v="Advantus Motivational Note Cards"/>
    <x v="2458"/>
    <n v="1"/>
    <n v="3.8"/>
    <x v="8"/>
    <x v="1"/>
  </r>
  <r>
    <n v="44829"/>
    <x v="44"/>
    <x v="15"/>
    <x v="0"/>
    <x v="3"/>
    <s v="Wilson Jones data.warehouse D-Ring Binders with DublLock"/>
    <x v="2459"/>
    <n v="1"/>
    <n v="-1.81"/>
    <x v="8"/>
    <x v="1"/>
  </r>
  <r>
    <n v="44829"/>
    <x v="44"/>
    <x v="15"/>
    <x v="0"/>
    <x v="3"/>
    <s v="Wilson Jones Custom Binder Spines &amp; Labels"/>
    <x v="1032"/>
    <n v="2"/>
    <n v="-2.2799999999999998"/>
    <x v="8"/>
    <x v="1"/>
  </r>
  <r>
    <n v="44829"/>
    <x v="246"/>
    <x v="20"/>
    <x v="1"/>
    <x v="5"/>
    <s v="Hon Comfortask Task/Swivel Chairs"/>
    <x v="2460"/>
    <n v="1"/>
    <n v="6.84"/>
    <x v="8"/>
    <x v="1"/>
  </r>
  <r>
    <n v="44829"/>
    <x v="246"/>
    <x v="20"/>
    <x v="0"/>
    <x v="0"/>
    <s v="Xerox 1923"/>
    <x v="1251"/>
    <n v="3"/>
    <n v="9.6199999999999992"/>
    <x v="8"/>
    <x v="1"/>
  </r>
  <r>
    <n v="44829"/>
    <x v="240"/>
    <x v="2"/>
    <x v="0"/>
    <x v="3"/>
    <s v="Acco Pressboard Covers with Storage Hooks, 14 7/8&quot; x 11&quot;, Light Blue"/>
    <x v="797"/>
    <n v="2"/>
    <n v="-2.06"/>
    <x v="8"/>
    <x v="1"/>
  </r>
  <r>
    <n v="44830"/>
    <x v="236"/>
    <x v="0"/>
    <x v="0"/>
    <x v="3"/>
    <s v="Round Ring Binders"/>
    <x v="2461"/>
    <n v="5"/>
    <n v="-3.43"/>
    <x v="8"/>
    <x v="1"/>
  </r>
  <r>
    <n v="44830"/>
    <x v="236"/>
    <x v="0"/>
    <x v="2"/>
    <x v="6"/>
    <s v="Bose SoundLink Bluetooth Speaker"/>
    <x v="2462"/>
    <n v="7"/>
    <n v="376.11"/>
    <x v="8"/>
    <x v="1"/>
  </r>
  <r>
    <n v="44830"/>
    <x v="463"/>
    <x v="11"/>
    <x v="0"/>
    <x v="0"/>
    <s v="Easy-staple paper"/>
    <x v="1606"/>
    <n v="5"/>
    <n v="47.84"/>
    <x v="8"/>
    <x v="1"/>
  </r>
  <r>
    <n v="44830"/>
    <x v="463"/>
    <x v="11"/>
    <x v="2"/>
    <x v="9"/>
    <s v="Microsoft Arc Touch Mouse"/>
    <x v="2463"/>
    <n v="5"/>
    <n v="47.96"/>
    <x v="8"/>
    <x v="1"/>
  </r>
  <r>
    <n v="44830"/>
    <x v="463"/>
    <x v="11"/>
    <x v="0"/>
    <x v="0"/>
    <s v="Xerox 216"/>
    <x v="792"/>
    <n v="6"/>
    <n v="10.89"/>
    <x v="8"/>
    <x v="1"/>
  </r>
  <r>
    <n v="44830"/>
    <x v="602"/>
    <x v="12"/>
    <x v="0"/>
    <x v="0"/>
    <s v="Petty Cash Envelope"/>
    <x v="2464"/>
    <n v="4"/>
    <n v="31.27"/>
    <x v="8"/>
    <x v="1"/>
  </r>
  <r>
    <n v="44830"/>
    <x v="602"/>
    <x v="12"/>
    <x v="0"/>
    <x v="3"/>
    <s v="GBC VeloBinder Electric Binding Machine"/>
    <x v="2465"/>
    <n v="2"/>
    <n v="-48.39"/>
    <x v="8"/>
    <x v="1"/>
  </r>
  <r>
    <n v="44830"/>
    <x v="602"/>
    <x v="12"/>
    <x v="0"/>
    <x v="12"/>
    <s v="3M Replacement Filter for Office Air Cleaner for 20' x 33' Room"/>
    <x v="926"/>
    <n v="2"/>
    <n v="14.41"/>
    <x v="8"/>
    <x v="1"/>
  </r>
  <r>
    <n v="44830"/>
    <x v="602"/>
    <x v="12"/>
    <x v="0"/>
    <x v="3"/>
    <s v="Lock-Up Easel 'Spel-Binder'"/>
    <x v="2466"/>
    <n v="9"/>
    <n v="-59.06"/>
    <x v="8"/>
    <x v="1"/>
  </r>
  <r>
    <n v="44830"/>
    <x v="602"/>
    <x v="12"/>
    <x v="0"/>
    <x v="2"/>
    <s v="2300 Heavy-Duty Transfer File Systems by Perma"/>
    <x v="2467"/>
    <n v="6"/>
    <n v="-1.5"/>
    <x v="8"/>
    <x v="1"/>
  </r>
  <r>
    <n v="44830"/>
    <x v="602"/>
    <x v="12"/>
    <x v="2"/>
    <x v="6"/>
    <s v="Samsung Rugby III"/>
    <x v="592"/>
    <n v="5"/>
    <n v="23.1"/>
    <x v="8"/>
    <x v="1"/>
  </r>
  <r>
    <n v="44830"/>
    <x v="602"/>
    <x v="12"/>
    <x v="0"/>
    <x v="2"/>
    <s v="SAFCO Boltless Steel Shelving"/>
    <x v="2468"/>
    <n v="4"/>
    <n v="-86.37"/>
    <x v="8"/>
    <x v="1"/>
  </r>
  <r>
    <n v="44830"/>
    <x v="582"/>
    <x v="2"/>
    <x v="0"/>
    <x v="3"/>
    <s v="Catalog Binders with Expanding Posts"/>
    <x v="2469"/>
    <n v="6"/>
    <n v="-100.92"/>
    <x v="8"/>
    <x v="1"/>
  </r>
  <r>
    <n v="44830"/>
    <x v="582"/>
    <x v="2"/>
    <x v="2"/>
    <x v="6"/>
    <s v="Grandstream GXP2100 Mainstream Business Phone"/>
    <x v="2470"/>
    <n v="1"/>
    <n v="-9.18"/>
    <x v="8"/>
    <x v="1"/>
  </r>
  <r>
    <n v="44830"/>
    <x v="697"/>
    <x v="3"/>
    <x v="0"/>
    <x v="2"/>
    <s v="Sortfiler Multipurpose Personal File Organizer, Black"/>
    <x v="2471"/>
    <n v="3"/>
    <n v="18.61"/>
    <x v="8"/>
    <x v="1"/>
  </r>
  <r>
    <n v="44830"/>
    <x v="697"/>
    <x v="3"/>
    <x v="0"/>
    <x v="10"/>
    <s v="Cameo Buff Policy Envelopes"/>
    <x v="2472"/>
    <n v="2"/>
    <n v="58.5"/>
    <x v="8"/>
    <x v="1"/>
  </r>
  <r>
    <n v="44830"/>
    <x v="413"/>
    <x v="20"/>
    <x v="2"/>
    <x v="9"/>
    <s v="Dell Slim USB Multimedia Keyboard"/>
    <x v="2473"/>
    <n v="2"/>
    <n v="12"/>
    <x v="8"/>
    <x v="1"/>
  </r>
  <r>
    <n v="44830"/>
    <x v="344"/>
    <x v="20"/>
    <x v="0"/>
    <x v="7"/>
    <s v="Vinyl Coated Wire Paper Clips in Organizer Box, 800/Box"/>
    <x v="1337"/>
    <n v="3"/>
    <n v="16.190000000000001"/>
    <x v="8"/>
    <x v="1"/>
  </r>
  <r>
    <n v="44830"/>
    <x v="344"/>
    <x v="20"/>
    <x v="2"/>
    <x v="15"/>
    <s v="Ativa MDM8000 8-Sheet Micro-Cut Shredder"/>
    <x v="2474"/>
    <n v="7"/>
    <n v="296.07"/>
    <x v="8"/>
    <x v="1"/>
  </r>
  <r>
    <n v="44830"/>
    <x v="344"/>
    <x v="20"/>
    <x v="0"/>
    <x v="3"/>
    <s v="GBC Imprintable Covers"/>
    <x v="2475"/>
    <n v="9"/>
    <n v="28.66"/>
    <x v="8"/>
    <x v="1"/>
  </r>
  <r>
    <n v="44831"/>
    <x v="685"/>
    <x v="1"/>
    <x v="0"/>
    <x v="3"/>
    <s v="Vinyl Sectional Post Binders"/>
    <x v="2476"/>
    <n v="2"/>
    <n v="-22.62"/>
    <x v="8"/>
    <x v="1"/>
  </r>
  <r>
    <n v="44831"/>
    <x v="685"/>
    <x v="1"/>
    <x v="1"/>
    <x v="8"/>
    <s v="DAX Metal Frame, Desktop, Stepped-Edge"/>
    <x v="2477"/>
    <n v="3"/>
    <n v="-12.75"/>
    <x v="8"/>
    <x v="1"/>
  </r>
  <r>
    <n v="44831"/>
    <x v="511"/>
    <x v="3"/>
    <x v="0"/>
    <x v="2"/>
    <s v="Personal Filing Tote with Lid, Black/Gray"/>
    <x v="2478"/>
    <n v="1"/>
    <n v="4.34"/>
    <x v="8"/>
    <x v="1"/>
  </r>
  <r>
    <n v="44831"/>
    <x v="511"/>
    <x v="3"/>
    <x v="0"/>
    <x v="0"/>
    <s v="Xerox 1916"/>
    <x v="1454"/>
    <n v="3"/>
    <n v="73.41"/>
    <x v="8"/>
    <x v="1"/>
  </r>
  <r>
    <n v="44831"/>
    <x v="511"/>
    <x v="3"/>
    <x v="0"/>
    <x v="0"/>
    <s v="Xerox 226"/>
    <x v="115"/>
    <n v="2"/>
    <n v="6.22"/>
    <x v="8"/>
    <x v="1"/>
  </r>
  <r>
    <n v="44831"/>
    <x v="698"/>
    <x v="14"/>
    <x v="0"/>
    <x v="4"/>
    <s v="Newell 321"/>
    <x v="747"/>
    <n v="5"/>
    <n v="4.76"/>
    <x v="8"/>
    <x v="1"/>
  </r>
  <r>
    <n v="44831"/>
    <x v="698"/>
    <x v="14"/>
    <x v="0"/>
    <x v="0"/>
    <s v="Xerox 1996"/>
    <x v="499"/>
    <n v="4"/>
    <n v="12.44"/>
    <x v="8"/>
    <x v="1"/>
  </r>
  <r>
    <n v="44831"/>
    <x v="295"/>
    <x v="6"/>
    <x v="0"/>
    <x v="0"/>
    <s v="Xerox 1988"/>
    <x v="276"/>
    <n v="5"/>
    <n v="69.709999999999994"/>
    <x v="8"/>
    <x v="1"/>
  </r>
  <r>
    <n v="44831"/>
    <x v="295"/>
    <x v="6"/>
    <x v="2"/>
    <x v="6"/>
    <s v="Cisco SPA301"/>
    <x v="2479"/>
    <n v="12"/>
    <n v="561.55999999999995"/>
    <x v="8"/>
    <x v="1"/>
  </r>
  <r>
    <n v="44831"/>
    <x v="531"/>
    <x v="22"/>
    <x v="0"/>
    <x v="4"/>
    <s v="Newell 334"/>
    <x v="689"/>
    <n v="5"/>
    <n v="25.79"/>
    <x v="8"/>
    <x v="1"/>
  </r>
  <r>
    <n v="44832"/>
    <x v="418"/>
    <x v="3"/>
    <x v="0"/>
    <x v="12"/>
    <s v="Holmes Odor Grabber"/>
    <x v="2480"/>
    <n v="3"/>
    <n v="14.28"/>
    <x v="8"/>
    <x v="1"/>
  </r>
  <r>
    <n v="44832"/>
    <x v="418"/>
    <x v="3"/>
    <x v="0"/>
    <x v="12"/>
    <s v="Holmes HEPA Air Purifier"/>
    <x v="1874"/>
    <n v="2"/>
    <n v="15.25"/>
    <x v="8"/>
    <x v="1"/>
  </r>
  <r>
    <n v="44832"/>
    <x v="456"/>
    <x v="26"/>
    <x v="0"/>
    <x v="10"/>
    <s v="#10 White Business Envelopes,4 1/8 x 9 1/2"/>
    <x v="1503"/>
    <n v="1"/>
    <n v="4.2300000000000004"/>
    <x v="8"/>
    <x v="1"/>
  </r>
  <r>
    <n v="44832"/>
    <x v="456"/>
    <x v="26"/>
    <x v="0"/>
    <x v="3"/>
    <s v="Wilson Jones Easy Flow II Sheet Lifters"/>
    <x v="108"/>
    <n v="2"/>
    <n v="-0.79"/>
    <x v="8"/>
    <x v="1"/>
  </r>
  <r>
    <n v="44832"/>
    <x v="456"/>
    <x v="26"/>
    <x v="0"/>
    <x v="7"/>
    <s v="Staples"/>
    <x v="2481"/>
    <n v="3"/>
    <n v="0.85"/>
    <x v="8"/>
    <x v="1"/>
  </r>
  <r>
    <n v="44832"/>
    <x v="612"/>
    <x v="20"/>
    <x v="0"/>
    <x v="12"/>
    <s v="Fellowes Premier Superior Surge Suppressor, 10-Outlet, With Phone and Remote"/>
    <x v="2482"/>
    <n v="6"/>
    <n v="76.319999999999993"/>
    <x v="8"/>
    <x v="1"/>
  </r>
  <r>
    <n v="44832"/>
    <x v="612"/>
    <x v="20"/>
    <x v="2"/>
    <x v="6"/>
    <s v="Nortel Meridian M3904 Professional Digital phone"/>
    <x v="2235"/>
    <n v="2"/>
    <n v="89.31"/>
    <x v="8"/>
    <x v="1"/>
  </r>
  <r>
    <n v="44832"/>
    <x v="132"/>
    <x v="3"/>
    <x v="0"/>
    <x v="12"/>
    <s v="Acco Smartsocket Table Surge Protector, 6 Color-Coded Adapter Outlets"/>
    <x v="2483"/>
    <n v="3"/>
    <n v="55.85"/>
    <x v="8"/>
    <x v="1"/>
  </r>
  <r>
    <n v="44832"/>
    <x v="132"/>
    <x v="3"/>
    <x v="0"/>
    <x v="3"/>
    <s v="GBC Recycled VeloBinder Covers"/>
    <x v="2484"/>
    <n v="6"/>
    <n v="26.58"/>
    <x v="8"/>
    <x v="1"/>
  </r>
  <r>
    <n v="44832"/>
    <x v="132"/>
    <x v="3"/>
    <x v="0"/>
    <x v="14"/>
    <s v="Acme Galleria Hot Forged Steel Scissors with Colored Handles"/>
    <x v="2485"/>
    <n v="3"/>
    <n v="13.69"/>
    <x v="8"/>
    <x v="1"/>
  </r>
  <r>
    <n v="44832"/>
    <x v="132"/>
    <x v="3"/>
    <x v="2"/>
    <x v="6"/>
    <s v="Motorola HK250 Universal Bluetooth Headset"/>
    <x v="1960"/>
    <n v="2"/>
    <n v="-8.2799999999999994"/>
    <x v="8"/>
    <x v="1"/>
  </r>
  <r>
    <n v="44835"/>
    <x v="678"/>
    <x v="26"/>
    <x v="0"/>
    <x v="2"/>
    <s v="Trav-L-File Heavy-Duty Shuttle II, Black"/>
    <x v="2486"/>
    <n v="4"/>
    <n v="17.43"/>
    <x v="9"/>
    <x v="1"/>
  </r>
  <r>
    <n v="44835"/>
    <x v="508"/>
    <x v="32"/>
    <x v="2"/>
    <x v="6"/>
    <s v="Cisco SPA301"/>
    <x v="1917"/>
    <n v="2"/>
    <n v="93.59"/>
    <x v="9"/>
    <x v="1"/>
  </r>
  <r>
    <n v="44835"/>
    <x v="508"/>
    <x v="32"/>
    <x v="0"/>
    <x v="3"/>
    <s v="Avery Non-Stick Binders"/>
    <x v="2487"/>
    <n v="5"/>
    <n v="10.33"/>
    <x v="9"/>
    <x v="1"/>
  </r>
  <r>
    <n v="44835"/>
    <x v="699"/>
    <x v="1"/>
    <x v="0"/>
    <x v="3"/>
    <s v="Accohide Poly Flexible Ring Binders"/>
    <x v="1153"/>
    <n v="4"/>
    <n v="-4.49"/>
    <x v="9"/>
    <x v="1"/>
  </r>
  <r>
    <n v="44835"/>
    <x v="699"/>
    <x v="1"/>
    <x v="2"/>
    <x v="9"/>
    <s v="Lenovo 17-Key USB Numeric Keypad"/>
    <x v="2488"/>
    <n v="4"/>
    <n v="2.72"/>
    <x v="9"/>
    <x v="1"/>
  </r>
  <r>
    <n v="44835"/>
    <x v="699"/>
    <x v="11"/>
    <x v="2"/>
    <x v="6"/>
    <s v="Wilson Electronics DB Pro Signal Booster"/>
    <x v="2489"/>
    <n v="2"/>
    <n v="50.12"/>
    <x v="9"/>
    <x v="1"/>
  </r>
  <r>
    <n v="44836"/>
    <x v="290"/>
    <x v="3"/>
    <x v="0"/>
    <x v="3"/>
    <s v="GBC Personal VeloBind Strips"/>
    <x v="2490"/>
    <n v="6"/>
    <n v="20.13"/>
    <x v="9"/>
    <x v="1"/>
  </r>
  <r>
    <n v="44836"/>
    <x v="359"/>
    <x v="23"/>
    <x v="0"/>
    <x v="0"/>
    <s v="Computer Printout Paper with Letter-Trim Perforations"/>
    <x v="1273"/>
    <n v="5"/>
    <n v="45.53"/>
    <x v="9"/>
    <x v="1"/>
  </r>
  <r>
    <n v="44836"/>
    <x v="359"/>
    <x v="23"/>
    <x v="0"/>
    <x v="10"/>
    <s v="Globe Weis Peel &amp; Seel First Class Envelopes"/>
    <x v="2491"/>
    <n v="4"/>
    <n v="23"/>
    <x v="9"/>
    <x v="1"/>
  </r>
  <r>
    <n v="44836"/>
    <x v="359"/>
    <x v="23"/>
    <x v="2"/>
    <x v="9"/>
    <s v="NETGEAR N750 Dual Band Wi-Fi Gigabit Router"/>
    <x v="2346"/>
    <n v="1"/>
    <n v="32.4"/>
    <x v="9"/>
    <x v="1"/>
  </r>
  <r>
    <n v="44836"/>
    <x v="431"/>
    <x v="3"/>
    <x v="0"/>
    <x v="2"/>
    <s v="Eldon ProFile File 'N Store Portable File Tub Letter/Legal Size Black"/>
    <x v="2492"/>
    <n v="14"/>
    <n v="75.7"/>
    <x v="9"/>
    <x v="1"/>
  </r>
  <r>
    <n v="44836"/>
    <x v="70"/>
    <x v="25"/>
    <x v="0"/>
    <x v="3"/>
    <s v="Pressboard Hanging Data Binders for Unburst Sheets"/>
    <x v="1764"/>
    <n v="5"/>
    <n v="-5.41"/>
    <x v="9"/>
    <x v="1"/>
  </r>
  <r>
    <n v="44836"/>
    <x v="700"/>
    <x v="3"/>
    <x v="0"/>
    <x v="3"/>
    <s v="Pressboard Hanging Data Binders for Unburst Sheets"/>
    <x v="211"/>
    <n v="3"/>
    <n v="4.13"/>
    <x v="9"/>
    <x v="1"/>
  </r>
  <r>
    <n v="44836"/>
    <x v="700"/>
    <x v="3"/>
    <x v="0"/>
    <x v="3"/>
    <s v="GBC Poly Designer Binding Covers"/>
    <x v="2493"/>
    <n v="4"/>
    <n v="19.420000000000002"/>
    <x v="9"/>
    <x v="1"/>
  </r>
  <r>
    <n v="44836"/>
    <x v="700"/>
    <x v="3"/>
    <x v="2"/>
    <x v="6"/>
    <s v="HTC One Mini"/>
    <x v="1353"/>
    <n v="5"/>
    <n v="50.4"/>
    <x v="9"/>
    <x v="1"/>
  </r>
  <r>
    <n v="44836"/>
    <x v="634"/>
    <x v="37"/>
    <x v="0"/>
    <x v="3"/>
    <s v="Acco PRESSTEX Data Binder with Storage Hooks, Dark Blue, 14 7/8&quot; X 11&quot;"/>
    <x v="2494"/>
    <n v="5"/>
    <n v="13.18"/>
    <x v="9"/>
    <x v="1"/>
  </r>
  <r>
    <n v="44836"/>
    <x v="320"/>
    <x v="36"/>
    <x v="0"/>
    <x v="0"/>
    <s v="Xerox 202"/>
    <x v="5"/>
    <n v="3"/>
    <n v="9.33"/>
    <x v="9"/>
    <x v="1"/>
  </r>
  <r>
    <n v="44836"/>
    <x v="320"/>
    <x v="36"/>
    <x v="0"/>
    <x v="3"/>
    <s v="GBC Plastic Binding Combs"/>
    <x v="1764"/>
    <n v="1"/>
    <n v="3.62"/>
    <x v="9"/>
    <x v="1"/>
  </r>
  <r>
    <n v="44836"/>
    <x v="218"/>
    <x v="26"/>
    <x v="0"/>
    <x v="14"/>
    <s v="Acme Design Line 8&quot; Stainless Steel Bent Scissors w/Champagne Handles, 3-1/8&quot; Cut"/>
    <x v="2495"/>
    <n v="2"/>
    <n v="0.96"/>
    <x v="9"/>
    <x v="1"/>
  </r>
  <r>
    <n v="44836"/>
    <x v="74"/>
    <x v="11"/>
    <x v="1"/>
    <x v="8"/>
    <s v="9-3/4 Diameter Round Wall Clock"/>
    <x v="2496"/>
    <n v="1"/>
    <n v="3.03"/>
    <x v="9"/>
    <x v="1"/>
  </r>
  <r>
    <n v="44836"/>
    <x v="74"/>
    <x v="11"/>
    <x v="2"/>
    <x v="9"/>
    <s v="SanDisk Ultra 32 GB MicroSDHC Class 10 Memory Card"/>
    <x v="2497"/>
    <n v="3"/>
    <n v="-4.6399999999999997"/>
    <x v="9"/>
    <x v="1"/>
  </r>
  <r>
    <n v="44837"/>
    <x v="240"/>
    <x v="10"/>
    <x v="0"/>
    <x v="3"/>
    <s v="Acco D-Ring Binder w/DublLock"/>
    <x v="2498"/>
    <n v="5"/>
    <n v="-22.45"/>
    <x v="9"/>
    <x v="1"/>
  </r>
  <r>
    <n v="44837"/>
    <x v="240"/>
    <x v="10"/>
    <x v="2"/>
    <x v="9"/>
    <s v="ImationÂ 8gb Micro Traveldrive Usb 2.0Â Flash Drive"/>
    <x v="2499"/>
    <n v="2"/>
    <n v="-2.7"/>
    <x v="9"/>
    <x v="1"/>
  </r>
  <r>
    <n v="44837"/>
    <x v="240"/>
    <x v="10"/>
    <x v="1"/>
    <x v="11"/>
    <s v="Safco Value Mate Series Steel Bookcases, Baked Enamel Finish on Steel, Gray"/>
    <x v="2500"/>
    <n v="1"/>
    <n v="-15.62"/>
    <x v="9"/>
    <x v="1"/>
  </r>
  <r>
    <n v="44837"/>
    <x v="240"/>
    <x v="10"/>
    <x v="2"/>
    <x v="9"/>
    <s v="Microsoft Natural Ergonomic Keyboard 4000"/>
    <x v="972"/>
    <n v="2"/>
    <n v="0.6"/>
    <x v="9"/>
    <x v="1"/>
  </r>
  <r>
    <n v="44837"/>
    <x v="126"/>
    <x v="2"/>
    <x v="0"/>
    <x v="2"/>
    <s v="Staple magnet"/>
    <x v="2501"/>
    <n v="2"/>
    <n v="1.5"/>
    <x v="9"/>
    <x v="1"/>
  </r>
  <r>
    <n v="44837"/>
    <x v="206"/>
    <x v="3"/>
    <x v="1"/>
    <x v="11"/>
    <s v="Safco Value Mate Series Steel Bookcases, Baked Enamel Finish on Steel, Gray"/>
    <x v="2502"/>
    <n v="2"/>
    <n v="18.45"/>
    <x v="9"/>
    <x v="1"/>
  </r>
  <r>
    <n v="44838"/>
    <x v="561"/>
    <x v="4"/>
    <x v="1"/>
    <x v="5"/>
    <s v="Office Star - Mesh Screen back chair with Vinyl seat"/>
    <x v="1350"/>
    <n v="3"/>
    <n v="43.22"/>
    <x v="9"/>
    <x v="1"/>
  </r>
  <r>
    <n v="44838"/>
    <x v="116"/>
    <x v="3"/>
    <x v="0"/>
    <x v="2"/>
    <s v="Tenex Personal Project File with Scoop Front Design, Black"/>
    <x v="2503"/>
    <n v="2"/>
    <n v="7.01"/>
    <x v="9"/>
    <x v="1"/>
  </r>
  <r>
    <n v="44838"/>
    <x v="488"/>
    <x v="2"/>
    <x v="1"/>
    <x v="8"/>
    <s v="DataProducts Ampli Magnifier Task Lamp, Black,"/>
    <x v="2504"/>
    <n v="3"/>
    <n v="6.49"/>
    <x v="9"/>
    <x v="1"/>
  </r>
  <r>
    <n v="44838"/>
    <x v="488"/>
    <x v="2"/>
    <x v="0"/>
    <x v="0"/>
    <s v="Xerox 1946"/>
    <x v="1315"/>
    <n v="4"/>
    <n v="7.26"/>
    <x v="9"/>
    <x v="1"/>
  </r>
  <r>
    <n v="44839"/>
    <x v="701"/>
    <x v="6"/>
    <x v="0"/>
    <x v="4"/>
    <s v="Newell 324"/>
    <x v="2505"/>
    <n v="4"/>
    <n v="12.94"/>
    <x v="9"/>
    <x v="1"/>
  </r>
  <r>
    <n v="44839"/>
    <x v="701"/>
    <x v="6"/>
    <x v="0"/>
    <x v="12"/>
    <s v="Holmes Odor Grabber"/>
    <x v="2506"/>
    <n v="2"/>
    <n v="9.52"/>
    <x v="9"/>
    <x v="1"/>
  </r>
  <r>
    <n v="44839"/>
    <x v="472"/>
    <x v="7"/>
    <x v="0"/>
    <x v="2"/>
    <s v="Personal Filing Tote with Lid, Black/Gray"/>
    <x v="2011"/>
    <n v="5"/>
    <n v="21.71"/>
    <x v="9"/>
    <x v="1"/>
  </r>
  <r>
    <n v="44839"/>
    <x v="337"/>
    <x v="10"/>
    <x v="2"/>
    <x v="9"/>
    <s v="SanDisk Ultra 32 GB MicroSDHC Class 10 Memory Card"/>
    <x v="2497"/>
    <n v="3"/>
    <n v="-4.6399999999999997"/>
    <x v="9"/>
    <x v="1"/>
  </r>
  <r>
    <n v="44839"/>
    <x v="467"/>
    <x v="11"/>
    <x v="1"/>
    <x v="11"/>
    <s v="Bush Cubix Collection Bookcases, Fully Assembled"/>
    <x v="2507"/>
    <n v="1"/>
    <n v="-103.86"/>
    <x v="9"/>
    <x v="1"/>
  </r>
  <r>
    <n v="44839"/>
    <x v="467"/>
    <x v="11"/>
    <x v="1"/>
    <x v="5"/>
    <s v="Global Highback Leather Tilter in Burgundy"/>
    <x v="2508"/>
    <n v="4"/>
    <n v="-14.56"/>
    <x v="9"/>
    <x v="1"/>
  </r>
  <r>
    <n v="44839"/>
    <x v="325"/>
    <x v="10"/>
    <x v="2"/>
    <x v="9"/>
    <s v="NETGEAR N750 Dual Band Wi-Fi Gigabit Router"/>
    <x v="2509"/>
    <n v="4"/>
    <n v="57.6"/>
    <x v="9"/>
    <x v="1"/>
  </r>
  <r>
    <n v="44842"/>
    <x v="337"/>
    <x v="3"/>
    <x v="1"/>
    <x v="8"/>
    <s v="Deflect-o SuperTray Unbreakable Stackable Tray, Letter, Black"/>
    <x v="2510"/>
    <n v="5"/>
    <n v="62.74"/>
    <x v="9"/>
    <x v="1"/>
  </r>
  <r>
    <n v="44842"/>
    <x v="542"/>
    <x v="0"/>
    <x v="0"/>
    <x v="4"/>
    <s v="Binney &amp; Smith inkTank Desk Highlighter, Chisel Tip, Yellow, 12/Box"/>
    <x v="31"/>
    <n v="2"/>
    <n v="0.56000000000000005"/>
    <x v="9"/>
    <x v="1"/>
  </r>
  <r>
    <n v="44842"/>
    <x v="702"/>
    <x v="0"/>
    <x v="1"/>
    <x v="8"/>
    <s v="Tenex Traditional Chairmats for Medium Pile Carpet, Standard Lip, 36&quot; x 48&quot;"/>
    <x v="1914"/>
    <n v="3"/>
    <n v="-70.959999999999994"/>
    <x v="9"/>
    <x v="1"/>
  </r>
  <r>
    <n v="44843"/>
    <x v="610"/>
    <x v="6"/>
    <x v="0"/>
    <x v="2"/>
    <s v="Decoflex Hanging Personal Folder File, Blue"/>
    <x v="2511"/>
    <n v="2"/>
    <n v="8.33"/>
    <x v="9"/>
    <x v="1"/>
  </r>
  <r>
    <n v="44843"/>
    <x v="560"/>
    <x v="20"/>
    <x v="2"/>
    <x v="6"/>
    <s v="Jawbone JAMBOX Wireless Bluetooth Speaker"/>
    <x v="2512"/>
    <n v="4"/>
    <n v="303.33999999999997"/>
    <x v="9"/>
    <x v="1"/>
  </r>
  <r>
    <n v="44843"/>
    <x v="560"/>
    <x v="20"/>
    <x v="0"/>
    <x v="0"/>
    <s v="Xerox 1895"/>
    <x v="635"/>
    <n v="4"/>
    <n v="10.76"/>
    <x v="9"/>
    <x v="1"/>
  </r>
  <r>
    <n v="44843"/>
    <x v="291"/>
    <x v="14"/>
    <x v="2"/>
    <x v="9"/>
    <s v="Logitech G19 Programmable Gaming Keyboard"/>
    <x v="2324"/>
    <n v="5"/>
    <n v="111.59"/>
    <x v="9"/>
    <x v="1"/>
  </r>
  <r>
    <n v="44843"/>
    <x v="291"/>
    <x v="14"/>
    <x v="2"/>
    <x v="6"/>
    <s v="KLD Oscar II Style Snap-on Ultra Thin Side Flip Synthetic Leather Cover Case for HTC One HTC M7"/>
    <x v="2052"/>
    <n v="3"/>
    <n v="8.4600000000000009"/>
    <x v="9"/>
    <x v="1"/>
  </r>
  <r>
    <n v="44843"/>
    <x v="291"/>
    <x v="14"/>
    <x v="0"/>
    <x v="10"/>
    <s v="Staple envelope"/>
    <x v="2513"/>
    <n v="7"/>
    <n v="27.24"/>
    <x v="9"/>
    <x v="1"/>
  </r>
  <r>
    <n v="44843"/>
    <x v="291"/>
    <x v="14"/>
    <x v="0"/>
    <x v="12"/>
    <s v="Belkin 6 Outlet Metallic Surge Strip"/>
    <x v="2514"/>
    <n v="3"/>
    <n v="5.23"/>
    <x v="9"/>
    <x v="1"/>
  </r>
  <r>
    <n v="44843"/>
    <x v="256"/>
    <x v="16"/>
    <x v="0"/>
    <x v="3"/>
    <s v="Zipper Ring Binder Pockets"/>
    <x v="267"/>
    <n v="2"/>
    <n v="-1.31"/>
    <x v="9"/>
    <x v="1"/>
  </r>
  <r>
    <n v="44843"/>
    <x v="256"/>
    <x v="16"/>
    <x v="0"/>
    <x v="3"/>
    <s v="Clear Mylar Reinforcing Strips"/>
    <x v="1737"/>
    <n v="2"/>
    <n v="-8.6"/>
    <x v="9"/>
    <x v="1"/>
  </r>
  <r>
    <n v="44843"/>
    <x v="256"/>
    <x v="16"/>
    <x v="0"/>
    <x v="4"/>
    <s v="Avery Hi-Liter Smear-Safe Highlighters"/>
    <x v="2515"/>
    <n v="8"/>
    <n v="7.48"/>
    <x v="9"/>
    <x v="1"/>
  </r>
  <r>
    <n v="44843"/>
    <x v="667"/>
    <x v="14"/>
    <x v="1"/>
    <x v="5"/>
    <s v="High-Back Leather Manager's Chair"/>
    <x v="2516"/>
    <n v="3"/>
    <n v="35.1"/>
    <x v="9"/>
    <x v="1"/>
  </r>
  <r>
    <n v="44843"/>
    <x v="667"/>
    <x v="14"/>
    <x v="0"/>
    <x v="12"/>
    <s v="Belkin 8 Outlet SurgeMaster II Gold Surge Protector"/>
    <x v="2517"/>
    <n v="5"/>
    <n v="53.98"/>
    <x v="9"/>
    <x v="1"/>
  </r>
  <r>
    <n v="44844"/>
    <x v="561"/>
    <x v="3"/>
    <x v="0"/>
    <x v="0"/>
    <s v="Xerox 1894"/>
    <x v="413"/>
    <n v="7"/>
    <n v="21.77"/>
    <x v="9"/>
    <x v="1"/>
  </r>
  <r>
    <n v="44844"/>
    <x v="628"/>
    <x v="16"/>
    <x v="0"/>
    <x v="2"/>
    <s v="Tennsco Single-Tier Lockers"/>
    <x v="1057"/>
    <n v="6"/>
    <n v="-337.81"/>
    <x v="9"/>
    <x v="1"/>
  </r>
  <r>
    <n v="44844"/>
    <x v="547"/>
    <x v="1"/>
    <x v="0"/>
    <x v="4"/>
    <s v="Avery Fluorescent Highlighter Four-Color Set"/>
    <x v="202"/>
    <n v="3"/>
    <n v="1"/>
    <x v="9"/>
    <x v="1"/>
  </r>
  <r>
    <n v="44844"/>
    <x v="549"/>
    <x v="3"/>
    <x v="1"/>
    <x v="5"/>
    <s v="Global Leather &amp; Oak Executive Chair, Burgundy"/>
    <x v="2518"/>
    <n v="3"/>
    <n v="-54.32"/>
    <x v="9"/>
    <x v="1"/>
  </r>
  <r>
    <n v="44844"/>
    <x v="549"/>
    <x v="3"/>
    <x v="0"/>
    <x v="1"/>
    <s v="Avery 503"/>
    <x v="1541"/>
    <n v="3"/>
    <n v="14.9"/>
    <x v="9"/>
    <x v="1"/>
  </r>
  <r>
    <n v="44845"/>
    <x v="703"/>
    <x v="16"/>
    <x v="1"/>
    <x v="13"/>
    <s v="Bretford CR4500 Series Slim Rectangular Table"/>
    <x v="2519"/>
    <n v="5"/>
    <n v="-383.03"/>
    <x v="9"/>
    <x v="1"/>
  </r>
  <r>
    <n v="44845"/>
    <x v="703"/>
    <x v="16"/>
    <x v="0"/>
    <x v="2"/>
    <s v="Eldon Fold 'N Roll Cart System"/>
    <x v="1998"/>
    <n v="2"/>
    <n v="2.52"/>
    <x v="9"/>
    <x v="1"/>
  </r>
  <r>
    <n v="44845"/>
    <x v="489"/>
    <x v="20"/>
    <x v="2"/>
    <x v="9"/>
    <s v="Memorex 25GB 6X Branded Blu-Ray Recordable Disc, 30/Pack"/>
    <x v="2520"/>
    <n v="1"/>
    <n v="2.2400000000000002"/>
    <x v="9"/>
    <x v="1"/>
  </r>
  <r>
    <n v="44846"/>
    <x v="114"/>
    <x v="20"/>
    <x v="1"/>
    <x v="11"/>
    <s v="Atlantic Metals Mobile 4-Shelf Bookcases, Custom Colors"/>
    <x v="2521"/>
    <n v="4"/>
    <n v="112.39"/>
    <x v="9"/>
    <x v="1"/>
  </r>
  <r>
    <n v="44846"/>
    <x v="114"/>
    <x v="20"/>
    <x v="2"/>
    <x v="6"/>
    <s v="I Need's 3d Hello Kitty Hybrid Silicone Case Cover for HTC One X 4g with 3d Hello Kitty Stylus Pen Green/pink"/>
    <x v="2522"/>
    <n v="6"/>
    <n v="20.09"/>
    <x v="9"/>
    <x v="1"/>
  </r>
  <r>
    <n v="44846"/>
    <x v="114"/>
    <x v="20"/>
    <x v="0"/>
    <x v="0"/>
    <s v="Xerox 205"/>
    <x v="1778"/>
    <n v="8"/>
    <n v="24.88"/>
    <x v="9"/>
    <x v="1"/>
  </r>
  <r>
    <n v="44846"/>
    <x v="114"/>
    <x v="20"/>
    <x v="1"/>
    <x v="11"/>
    <s v="Atlantic Metals Mobile 3-Shelf Bookcases, Custom Colors"/>
    <x v="141"/>
    <n v="3"/>
    <n v="46.98"/>
    <x v="9"/>
    <x v="1"/>
  </r>
  <r>
    <n v="44846"/>
    <x v="114"/>
    <x v="20"/>
    <x v="0"/>
    <x v="4"/>
    <s v="4009 Highlighters by Sanford"/>
    <x v="29"/>
    <n v="5"/>
    <n v="6.57"/>
    <x v="9"/>
    <x v="1"/>
  </r>
  <r>
    <n v="44846"/>
    <x v="670"/>
    <x v="20"/>
    <x v="1"/>
    <x v="13"/>
    <s v="SAFCO PlanMaster Heigh-Adjustable Drafting Table Base, 43w x 30d x 30-37h, Black"/>
    <x v="2523"/>
    <n v="1"/>
    <n v="-13.98"/>
    <x v="9"/>
    <x v="1"/>
  </r>
  <r>
    <n v="44846"/>
    <x v="392"/>
    <x v="18"/>
    <x v="2"/>
    <x v="6"/>
    <s v="AT&amp;T 17929 Lendline Telephone"/>
    <x v="2524"/>
    <n v="3"/>
    <n v="35.29"/>
    <x v="9"/>
    <x v="1"/>
  </r>
  <r>
    <n v="44846"/>
    <x v="392"/>
    <x v="18"/>
    <x v="0"/>
    <x v="3"/>
    <s v="GBC Standard Plastic Binding Systems' Combs"/>
    <x v="2088"/>
    <n v="2"/>
    <n v="5.65"/>
    <x v="9"/>
    <x v="1"/>
  </r>
  <r>
    <n v="44846"/>
    <x v="392"/>
    <x v="18"/>
    <x v="2"/>
    <x v="6"/>
    <s v="Samsung Rugby III"/>
    <x v="592"/>
    <n v="4"/>
    <n v="71.27"/>
    <x v="9"/>
    <x v="1"/>
  </r>
  <r>
    <n v="44846"/>
    <x v="75"/>
    <x v="22"/>
    <x v="2"/>
    <x v="9"/>
    <s v="Kingston Digital DataTraveler 16GB USB 2.0"/>
    <x v="558"/>
    <n v="2"/>
    <n v="3.4"/>
    <x v="9"/>
    <x v="1"/>
  </r>
  <r>
    <n v="44846"/>
    <x v="75"/>
    <x v="22"/>
    <x v="0"/>
    <x v="2"/>
    <s v="Contico 72&quot;H Heavy-Duty Storage System"/>
    <x v="105"/>
    <n v="2"/>
    <n v="0"/>
    <x v="9"/>
    <x v="1"/>
  </r>
  <r>
    <n v="44847"/>
    <x v="192"/>
    <x v="5"/>
    <x v="2"/>
    <x v="6"/>
    <s v="I Need's 3d Hello Kitty Hybrid Silicone Case Cover for HTC One X 4g with 3d Hello Kitty Stylus Pen Green/pink"/>
    <x v="2525"/>
    <n v="7"/>
    <n v="23.44"/>
    <x v="9"/>
    <x v="1"/>
  </r>
  <r>
    <n v="44847"/>
    <x v="192"/>
    <x v="5"/>
    <x v="1"/>
    <x v="5"/>
    <s v="Global Deluxe Office Fabric Chairs"/>
    <x v="2526"/>
    <n v="3"/>
    <n v="77.739999999999995"/>
    <x v="9"/>
    <x v="1"/>
  </r>
  <r>
    <n v="44849"/>
    <x v="205"/>
    <x v="1"/>
    <x v="2"/>
    <x v="9"/>
    <s v="LogitechÂ Gaming G510s - Keyboard"/>
    <x v="811"/>
    <n v="5"/>
    <n v="67.989999999999995"/>
    <x v="9"/>
    <x v="1"/>
  </r>
  <r>
    <n v="44849"/>
    <x v="264"/>
    <x v="0"/>
    <x v="2"/>
    <x v="9"/>
    <s v="Plantronics Audio 995 Wireless Stereo Headset"/>
    <x v="2527"/>
    <n v="3"/>
    <n v="42.88"/>
    <x v="9"/>
    <x v="1"/>
  </r>
  <r>
    <n v="44849"/>
    <x v="264"/>
    <x v="0"/>
    <x v="1"/>
    <x v="5"/>
    <s v="HON 5400 Series Task Chairs for Big and Tall"/>
    <x v="2528"/>
    <n v="5"/>
    <n v="-350.49"/>
    <x v="9"/>
    <x v="1"/>
  </r>
  <r>
    <n v="44849"/>
    <x v="41"/>
    <x v="14"/>
    <x v="1"/>
    <x v="8"/>
    <s v="DAX Cubicle Frames, 8-1/2 x 11"/>
    <x v="520"/>
    <n v="2"/>
    <n v="6.17"/>
    <x v="9"/>
    <x v="1"/>
  </r>
  <r>
    <n v="44849"/>
    <x v="704"/>
    <x v="0"/>
    <x v="1"/>
    <x v="8"/>
    <s v="C-Line Cubicle Keepers Polyproplyene Holder w/Velcro Back, 8-1/2x11, 25/Bx"/>
    <x v="2529"/>
    <n v="6"/>
    <n v="-95.25"/>
    <x v="9"/>
    <x v="1"/>
  </r>
  <r>
    <n v="44849"/>
    <x v="704"/>
    <x v="0"/>
    <x v="0"/>
    <x v="0"/>
    <s v="Xerox 1986"/>
    <x v="373"/>
    <n v="1"/>
    <n v="1.87"/>
    <x v="9"/>
    <x v="1"/>
  </r>
  <r>
    <n v="44849"/>
    <x v="471"/>
    <x v="0"/>
    <x v="0"/>
    <x v="10"/>
    <s v="Staple envelope"/>
    <x v="785"/>
    <n v="1"/>
    <n v="1.67"/>
    <x v="9"/>
    <x v="1"/>
  </r>
  <r>
    <n v="44849"/>
    <x v="471"/>
    <x v="0"/>
    <x v="0"/>
    <x v="3"/>
    <s v="Avery Reinforcements for Hole-Punch Pages"/>
    <x v="2530"/>
    <n v="10"/>
    <n v="-6.93"/>
    <x v="9"/>
    <x v="1"/>
  </r>
  <r>
    <n v="44850"/>
    <x v="634"/>
    <x v="20"/>
    <x v="2"/>
    <x v="6"/>
    <s v="Mitel MiVoice 5330e IP Phone"/>
    <x v="2531"/>
    <n v="3"/>
    <n v="214.49"/>
    <x v="9"/>
    <x v="1"/>
  </r>
  <r>
    <n v="44851"/>
    <x v="693"/>
    <x v="3"/>
    <x v="0"/>
    <x v="2"/>
    <s v="Eldon Base for stackable storage shelf, platinum"/>
    <x v="2532"/>
    <n v="2"/>
    <n v="3.89"/>
    <x v="9"/>
    <x v="1"/>
  </r>
  <r>
    <n v="44852"/>
    <x v="61"/>
    <x v="0"/>
    <x v="2"/>
    <x v="9"/>
    <s v="Verbatim Slim CD and DVD Storage Cases, 50/Pack"/>
    <x v="2533"/>
    <n v="3"/>
    <n v="3.46"/>
    <x v="9"/>
    <x v="1"/>
  </r>
  <r>
    <n v="44852"/>
    <x v="61"/>
    <x v="0"/>
    <x v="0"/>
    <x v="12"/>
    <s v="Tripp Lite Isotel 6 Outlet Surge Protector with Fax/Modem Protection"/>
    <x v="2534"/>
    <n v="6"/>
    <n v="-186.57"/>
    <x v="9"/>
    <x v="1"/>
  </r>
  <r>
    <n v="44852"/>
    <x v="405"/>
    <x v="22"/>
    <x v="2"/>
    <x v="6"/>
    <s v="Motorola L703CM"/>
    <x v="2054"/>
    <n v="2"/>
    <n v="15.6"/>
    <x v="9"/>
    <x v="1"/>
  </r>
  <r>
    <n v="44852"/>
    <x v="405"/>
    <x v="22"/>
    <x v="0"/>
    <x v="0"/>
    <s v="Xerox 1903"/>
    <x v="150"/>
    <n v="3"/>
    <n v="8.7899999999999991"/>
    <x v="9"/>
    <x v="1"/>
  </r>
  <r>
    <n v="44852"/>
    <x v="405"/>
    <x v="22"/>
    <x v="1"/>
    <x v="8"/>
    <s v="Eldon 100 Class Desk Accessories"/>
    <x v="1319"/>
    <n v="3"/>
    <n v="3.24"/>
    <x v="9"/>
    <x v="1"/>
  </r>
  <r>
    <n v="44853"/>
    <x v="463"/>
    <x v="38"/>
    <x v="0"/>
    <x v="0"/>
    <s v="Southworth 100% Cotton The Best Paper"/>
    <x v="1337"/>
    <n v="3"/>
    <n v="17.22"/>
    <x v="9"/>
    <x v="1"/>
  </r>
  <r>
    <n v="44853"/>
    <x v="62"/>
    <x v="14"/>
    <x v="0"/>
    <x v="3"/>
    <s v="Avery Heavy-Duty EZD View Binder with Locking Rings"/>
    <x v="2535"/>
    <n v="6"/>
    <n v="17.61"/>
    <x v="9"/>
    <x v="1"/>
  </r>
  <r>
    <n v="44853"/>
    <x v="62"/>
    <x v="14"/>
    <x v="2"/>
    <x v="6"/>
    <s v="OtterBox Defender Series Case - Samsung Galaxy S4"/>
    <x v="33"/>
    <n v="5"/>
    <n v="44.99"/>
    <x v="9"/>
    <x v="1"/>
  </r>
  <r>
    <n v="44853"/>
    <x v="508"/>
    <x v="3"/>
    <x v="0"/>
    <x v="12"/>
    <s v="Sanyo Counter Height Refrigerator with Crisper, 3.6 Cubic Foot, Stainless Steel/Black"/>
    <x v="2536"/>
    <n v="5"/>
    <n v="459.4"/>
    <x v="9"/>
    <x v="1"/>
  </r>
  <r>
    <n v="44853"/>
    <x v="508"/>
    <x v="3"/>
    <x v="2"/>
    <x v="9"/>
    <s v="NETGEAR N750 Dual Band Wi-Fi Gigabit Router"/>
    <x v="2537"/>
    <n v="3"/>
    <n v="97.2"/>
    <x v="9"/>
    <x v="1"/>
  </r>
  <r>
    <n v="44853"/>
    <x v="178"/>
    <x v="0"/>
    <x v="0"/>
    <x v="3"/>
    <s v="Avery Printable Repositionable Plastic Tabs"/>
    <x v="2538"/>
    <n v="1"/>
    <n v="-2.84"/>
    <x v="9"/>
    <x v="1"/>
  </r>
  <r>
    <n v="44854"/>
    <x v="270"/>
    <x v="3"/>
    <x v="2"/>
    <x v="9"/>
    <s v="Logitech G602 Wireless Gaming Mouse"/>
    <x v="104"/>
    <n v="3"/>
    <n v="86.39"/>
    <x v="9"/>
    <x v="1"/>
  </r>
  <r>
    <n v="44854"/>
    <x v="270"/>
    <x v="3"/>
    <x v="1"/>
    <x v="8"/>
    <s v="Acrylic Self-Standing Desk Frames"/>
    <x v="2539"/>
    <n v="6"/>
    <n v="6.09"/>
    <x v="9"/>
    <x v="1"/>
  </r>
  <r>
    <n v="44854"/>
    <x v="282"/>
    <x v="20"/>
    <x v="0"/>
    <x v="0"/>
    <s v="Easy-staple paper"/>
    <x v="396"/>
    <n v="2"/>
    <n v="11.54"/>
    <x v="9"/>
    <x v="1"/>
  </r>
  <r>
    <n v="44854"/>
    <x v="149"/>
    <x v="3"/>
    <x v="1"/>
    <x v="8"/>
    <s v="Nu-Dell Oak Frame"/>
    <x v="2540"/>
    <n v="7"/>
    <n v="23.92"/>
    <x v="9"/>
    <x v="1"/>
  </r>
  <r>
    <n v="44854"/>
    <x v="149"/>
    <x v="3"/>
    <x v="1"/>
    <x v="13"/>
    <s v="SAFCO PlanMaster Boards, 60w x 37-1/2d, White Melamine"/>
    <x v="2541"/>
    <n v="3"/>
    <n v="27.36"/>
    <x v="9"/>
    <x v="1"/>
  </r>
  <r>
    <n v="44856"/>
    <x v="235"/>
    <x v="1"/>
    <x v="0"/>
    <x v="3"/>
    <s v="GBC Instant Report Kit"/>
    <x v="193"/>
    <n v="4"/>
    <n v="-7.76"/>
    <x v="9"/>
    <x v="1"/>
  </r>
  <r>
    <n v="44856"/>
    <x v="344"/>
    <x v="16"/>
    <x v="0"/>
    <x v="2"/>
    <s v="Eldon Simplefile Box Office"/>
    <x v="2542"/>
    <n v="1"/>
    <n v="1"/>
    <x v="9"/>
    <x v="1"/>
  </r>
  <r>
    <n v="44857"/>
    <x v="705"/>
    <x v="3"/>
    <x v="2"/>
    <x v="9"/>
    <s v="Maxell DVD-RAM Discs"/>
    <x v="2543"/>
    <n v="9"/>
    <n v="63.78"/>
    <x v="9"/>
    <x v="1"/>
  </r>
  <r>
    <n v="44857"/>
    <x v="705"/>
    <x v="3"/>
    <x v="1"/>
    <x v="5"/>
    <s v="Global Leather and Oak Executive Chair, Black"/>
    <x v="2544"/>
    <n v="1"/>
    <n v="27.09"/>
    <x v="9"/>
    <x v="1"/>
  </r>
  <r>
    <n v="44857"/>
    <x v="705"/>
    <x v="3"/>
    <x v="1"/>
    <x v="5"/>
    <s v="Global Chrome Stack Chair"/>
    <x v="1961"/>
    <n v="7"/>
    <n v="16.8"/>
    <x v="9"/>
    <x v="1"/>
  </r>
  <r>
    <n v="44857"/>
    <x v="705"/>
    <x v="3"/>
    <x v="0"/>
    <x v="0"/>
    <s v="Xerox 196"/>
    <x v="825"/>
    <n v="2"/>
    <n v="5.66"/>
    <x v="9"/>
    <x v="1"/>
  </r>
  <r>
    <n v="44857"/>
    <x v="705"/>
    <x v="3"/>
    <x v="0"/>
    <x v="10"/>
    <s v="Redi-Strip #10 Envelopes, 4 1/8 x 9 1/2"/>
    <x v="2545"/>
    <n v="4"/>
    <n v="5.66"/>
    <x v="9"/>
    <x v="1"/>
  </r>
  <r>
    <n v="44857"/>
    <x v="705"/>
    <x v="3"/>
    <x v="1"/>
    <x v="5"/>
    <s v="Office Star - Professional Matrix Back Chair with 2-to-1 Synchro Tilt and Mesh Fabric Seat"/>
    <x v="2546"/>
    <n v="3"/>
    <n v="42.12"/>
    <x v="9"/>
    <x v="1"/>
  </r>
  <r>
    <n v="44857"/>
    <x v="565"/>
    <x v="16"/>
    <x v="2"/>
    <x v="6"/>
    <s v="Mediabridge Sport Armband iPhone 5s"/>
    <x v="2547"/>
    <n v="7"/>
    <n v="-13.29"/>
    <x v="9"/>
    <x v="1"/>
  </r>
  <r>
    <n v="44857"/>
    <x v="565"/>
    <x v="16"/>
    <x v="0"/>
    <x v="4"/>
    <s v="Sanford Liquid Accent Highlighters"/>
    <x v="1048"/>
    <n v="2"/>
    <n v="2.27"/>
    <x v="9"/>
    <x v="1"/>
  </r>
  <r>
    <n v="44857"/>
    <x v="565"/>
    <x v="16"/>
    <x v="2"/>
    <x v="6"/>
    <s v="SKILCRAFT Telephone Shoulder Rest, 2&quot; x 6.5&quot; x 2.5&quot;, Black"/>
    <x v="2548"/>
    <n v="2"/>
    <n v="1.03"/>
    <x v="9"/>
    <x v="1"/>
  </r>
  <r>
    <n v="44857"/>
    <x v="597"/>
    <x v="22"/>
    <x v="0"/>
    <x v="3"/>
    <s v="Avery Non-Stick Binders"/>
    <x v="2549"/>
    <n v="1"/>
    <n v="1.1200000000000001"/>
    <x v="9"/>
    <x v="1"/>
  </r>
  <r>
    <n v="44857"/>
    <x v="364"/>
    <x v="0"/>
    <x v="0"/>
    <x v="0"/>
    <s v="Xerox 212"/>
    <x v="1308"/>
    <n v="7"/>
    <n v="12.7"/>
    <x v="9"/>
    <x v="1"/>
  </r>
  <r>
    <n v="44857"/>
    <x v="364"/>
    <x v="0"/>
    <x v="2"/>
    <x v="6"/>
    <s v="Jabra SPEAK 410"/>
    <x v="2550"/>
    <n v="2"/>
    <n v="15.04"/>
    <x v="9"/>
    <x v="1"/>
  </r>
  <r>
    <n v="44857"/>
    <x v="96"/>
    <x v="0"/>
    <x v="0"/>
    <x v="0"/>
    <s v="TOPS 4 x 6 Fluorescent Color Memo Sheets, 500 Sheets per Pack"/>
    <x v="2311"/>
    <n v="8"/>
    <n v="20.5"/>
    <x v="9"/>
    <x v="1"/>
  </r>
  <r>
    <n v="44857"/>
    <x v="96"/>
    <x v="0"/>
    <x v="2"/>
    <x v="16"/>
    <s v="Canon PC-428 Personal Copier"/>
    <x v="386"/>
    <n v="3"/>
    <n v="161.99"/>
    <x v="9"/>
    <x v="1"/>
  </r>
  <r>
    <n v="44857"/>
    <x v="96"/>
    <x v="0"/>
    <x v="0"/>
    <x v="3"/>
    <s v="Ibico Plastic Spiral Binding Combs"/>
    <x v="603"/>
    <n v="1"/>
    <n v="-10.34"/>
    <x v="9"/>
    <x v="1"/>
  </r>
  <r>
    <n v="44858"/>
    <x v="597"/>
    <x v="0"/>
    <x v="0"/>
    <x v="0"/>
    <s v="Xerox 1999"/>
    <x v="143"/>
    <n v="3"/>
    <n v="5.44"/>
    <x v="9"/>
    <x v="1"/>
  </r>
  <r>
    <n v="44858"/>
    <x v="597"/>
    <x v="0"/>
    <x v="1"/>
    <x v="13"/>
    <s v="KI Conference Tables"/>
    <x v="2551"/>
    <n v="7"/>
    <n v="-69.47"/>
    <x v="9"/>
    <x v="1"/>
  </r>
  <r>
    <n v="44858"/>
    <x v="597"/>
    <x v="0"/>
    <x v="0"/>
    <x v="0"/>
    <s v="Xerox 2"/>
    <x v="320"/>
    <n v="2"/>
    <n v="3.63"/>
    <x v="9"/>
    <x v="1"/>
  </r>
  <r>
    <n v="44858"/>
    <x v="428"/>
    <x v="0"/>
    <x v="0"/>
    <x v="3"/>
    <s v="Avery Non-Stick Binders"/>
    <x v="2549"/>
    <n v="4"/>
    <n v="-6.29"/>
    <x v="9"/>
    <x v="1"/>
  </r>
  <r>
    <n v="44858"/>
    <x v="629"/>
    <x v="3"/>
    <x v="1"/>
    <x v="5"/>
    <s v="Novimex High-Tech Fabric Mesh Task Chair"/>
    <x v="2552"/>
    <n v="8"/>
    <n v="-73.819999999999993"/>
    <x v="9"/>
    <x v="1"/>
  </r>
  <r>
    <n v="44859"/>
    <x v="335"/>
    <x v="3"/>
    <x v="0"/>
    <x v="4"/>
    <s v="Boston 19500 Mighty Mite Electric Pencil Sharpener"/>
    <x v="2553"/>
    <n v="3"/>
    <n v="16.32"/>
    <x v="9"/>
    <x v="1"/>
  </r>
  <r>
    <n v="44859"/>
    <x v="335"/>
    <x v="3"/>
    <x v="1"/>
    <x v="13"/>
    <s v="Balt Solid Wood Rectangular Table"/>
    <x v="2554"/>
    <n v="3"/>
    <n v="-31.65"/>
    <x v="9"/>
    <x v="1"/>
  </r>
  <r>
    <n v="44859"/>
    <x v="252"/>
    <x v="7"/>
    <x v="2"/>
    <x v="6"/>
    <s v="ClearOne Communications CHAT 70 OCÂ Speaker Phone"/>
    <x v="2555"/>
    <n v="1"/>
    <n v="41.34"/>
    <x v="9"/>
    <x v="1"/>
  </r>
  <r>
    <n v="44859"/>
    <x v="252"/>
    <x v="7"/>
    <x v="1"/>
    <x v="5"/>
    <s v="Iceberg Nesting Folding Chair, 19w x 6d x 43h"/>
    <x v="2556"/>
    <n v="5"/>
    <n v="75.69"/>
    <x v="9"/>
    <x v="1"/>
  </r>
  <r>
    <n v="44859"/>
    <x v="259"/>
    <x v="17"/>
    <x v="0"/>
    <x v="4"/>
    <s v="Newell 319"/>
    <x v="284"/>
    <n v="4"/>
    <n v="23.81"/>
    <x v="9"/>
    <x v="1"/>
  </r>
  <r>
    <n v="44859"/>
    <x v="486"/>
    <x v="26"/>
    <x v="1"/>
    <x v="5"/>
    <s v="Global Highback Leather Tilter in Burgundy"/>
    <x v="2557"/>
    <n v="8"/>
    <n v="-29.12"/>
    <x v="9"/>
    <x v="1"/>
  </r>
  <r>
    <n v="44860"/>
    <x v="706"/>
    <x v="3"/>
    <x v="0"/>
    <x v="1"/>
    <s v="Avery 507"/>
    <x v="1235"/>
    <n v="2"/>
    <n v="2.65"/>
    <x v="9"/>
    <x v="1"/>
  </r>
  <r>
    <n v="44860"/>
    <x v="597"/>
    <x v="12"/>
    <x v="2"/>
    <x v="6"/>
    <s v="Panasonic KX-TG6844B Expandable Digital Cordless Telephone"/>
    <x v="325"/>
    <n v="2"/>
    <n v="9.24"/>
    <x v="9"/>
    <x v="1"/>
  </r>
  <r>
    <n v="44860"/>
    <x v="597"/>
    <x v="12"/>
    <x v="2"/>
    <x v="6"/>
    <s v="Plantronics MX500i Earset"/>
    <x v="2558"/>
    <n v="2"/>
    <n v="-14.6"/>
    <x v="9"/>
    <x v="1"/>
  </r>
  <r>
    <n v="44860"/>
    <x v="94"/>
    <x v="11"/>
    <x v="0"/>
    <x v="1"/>
    <s v="Avery 477"/>
    <x v="2559"/>
    <n v="6"/>
    <n v="47.63"/>
    <x v="9"/>
    <x v="1"/>
  </r>
  <r>
    <n v="44860"/>
    <x v="94"/>
    <x v="11"/>
    <x v="0"/>
    <x v="0"/>
    <s v="Xerox 1914"/>
    <x v="180"/>
    <n v="3"/>
    <n v="47.82"/>
    <x v="9"/>
    <x v="1"/>
  </r>
  <r>
    <n v="44860"/>
    <x v="94"/>
    <x v="11"/>
    <x v="0"/>
    <x v="12"/>
    <s v="Tripp Lite TLP810NET Broadband Surge for Modem/Fax"/>
    <x v="2560"/>
    <n v="5"/>
    <n v="20.39"/>
    <x v="9"/>
    <x v="1"/>
  </r>
  <r>
    <n v="44860"/>
    <x v="94"/>
    <x v="11"/>
    <x v="0"/>
    <x v="3"/>
    <s v="Avery Self-Adhesive Photo Pockets for Polaroid Photos"/>
    <x v="636"/>
    <n v="7"/>
    <n v="-10.49"/>
    <x v="9"/>
    <x v="1"/>
  </r>
  <r>
    <n v="44860"/>
    <x v="94"/>
    <x v="11"/>
    <x v="0"/>
    <x v="2"/>
    <s v="Fellowes Officeware Wire Shelving"/>
    <x v="2561"/>
    <n v="10"/>
    <n v="-161.69"/>
    <x v="9"/>
    <x v="1"/>
  </r>
  <r>
    <n v="44862"/>
    <x v="122"/>
    <x v="5"/>
    <x v="0"/>
    <x v="10"/>
    <s v="Laser &amp; Ink Jet Business Envelopes"/>
    <x v="2562"/>
    <n v="1"/>
    <n v="4.91"/>
    <x v="9"/>
    <x v="1"/>
  </r>
  <r>
    <n v="44862"/>
    <x v="122"/>
    <x v="5"/>
    <x v="0"/>
    <x v="2"/>
    <s v="Portable Personal File Box"/>
    <x v="1263"/>
    <n v="3"/>
    <n v="9.89"/>
    <x v="9"/>
    <x v="1"/>
  </r>
  <r>
    <n v="44862"/>
    <x v="122"/>
    <x v="5"/>
    <x v="1"/>
    <x v="8"/>
    <s v="Magna Visual Magnetic Picture Hangers"/>
    <x v="2563"/>
    <n v="5"/>
    <n v="9.16"/>
    <x v="9"/>
    <x v="1"/>
  </r>
  <r>
    <n v="44862"/>
    <x v="122"/>
    <x v="5"/>
    <x v="1"/>
    <x v="8"/>
    <s v="C-Line Cubicle Keepers Polyproplyene Holder With Velcro Backings"/>
    <x v="303"/>
    <n v="7"/>
    <n v="12.91"/>
    <x v="9"/>
    <x v="1"/>
  </r>
  <r>
    <n v="44863"/>
    <x v="555"/>
    <x v="3"/>
    <x v="0"/>
    <x v="0"/>
    <s v="Xerox 1898"/>
    <x v="1803"/>
    <n v="5"/>
    <n v="16.03"/>
    <x v="9"/>
    <x v="1"/>
  </r>
  <r>
    <n v="44863"/>
    <x v="555"/>
    <x v="3"/>
    <x v="0"/>
    <x v="10"/>
    <s v="Strathmore #10 Envelopes, Ultimate White"/>
    <x v="2564"/>
    <n v="4"/>
    <n v="103.31"/>
    <x v="9"/>
    <x v="1"/>
  </r>
  <r>
    <n v="44864"/>
    <x v="662"/>
    <x v="14"/>
    <x v="2"/>
    <x v="6"/>
    <s v="Panasonic KX T7736-B Digital phone"/>
    <x v="2565"/>
    <n v="2"/>
    <n v="74.98"/>
    <x v="9"/>
    <x v="1"/>
  </r>
  <r>
    <n v="44864"/>
    <x v="410"/>
    <x v="26"/>
    <x v="2"/>
    <x v="15"/>
    <s v="Lexmark S315 Color Inkjet Printer"/>
    <x v="2566"/>
    <n v="2"/>
    <n v="-46"/>
    <x v="9"/>
    <x v="1"/>
  </r>
  <r>
    <n v="44864"/>
    <x v="410"/>
    <x v="26"/>
    <x v="2"/>
    <x v="16"/>
    <s v="Sharp 1540cs Digital Laser Copier"/>
    <x v="2567"/>
    <n v="1"/>
    <n v="165"/>
    <x v="9"/>
    <x v="1"/>
  </r>
  <r>
    <n v="44864"/>
    <x v="410"/>
    <x v="26"/>
    <x v="2"/>
    <x v="6"/>
    <s v="OtterBox Commuter Series Case - iPhone 5 &amp; 5s"/>
    <x v="1507"/>
    <n v="5"/>
    <n v="30.79"/>
    <x v="9"/>
    <x v="1"/>
  </r>
  <r>
    <n v="44864"/>
    <x v="410"/>
    <x v="26"/>
    <x v="1"/>
    <x v="8"/>
    <s v="Eldon Regeneration Recycled Desk Accessories, Black"/>
    <x v="2568"/>
    <n v="4"/>
    <n v="3.68"/>
    <x v="9"/>
    <x v="1"/>
  </r>
  <r>
    <n v="44864"/>
    <x v="426"/>
    <x v="6"/>
    <x v="0"/>
    <x v="12"/>
    <s v="Tripp Lite Isotel 6 Outlet Surge Protector with Fax/Modem Protection"/>
    <x v="2569"/>
    <n v="3"/>
    <n v="53.04"/>
    <x v="9"/>
    <x v="1"/>
  </r>
  <r>
    <n v="44864"/>
    <x v="45"/>
    <x v="20"/>
    <x v="2"/>
    <x v="15"/>
    <s v="Star Micronics TSP100 TSP143LAN Receipt Printer"/>
    <x v="2570"/>
    <n v="4"/>
    <n v="269.31"/>
    <x v="9"/>
    <x v="1"/>
  </r>
  <r>
    <n v="44865"/>
    <x v="126"/>
    <x v="3"/>
    <x v="0"/>
    <x v="10"/>
    <s v="Poly String Tie Envelopes"/>
    <x v="2571"/>
    <n v="7"/>
    <n v="6.71"/>
    <x v="9"/>
    <x v="1"/>
  </r>
  <r>
    <n v="44865"/>
    <x v="187"/>
    <x v="14"/>
    <x v="0"/>
    <x v="14"/>
    <s v="Acme 10&quot; Easy Grip Assistive Scissors"/>
    <x v="2572"/>
    <n v="4"/>
    <n v="21.04"/>
    <x v="9"/>
    <x v="1"/>
  </r>
  <r>
    <n v="44865"/>
    <x v="73"/>
    <x v="20"/>
    <x v="0"/>
    <x v="4"/>
    <s v="Design Ebony Sketching Pencil"/>
    <x v="2573"/>
    <n v="2"/>
    <n v="0.72"/>
    <x v="9"/>
    <x v="1"/>
  </r>
  <r>
    <n v="44865"/>
    <x v="73"/>
    <x v="20"/>
    <x v="0"/>
    <x v="10"/>
    <s v="Blue String-Tie &amp; Button Interoffice Envelopes, 10 x 13"/>
    <x v="1813"/>
    <n v="2"/>
    <n v="35.979999999999997"/>
    <x v="9"/>
    <x v="1"/>
  </r>
  <r>
    <n v="44865"/>
    <x v="105"/>
    <x v="3"/>
    <x v="0"/>
    <x v="3"/>
    <s v="Prestige Round Ring Binders"/>
    <x v="2574"/>
    <n v="2"/>
    <n v="3.28"/>
    <x v="9"/>
    <x v="1"/>
  </r>
  <r>
    <n v="44865"/>
    <x v="105"/>
    <x v="3"/>
    <x v="0"/>
    <x v="10"/>
    <s v="Redi-Strip #10 Envelopes, 4 1/8 x 9 1/2"/>
    <x v="2575"/>
    <n v="5"/>
    <n v="7.08"/>
    <x v="9"/>
    <x v="1"/>
  </r>
  <r>
    <n v="44865"/>
    <x v="105"/>
    <x v="3"/>
    <x v="0"/>
    <x v="3"/>
    <s v="Acco Four Pocket Poly Ring Binder with Label Holder, Smoke, 1&quot;"/>
    <x v="2576"/>
    <n v="5"/>
    <n v="9.31"/>
    <x v="9"/>
    <x v="1"/>
  </r>
  <r>
    <n v="44865"/>
    <x v="105"/>
    <x v="3"/>
    <x v="0"/>
    <x v="1"/>
    <s v="Avery 4027 File Folder Labels for Dot Matrix Printers, 5000 Labels per Box, White"/>
    <x v="2577"/>
    <n v="14"/>
    <n v="196.61"/>
    <x v="9"/>
    <x v="1"/>
  </r>
  <r>
    <n v="44865"/>
    <x v="707"/>
    <x v="3"/>
    <x v="0"/>
    <x v="0"/>
    <s v="Xerox 191"/>
    <x v="381"/>
    <n v="1"/>
    <n v="9.39"/>
    <x v="9"/>
    <x v="1"/>
  </r>
  <r>
    <n v="44865"/>
    <x v="707"/>
    <x v="3"/>
    <x v="0"/>
    <x v="3"/>
    <s v="GBC DocuBind P100 Manual Binding Machine"/>
    <x v="433"/>
    <n v="3"/>
    <n v="124.49"/>
    <x v="9"/>
    <x v="1"/>
  </r>
  <r>
    <n v="44865"/>
    <x v="707"/>
    <x v="3"/>
    <x v="0"/>
    <x v="4"/>
    <s v="Newell 308"/>
    <x v="466"/>
    <n v="3"/>
    <n v="1.26"/>
    <x v="9"/>
    <x v="1"/>
  </r>
  <r>
    <n v="44865"/>
    <x v="707"/>
    <x v="3"/>
    <x v="0"/>
    <x v="7"/>
    <s v="OIC Bulk Pack Metal Binder Clips"/>
    <x v="2578"/>
    <n v="5"/>
    <n v="8.0299999999999994"/>
    <x v="9"/>
    <x v="1"/>
  </r>
  <r>
    <n v="44865"/>
    <x v="707"/>
    <x v="3"/>
    <x v="1"/>
    <x v="5"/>
    <s v="Global Fabric Manager's Chair, Dark Gray"/>
    <x v="2579"/>
    <n v="4"/>
    <n v="20.2"/>
    <x v="9"/>
    <x v="1"/>
  </r>
  <r>
    <n v="44865"/>
    <x v="707"/>
    <x v="3"/>
    <x v="0"/>
    <x v="14"/>
    <s v="Acme Tagit Stainless Steel Antibacterial Scissors"/>
    <x v="58"/>
    <n v="3"/>
    <n v="8.02"/>
    <x v="9"/>
    <x v="1"/>
  </r>
  <r>
    <n v="44865"/>
    <x v="707"/>
    <x v="3"/>
    <x v="2"/>
    <x v="6"/>
    <s v="Polycom SoundStation2 EX ConferenceÂ phone"/>
    <x v="2580"/>
    <n v="4"/>
    <n v="145.78"/>
    <x v="9"/>
    <x v="1"/>
  </r>
  <r>
    <n v="44865"/>
    <x v="707"/>
    <x v="3"/>
    <x v="0"/>
    <x v="2"/>
    <s v="Mobile Personal File Cube"/>
    <x v="2581"/>
    <n v="2"/>
    <n v="12.65"/>
    <x v="9"/>
    <x v="1"/>
  </r>
  <r>
    <n v="44865"/>
    <x v="707"/>
    <x v="3"/>
    <x v="1"/>
    <x v="11"/>
    <s v="DMI Eclipse Executive Suite Bookcases"/>
    <x v="2582"/>
    <n v="1"/>
    <n v="20.04"/>
    <x v="9"/>
    <x v="1"/>
  </r>
  <r>
    <n v="44866"/>
    <x v="139"/>
    <x v="2"/>
    <x v="2"/>
    <x v="9"/>
    <s v="SanDisk Ultra 32 GB MicroSDHC Class 10 Memory Card"/>
    <x v="2583"/>
    <n v="2"/>
    <n v="-3.09"/>
    <x v="10"/>
    <x v="1"/>
  </r>
  <r>
    <n v="44866"/>
    <x v="139"/>
    <x v="2"/>
    <x v="0"/>
    <x v="7"/>
    <s v="Brites Rubber Bands, 1 1/2 oz. Box"/>
    <x v="599"/>
    <n v="2"/>
    <n v="-0.71"/>
    <x v="10"/>
    <x v="1"/>
  </r>
  <r>
    <n v="44866"/>
    <x v="87"/>
    <x v="20"/>
    <x v="2"/>
    <x v="6"/>
    <s v="Cush Cases Heavy Duty Rugged Cover Case for Samsung Galaxy S5 - Purple"/>
    <x v="2584"/>
    <n v="1"/>
    <n v="1.34"/>
    <x v="10"/>
    <x v="1"/>
  </r>
  <r>
    <n v="44866"/>
    <x v="329"/>
    <x v="20"/>
    <x v="0"/>
    <x v="0"/>
    <s v="Avoid Verbal Orders Carbonless Minifold Book"/>
    <x v="2585"/>
    <n v="4"/>
    <n v="6.22"/>
    <x v="10"/>
    <x v="1"/>
  </r>
  <r>
    <n v="44866"/>
    <x v="329"/>
    <x v="20"/>
    <x v="1"/>
    <x v="8"/>
    <s v="Howard Miller 11-1/2&quot; Diameter Ridgewood Wall Clock"/>
    <x v="2586"/>
    <n v="5"/>
    <n v="106.48"/>
    <x v="10"/>
    <x v="1"/>
  </r>
  <r>
    <n v="44866"/>
    <x v="329"/>
    <x v="20"/>
    <x v="2"/>
    <x v="6"/>
    <s v="Plantronics MX500i Earset"/>
    <x v="2587"/>
    <n v="1"/>
    <n v="1.29"/>
    <x v="10"/>
    <x v="1"/>
  </r>
  <r>
    <n v="44866"/>
    <x v="329"/>
    <x v="20"/>
    <x v="2"/>
    <x v="9"/>
    <s v="Razer Tiamat Over Ear 7.1 Surround Sound PC Gaming Headset"/>
    <x v="2588"/>
    <n v="7"/>
    <n v="601.97"/>
    <x v="10"/>
    <x v="1"/>
  </r>
  <r>
    <n v="44866"/>
    <x v="329"/>
    <x v="20"/>
    <x v="2"/>
    <x v="6"/>
    <s v="Xblue XB-1670-86 X16 SmallÂ Office TelephoneÂ - Titanium"/>
    <x v="1353"/>
    <n v="4"/>
    <n v="125.99"/>
    <x v="10"/>
    <x v="1"/>
  </r>
  <r>
    <n v="44866"/>
    <x v="41"/>
    <x v="11"/>
    <x v="0"/>
    <x v="4"/>
    <s v="Lumber Crayons"/>
    <x v="2291"/>
    <n v="1"/>
    <n v="1.77"/>
    <x v="10"/>
    <x v="1"/>
  </r>
  <r>
    <n v="44866"/>
    <x v="493"/>
    <x v="13"/>
    <x v="1"/>
    <x v="13"/>
    <s v="Iceberg OfficeWorks 42&quot; Round Tables"/>
    <x v="2143"/>
    <n v="2"/>
    <n v="45.29"/>
    <x v="10"/>
    <x v="1"/>
  </r>
  <r>
    <n v="44866"/>
    <x v="645"/>
    <x v="20"/>
    <x v="1"/>
    <x v="5"/>
    <s v="Global Highback Leather Tilter in Burgundy"/>
    <x v="2589"/>
    <n v="4"/>
    <n v="21.84"/>
    <x v="10"/>
    <x v="1"/>
  </r>
  <r>
    <n v="44866"/>
    <x v="467"/>
    <x v="20"/>
    <x v="1"/>
    <x v="5"/>
    <s v="Hon Comfortask Task/Swivel Chairs"/>
    <x v="2590"/>
    <n v="2"/>
    <n v="13.68"/>
    <x v="10"/>
    <x v="1"/>
  </r>
  <r>
    <n v="44867"/>
    <x v="117"/>
    <x v="3"/>
    <x v="1"/>
    <x v="13"/>
    <s v="Bevis Round Bullnose 29&quot; High Table Top"/>
    <x v="2591"/>
    <n v="5"/>
    <n v="51.94"/>
    <x v="10"/>
    <x v="1"/>
  </r>
  <r>
    <n v="44867"/>
    <x v="708"/>
    <x v="22"/>
    <x v="2"/>
    <x v="9"/>
    <s v="Logitech K350 2.4Ghz Wireless Keyboard"/>
    <x v="2592"/>
    <n v="9"/>
    <n v="49.27"/>
    <x v="10"/>
    <x v="1"/>
  </r>
  <r>
    <n v="44867"/>
    <x v="308"/>
    <x v="20"/>
    <x v="1"/>
    <x v="5"/>
    <s v="Global Armless Task Chair, Royal Blue"/>
    <x v="2593"/>
    <n v="2"/>
    <n v="8.5399999999999991"/>
    <x v="10"/>
    <x v="1"/>
  </r>
  <r>
    <n v="44867"/>
    <x v="235"/>
    <x v="3"/>
    <x v="1"/>
    <x v="8"/>
    <s v="Contemporary Wood/Metal Frame"/>
    <x v="2594"/>
    <n v="6"/>
    <n v="33.94"/>
    <x v="10"/>
    <x v="1"/>
  </r>
  <r>
    <n v="44867"/>
    <x v="235"/>
    <x v="3"/>
    <x v="0"/>
    <x v="3"/>
    <s v="GBC Premium Transparent Covers with Diagonal Lined Pattern"/>
    <x v="2595"/>
    <n v="7"/>
    <n v="41.12"/>
    <x v="10"/>
    <x v="1"/>
  </r>
  <r>
    <n v="44867"/>
    <x v="235"/>
    <x v="3"/>
    <x v="0"/>
    <x v="3"/>
    <s v="Cardinal Holdit Business Card Pockets"/>
    <x v="1177"/>
    <n v="3"/>
    <n v="4.18"/>
    <x v="10"/>
    <x v="1"/>
  </r>
  <r>
    <n v="44867"/>
    <x v="235"/>
    <x v="3"/>
    <x v="1"/>
    <x v="11"/>
    <s v="O'Sullivan Living Dimensions 3-Shelf Bookcases"/>
    <x v="2596"/>
    <n v="3"/>
    <n v="-30.15"/>
    <x v="10"/>
    <x v="1"/>
  </r>
  <r>
    <n v="44867"/>
    <x v="341"/>
    <x v="20"/>
    <x v="1"/>
    <x v="5"/>
    <s v="Hon Olson Stacker Chairs"/>
    <x v="2597"/>
    <n v="11"/>
    <n v="553.39"/>
    <x v="10"/>
    <x v="1"/>
  </r>
  <r>
    <n v="44867"/>
    <x v="323"/>
    <x v="0"/>
    <x v="0"/>
    <x v="3"/>
    <s v="GBC Premium Transparent Covers with Diagonal Lined Pattern"/>
    <x v="2598"/>
    <n v="7"/>
    <n v="-47"/>
    <x v="10"/>
    <x v="1"/>
  </r>
  <r>
    <n v="44867"/>
    <x v="323"/>
    <x v="0"/>
    <x v="2"/>
    <x v="6"/>
    <s v="Aastra 6757i CT Wireless VoIP phone"/>
    <x v="2599"/>
    <n v="2"/>
    <n v="38.78"/>
    <x v="10"/>
    <x v="1"/>
  </r>
  <r>
    <n v="44867"/>
    <x v="709"/>
    <x v="6"/>
    <x v="0"/>
    <x v="12"/>
    <s v="Eureka Hand Vacuum, Bagless"/>
    <x v="2600"/>
    <n v="4"/>
    <n v="55.36"/>
    <x v="10"/>
    <x v="1"/>
  </r>
  <r>
    <n v="44868"/>
    <x v="619"/>
    <x v="3"/>
    <x v="2"/>
    <x v="6"/>
    <s v="Cisco IP Phone 7961G-GE VoIP phone"/>
    <x v="2601"/>
    <n v="7"/>
    <n v="106.12"/>
    <x v="10"/>
    <x v="1"/>
  </r>
  <r>
    <n v="44868"/>
    <x v="619"/>
    <x v="3"/>
    <x v="2"/>
    <x v="9"/>
    <s v="Logitech Trackman Marble Mouse"/>
    <x v="1236"/>
    <n v="3"/>
    <n v="37.79"/>
    <x v="10"/>
    <x v="1"/>
  </r>
  <r>
    <n v="44868"/>
    <x v="619"/>
    <x v="3"/>
    <x v="1"/>
    <x v="8"/>
    <s v="Coloredge Poster Frame"/>
    <x v="2602"/>
    <n v="3"/>
    <n v="16.61"/>
    <x v="10"/>
    <x v="1"/>
  </r>
  <r>
    <n v="44868"/>
    <x v="10"/>
    <x v="0"/>
    <x v="0"/>
    <x v="10"/>
    <s v="#10 Gummed Flap White Envelopes, 100/Box"/>
    <x v="2228"/>
    <n v="2"/>
    <n v="2.15"/>
    <x v="10"/>
    <x v="1"/>
  </r>
  <r>
    <n v="44868"/>
    <x v="470"/>
    <x v="20"/>
    <x v="1"/>
    <x v="5"/>
    <s v="Office Star - Mid Back Dual function Ergonomic High Back Chair with 2-Way Adjustable Arms"/>
    <x v="2603"/>
    <n v="10"/>
    <n v="209.27"/>
    <x v="10"/>
    <x v="1"/>
  </r>
  <r>
    <n v="44870"/>
    <x v="169"/>
    <x v="25"/>
    <x v="1"/>
    <x v="5"/>
    <s v="Harbour Creations Steel Folding Chair"/>
    <x v="2604"/>
    <n v="3"/>
    <n v="25.88"/>
    <x v="10"/>
    <x v="1"/>
  </r>
  <r>
    <n v="44870"/>
    <x v="329"/>
    <x v="16"/>
    <x v="0"/>
    <x v="12"/>
    <s v="Belkin 325VA UPS Surge Protector, 6'"/>
    <x v="2605"/>
    <n v="4"/>
    <n v="24.2"/>
    <x v="10"/>
    <x v="1"/>
  </r>
  <r>
    <n v="44870"/>
    <x v="241"/>
    <x v="20"/>
    <x v="0"/>
    <x v="3"/>
    <s v="Wilson Jones 1&quot; Hanging DublLock Ring Binders"/>
    <x v="2156"/>
    <n v="6"/>
    <n v="8.8699999999999992"/>
    <x v="10"/>
    <x v="1"/>
  </r>
  <r>
    <n v="44870"/>
    <x v="534"/>
    <x v="1"/>
    <x v="0"/>
    <x v="1"/>
    <s v="Avery 476"/>
    <x v="2606"/>
    <n v="6"/>
    <n v="6.44"/>
    <x v="10"/>
    <x v="1"/>
  </r>
  <r>
    <n v="44870"/>
    <x v="176"/>
    <x v="3"/>
    <x v="0"/>
    <x v="2"/>
    <s v="Hanging Personal Folder File"/>
    <x v="2607"/>
    <n v="4"/>
    <n v="15.7"/>
    <x v="10"/>
    <x v="1"/>
  </r>
  <r>
    <n v="44870"/>
    <x v="318"/>
    <x v="22"/>
    <x v="0"/>
    <x v="3"/>
    <s v="Avery Trapezoid Ring Binder, 3&quot; Capacity, Black, 1040 sheets"/>
    <x v="1159"/>
    <n v="3"/>
    <n v="35.65"/>
    <x v="10"/>
    <x v="1"/>
  </r>
  <r>
    <n v="44870"/>
    <x v="710"/>
    <x v="10"/>
    <x v="0"/>
    <x v="3"/>
    <s v="Insertable Tab Post Binder Dividers"/>
    <x v="178"/>
    <n v="3"/>
    <n v="-5.53"/>
    <x v="10"/>
    <x v="1"/>
  </r>
  <r>
    <n v="44870"/>
    <x v="710"/>
    <x v="10"/>
    <x v="0"/>
    <x v="14"/>
    <s v="Acme Titanium Bonded Scissors"/>
    <x v="2608"/>
    <n v="4"/>
    <n v="2.04"/>
    <x v="10"/>
    <x v="1"/>
  </r>
  <r>
    <n v="44871"/>
    <x v="711"/>
    <x v="12"/>
    <x v="0"/>
    <x v="10"/>
    <s v="Redi-Strip #10 Envelopes, 4 1/8 x 9 1/2"/>
    <x v="1334"/>
    <n v="3"/>
    <n v="2.48"/>
    <x v="10"/>
    <x v="1"/>
  </r>
  <r>
    <n v="44871"/>
    <x v="711"/>
    <x v="12"/>
    <x v="0"/>
    <x v="3"/>
    <s v="UniKeep View Case Binders"/>
    <x v="2609"/>
    <n v="3"/>
    <n v="-3.52"/>
    <x v="10"/>
    <x v="1"/>
  </r>
  <r>
    <n v="44872"/>
    <x v="119"/>
    <x v="3"/>
    <x v="1"/>
    <x v="5"/>
    <s v="Safco Contoured Stacking Chairs"/>
    <x v="2610"/>
    <n v="1"/>
    <n v="11.92"/>
    <x v="10"/>
    <x v="1"/>
  </r>
  <r>
    <n v="44872"/>
    <x v="411"/>
    <x v="7"/>
    <x v="0"/>
    <x v="7"/>
    <s v="Rubber Band Ball"/>
    <x v="2611"/>
    <n v="7"/>
    <n v="0.52"/>
    <x v="10"/>
    <x v="1"/>
  </r>
  <r>
    <n v="44872"/>
    <x v="411"/>
    <x v="7"/>
    <x v="0"/>
    <x v="0"/>
    <s v="Loose Memo Sheets"/>
    <x v="948"/>
    <n v="2"/>
    <n v="3.43"/>
    <x v="10"/>
    <x v="1"/>
  </r>
  <r>
    <n v="44872"/>
    <x v="119"/>
    <x v="2"/>
    <x v="0"/>
    <x v="10"/>
    <s v="White Envelopes, White Envelopes with Clear Poly Window"/>
    <x v="2412"/>
    <n v="2"/>
    <n v="7.93"/>
    <x v="10"/>
    <x v="1"/>
  </r>
  <r>
    <n v="44872"/>
    <x v="149"/>
    <x v="45"/>
    <x v="1"/>
    <x v="5"/>
    <s v="Safco Contoured Stacking Chairs"/>
    <x v="2612"/>
    <n v="3"/>
    <n v="178.8"/>
    <x v="10"/>
    <x v="1"/>
  </r>
  <r>
    <n v="44872"/>
    <x v="85"/>
    <x v="16"/>
    <x v="0"/>
    <x v="3"/>
    <s v="Avery Hanging File Binders"/>
    <x v="2613"/>
    <n v="9"/>
    <n v="-12.92"/>
    <x v="10"/>
    <x v="1"/>
  </r>
  <r>
    <n v="44872"/>
    <x v="85"/>
    <x v="16"/>
    <x v="0"/>
    <x v="3"/>
    <s v="GBC DocuBind TL300 Electric Binding System"/>
    <x v="2614"/>
    <n v="5"/>
    <n v="-1031.54"/>
    <x v="10"/>
    <x v="1"/>
  </r>
  <r>
    <n v="44872"/>
    <x v="712"/>
    <x v="0"/>
    <x v="0"/>
    <x v="0"/>
    <s v="Xerox 1886"/>
    <x v="2615"/>
    <n v="2"/>
    <n v="26.82"/>
    <x v="10"/>
    <x v="1"/>
  </r>
  <r>
    <n v="44872"/>
    <x v="579"/>
    <x v="0"/>
    <x v="0"/>
    <x v="4"/>
    <s v="Lumber Crayons"/>
    <x v="2616"/>
    <n v="3"/>
    <n v="5.32"/>
    <x v="10"/>
    <x v="1"/>
  </r>
  <r>
    <n v="44872"/>
    <x v="579"/>
    <x v="0"/>
    <x v="0"/>
    <x v="2"/>
    <s v="Gould Plastics 9-Pocket Panel Bin, 18-3/8w x 5-1/4d x 20-1/2h, Black"/>
    <x v="2617"/>
    <n v="2"/>
    <n v="-16.96"/>
    <x v="10"/>
    <x v="1"/>
  </r>
  <r>
    <n v="44872"/>
    <x v="579"/>
    <x v="0"/>
    <x v="1"/>
    <x v="8"/>
    <s v="Tenex Chairmats For Use with Hard Floors"/>
    <x v="92"/>
    <n v="5"/>
    <n v="-84.45"/>
    <x v="10"/>
    <x v="1"/>
  </r>
  <r>
    <n v="44872"/>
    <x v="579"/>
    <x v="0"/>
    <x v="0"/>
    <x v="3"/>
    <s v="Avery Recycled Flexi-View Covers for Binding Systems"/>
    <x v="890"/>
    <n v="10"/>
    <n v="-51.3"/>
    <x v="10"/>
    <x v="1"/>
  </r>
  <r>
    <n v="44872"/>
    <x v="579"/>
    <x v="0"/>
    <x v="0"/>
    <x v="2"/>
    <s v="Fellowes Recycled Storage Drawers"/>
    <x v="2618"/>
    <n v="2"/>
    <n v="-28.87"/>
    <x v="10"/>
    <x v="1"/>
  </r>
  <r>
    <n v="44872"/>
    <x v="579"/>
    <x v="0"/>
    <x v="2"/>
    <x v="15"/>
    <s v="Canon PC170 Desktop Personal Copier"/>
    <x v="2619"/>
    <n v="3"/>
    <n v="33.590000000000003"/>
    <x v="10"/>
    <x v="1"/>
  </r>
  <r>
    <n v="44873"/>
    <x v="276"/>
    <x v="32"/>
    <x v="0"/>
    <x v="4"/>
    <s v="American Pencil"/>
    <x v="563"/>
    <n v="5"/>
    <n v="3.38"/>
    <x v="10"/>
    <x v="1"/>
  </r>
  <r>
    <n v="44873"/>
    <x v="713"/>
    <x v="3"/>
    <x v="0"/>
    <x v="7"/>
    <s v="Advantus Plastic Paper Clips"/>
    <x v="2620"/>
    <n v="1"/>
    <n v="2.4"/>
    <x v="10"/>
    <x v="1"/>
  </r>
  <r>
    <n v="44873"/>
    <x v="713"/>
    <x v="3"/>
    <x v="2"/>
    <x v="9"/>
    <s v="Logitech G19 Programmable Gaming Keyboard"/>
    <x v="2621"/>
    <n v="3"/>
    <n v="66.95"/>
    <x v="10"/>
    <x v="1"/>
  </r>
  <r>
    <n v="44873"/>
    <x v="42"/>
    <x v="27"/>
    <x v="0"/>
    <x v="7"/>
    <s v="Alliance Rubber Bands"/>
    <x v="466"/>
    <n v="3"/>
    <n v="0.2"/>
    <x v="10"/>
    <x v="1"/>
  </r>
  <r>
    <n v="44873"/>
    <x v="42"/>
    <x v="27"/>
    <x v="0"/>
    <x v="0"/>
    <s v="Xerox 1988"/>
    <x v="805"/>
    <n v="3"/>
    <n v="41.82"/>
    <x v="10"/>
    <x v="1"/>
  </r>
  <r>
    <n v="44873"/>
    <x v="42"/>
    <x v="27"/>
    <x v="1"/>
    <x v="8"/>
    <s v="Executive Impressions 14&quot; Contract Wall Clock"/>
    <x v="2622"/>
    <n v="3"/>
    <n v="22.01"/>
    <x v="10"/>
    <x v="1"/>
  </r>
  <r>
    <n v="44873"/>
    <x v="42"/>
    <x v="27"/>
    <x v="0"/>
    <x v="3"/>
    <s v="Deluxe Heavy-Duty Vinyl Round Ring Binder"/>
    <x v="440"/>
    <n v="5"/>
    <n v="28.65"/>
    <x v="10"/>
    <x v="1"/>
  </r>
  <r>
    <n v="44873"/>
    <x v="482"/>
    <x v="20"/>
    <x v="0"/>
    <x v="3"/>
    <s v="Storex Dura Pro Binders"/>
    <x v="2623"/>
    <n v="11"/>
    <n v="17.64"/>
    <x v="10"/>
    <x v="1"/>
  </r>
  <r>
    <n v="44873"/>
    <x v="482"/>
    <x v="20"/>
    <x v="0"/>
    <x v="0"/>
    <s v="Great White Multi-Use Recycled Paper (20Lb. and 84 Bright)"/>
    <x v="150"/>
    <n v="3"/>
    <n v="8.07"/>
    <x v="10"/>
    <x v="1"/>
  </r>
  <r>
    <n v="44873"/>
    <x v="257"/>
    <x v="0"/>
    <x v="0"/>
    <x v="3"/>
    <s v="Wilson Jones Leather-Like Binders with DublLock Round Rings"/>
    <x v="2458"/>
    <n v="6"/>
    <n v="-17.29"/>
    <x v="10"/>
    <x v="1"/>
  </r>
  <r>
    <n v="44873"/>
    <x v="661"/>
    <x v="3"/>
    <x v="2"/>
    <x v="9"/>
    <s v="Microsoft Arc Touch Mouse"/>
    <x v="2467"/>
    <n v="2"/>
    <n v="43.16"/>
    <x v="10"/>
    <x v="1"/>
  </r>
  <r>
    <n v="44873"/>
    <x v="663"/>
    <x v="6"/>
    <x v="0"/>
    <x v="12"/>
    <s v="Holmes Replacement Filter for HEPA Air Cleaner, Large Room"/>
    <x v="2624"/>
    <n v="3"/>
    <n v="18.66"/>
    <x v="10"/>
    <x v="1"/>
  </r>
  <r>
    <n v="44873"/>
    <x v="663"/>
    <x v="6"/>
    <x v="2"/>
    <x v="6"/>
    <s v="AT&amp;T 17929 Lendline Telephone"/>
    <x v="2625"/>
    <n v="5"/>
    <n v="58.81"/>
    <x v="10"/>
    <x v="1"/>
  </r>
  <r>
    <n v="44873"/>
    <x v="663"/>
    <x v="6"/>
    <x v="1"/>
    <x v="8"/>
    <s v="Deflect-o Glass Clear Studded Chair Mats"/>
    <x v="2626"/>
    <n v="3"/>
    <n v="41.04"/>
    <x v="10"/>
    <x v="1"/>
  </r>
  <r>
    <n v="44873"/>
    <x v="663"/>
    <x v="6"/>
    <x v="0"/>
    <x v="4"/>
    <s v="Hunt PowerHouse Electric Pencil Sharpener, Blue"/>
    <x v="2354"/>
    <n v="7"/>
    <n v="79.760000000000005"/>
    <x v="10"/>
    <x v="1"/>
  </r>
  <r>
    <n v="44873"/>
    <x v="663"/>
    <x v="6"/>
    <x v="0"/>
    <x v="4"/>
    <s v="Newell 314"/>
    <x v="2627"/>
    <n v="5"/>
    <n v="6.98"/>
    <x v="10"/>
    <x v="1"/>
  </r>
  <r>
    <n v="44873"/>
    <x v="122"/>
    <x v="30"/>
    <x v="2"/>
    <x v="6"/>
    <s v="Cisco SPA508G"/>
    <x v="592"/>
    <n v="4"/>
    <n v="76.55"/>
    <x v="10"/>
    <x v="1"/>
  </r>
  <r>
    <n v="44873"/>
    <x v="435"/>
    <x v="20"/>
    <x v="0"/>
    <x v="2"/>
    <s v="Fellowes Desktop Hanging File Manager"/>
    <x v="1349"/>
    <n v="5"/>
    <n v="16.79"/>
    <x v="10"/>
    <x v="1"/>
  </r>
  <r>
    <n v="44873"/>
    <x v="435"/>
    <x v="20"/>
    <x v="2"/>
    <x v="6"/>
    <s v="Mitel MiVoice 5330e IP Phone"/>
    <x v="2628"/>
    <n v="2"/>
    <n v="142.99"/>
    <x v="10"/>
    <x v="1"/>
  </r>
  <r>
    <n v="44873"/>
    <x v="435"/>
    <x v="20"/>
    <x v="1"/>
    <x v="8"/>
    <s v="Nu-Dell EZ-Mount Plastic Wall Frames"/>
    <x v="2548"/>
    <n v="3"/>
    <n v="4.7300000000000004"/>
    <x v="10"/>
    <x v="1"/>
  </r>
  <r>
    <n v="44873"/>
    <x v="435"/>
    <x v="20"/>
    <x v="2"/>
    <x v="15"/>
    <s v="Zebra ZM400 Thermal Label Printer"/>
    <x v="2629"/>
    <n v="4"/>
    <n v="2229.02"/>
    <x v="10"/>
    <x v="1"/>
  </r>
  <r>
    <n v="44873"/>
    <x v="435"/>
    <x v="20"/>
    <x v="1"/>
    <x v="5"/>
    <s v="Hon 4070 Series Pagoda Round Back Stacking Chairs"/>
    <x v="2630"/>
    <n v="2"/>
    <n v="115.55"/>
    <x v="10"/>
    <x v="1"/>
  </r>
  <r>
    <n v="44873"/>
    <x v="270"/>
    <x v="25"/>
    <x v="0"/>
    <x v="7"/>
    <s v="OIC Binder Clips"/>
    <x v="1979"/>
    <n v="11"/>
    <n v="11.81"/>
    <x v="10"/>
    <x v="1"/>
  </r>
  <r>
    <n v="44873"/>
    <x v="270"/>
    <x v="25"/>
    <x v="0"/>
    <x v="1"/>
    <s v="Permanent Self-Adhesive File Folder Labels for Typewriters, 1 1/8 x 3 1/2, White"/>
    <x v="466"/>
    <n v="1"/>
    <n v="1.64"/>
    <x v="10"/>
    <x v="1"/>
  </r>
  <r>
    <n v="44873"/>
    <x v="270"/>
    <x v="25"/>
    <x v="0"/>
    <x v="3"/>
    <s v="Poly Designer Cover &amp; Back"/>
    <x v="1277"/>
    <n v="7"/>
    <n v="-29.24"/>
    <x v="10"/>
    <x v="1"/>
  </r>
  <r>
    <n v="44873"/>
    <x v="270"/>
    <x v="25"/>
    <x v="1"/>
    <x v="8"/>
    <s v="Eldon Wave Desk Accessories"/>
    <x v="1070"/>
    <n v="1"/>
    <n v="1.41"/>
    <x v="10"/>
    <x v="1"/>
  </r>
  <r>
    <n v="44873"/>
    <x v="87"/>
    <x v="45"/>
    <x v="1"/>
    <x v="11"/>
    <s v="Riverside Palais Royal Lawyers Bookcase, Royale Cherry Finish"/>
    <x v="2631"/>
    <n v="5"/>
    <n v="1013.13"/>
    <x v="10"/>
    <x v="1"/>
  </r>
  <r>
    <n v="44874"/>
    <x v="693"/>
    <x v="2"/>
    <x v="0"/>
    <x v="0"/>
    <s v="While You Were Out Pads, 50 per Pad, 4 x 5 1/4, Green Cycle"/>
    <x v="1007"/>
    <n v="3"/>
    <n v="4.12"/>
    <x v="10"/>
    <x v="1"/>
  </r>
  <r>
    <n v="44874"/>
    <x v="423"/>
    <x v="24"/>
    <x v="0"/>
    <x v="3"/>
    <s v="Binder Posts"/>
    <x v="2632"/>
    <n v="3"/>
    <n v="7.92"/>
    <x v="10"/>
    <x v="1"/>
  </r>
  <r>
    <n v="44874"/>
    <x v="423"/>
    <x v="24"/>
    <x v="1"/>
    <x v="13"/>
    <s v="Bevis Round Conference Table Top &amp; Single Column Base"/>
    <x v="2633"/>
    <n v="7"/>
    <n v="215.12"/>
    <x v="10"/>
    <x v="1"/>
  </r>
  <r>
    <n v="44874"/>
    <x v="423"/>
    <x v="24"/>
    <x v="0"/>
    <x v="10"/>
    <s v="#10- 4 1/8&quot; x 9 1/2&quot; Recycled Envelopes"/>
    <x v="2634"/>
    <n v="3"/>
    <n v="12.32"/>
    <x v="10"/>
    <x v="1"/>
  </r>
  <r>
    <n v="44874"/>
    <x v="423"/>
    <x v="24"/>
    <x v="0"/>
    <x v="0"/>
    <s v="Xerox 1978"/>
    <x v="848"/>
    <n v="3"/>
    <n v="8.5"/>
    <x v="10"/>
    <x v="1"/>
  </r>
  <r>
    <n v="44874"/>
    <x v="222"/>
    <x v="20"/>
    <x v="2"/>
    <x v="15"/>
    <s v="Zebra ZM400 Thermal Label Printer"/>
    <x v="2635"/>
    <n v="2"/>
    <n v="1114.51"/>
    <x v="10"/>
    <x v="1"/>
  </r>
  <r>
    <n v="44874"/>
    <x v="222"/>
    <x v="20"/>
    <x v="0"/>
    <x v="2"/>
    <s v="Perma STOR-ALL Hanging File Box, 13 1/8&quot;W x 12 1/4&quot;D x 10 1/2&quot;H"/>
    <x v="150"/>
    <n v="3"/>
    <n v="3.05"/>
    <x v="10"/>
    <x v="1"/>
  </r>
  <r>
    <n v="44874"/>
    <x v="265"/>
    <x v="20"/>
    <x v="0"/>
    <x v="2"/>
    <s v="Tennsco Industrial Shelving"/>
    <x v="2636"/>
    <n v="5"/>
    <n v="4.8899999999999997"/>
    <x v="10"/>
    <x v="1"/>
  </r>
  <r>
    <n v="44874"/>
    <x v="265"/>
    <x v="20"/>
    <x v="0"/>
    <x v="10"/>
    <s v="Poly String Tie Envelopes"/>
    <x v="2637"/>
    <n v="6"/>
    <n v="5.75"/>
    <x v="10"/>
    <x v="1"/>
  </r>
  <r>
    <n v="44874"/>
    <x v="265"/>
    <x v="20"/>
    <x v="2"/>
    <x v="9"/>
    <s v="AmazonBasics 3-Button USB Wired Mouse"/>
    <x v="51"/>
    <n v="2"/>
    <n v="6.01"/>
    <x v="10"/>
    <x v="1"/>
  </r>
  <r>
    <n v="44874"/>
    <x v="265"/>
    <x v="20"/>
    <x v="2"/>
    <x v="9"/>
    <s v="LogitechÂ VX Revolution Cordless Laser Mouse for Notebooks (Black)"/>
    <x v="2638"/>
    <n v="5"/>
    <n v="54"/>
    <x v="10"/>
    <x v="1"/>
  </r>
  <r>
    <n v="44874"/>
    <x v="618"/>
    <x v="3"/>
    <x v="0"/>
    <x v="7"/>
    <s v="OIC Binder Clips, Mini, 1/4&quot; Capacity, Black"/>
    <x v="2639"/>
    <n v="2"/>
    <n v="1.17"/>
    <x v="10"/>
    <x v="1"/>
  </r>
  <r>
    <n v="44874"/>
    <x v="408"/>
    <x v="18"/>
    <x v="0"/>
    <x v="3"/>
    <s v="Avery Poly Binder Pockets"/>
    <x v="1864"/>
    <n v="3"/>
    <n v="5.16"/>
    <x v="10"/>
    <x v="1"/>
  </r>
  <r>
    <n v="44875"/>
    <x v="545"/>
    <x v="3"/>
    <x v="2"/>
    <x v="9"/>
    <s v="Microsoft Sculpt Comfort Mouse"/>
    <x v="2640"/>
    <n v="2"/>
    <n v="35.159999999999997"/>
    <x v="10"/>
    <x v="1"/>
  </r>
  <r>
    <n v="44875"/>
    <x v="571"/>
    <x v="18"/>
    <x v="0"/>
    <x v="2"/>
    <s v="Letter Size Cart"/>
    <x v="2641"/>
    <n v="5"/>
    <n v="207.15"/>
    <x v="10"/>
    <x v="1"/>
  </r>
  <r>
    <n v="44875"/>
    <x v="675"/>
    <x v="28"/>
    <x v="0"/>
    <x v="12"/>
    <s v="Hoover Shoulder Vac Commercial Portable Vacuum"/>
    <x v="2642"/>
    <n v="2"/>
    <n v="178.91"/>
    <x v="10"/>
    <x v="1"/>
  </r>
  <r>
    <n v="44875"/>
    <x v="675"/>
    <x v="28"/>
    <x v="0"/>
    <x v="2"/>
    <s v="Tennsco 6- and 18-Compartment Lockers"/>
    <x v="2643"/>
    <n v="3"/>
    <n v="143.19"/>
    <x v="10"/>
    <x v="1"/>
  </r>
  <r>
    <n v="44875"/>
    <x v="675"/>
    <x v="28"/>
    <x v="2"/>
    <x v="16"/>
    <s v="Sharp 1540cs Digital Laser Copier"/>
    <x v="774"/>
    <n v="1"/>
    <n v="275"/>
    <x v="10"/>
    <x v="1"/>
  </r>
  <r>
    <n v="44875"/>
    <x v="675"/>
    <x v="28"/>
    <x v="0"/>
    <x v="3"/>
    <s v="GBC Standard Therm-A-Bind Covers"/>
    <x v="2540"/>
    <n v="3"/>
    <n v="34.39"/>
    <x v="10"/>
    <x v="1"/>
  </r>
  <r>
    <n v="44875"/>
    <x v="675"/>
    <x v="28"/>
    <x v="1"/>
    <x v="8"/>
    <s v="Staple-based wall hangings"/>
    <x v="2644"/>
    <n v="3"/>
    <n v="12.86"/>
    <x v="10"/>
    <x v="1"/>
  </r>
  <r>
    <n v="44875"/>
    <x v="66"/>
    <x v="2"/>
    <x v="0"/>
    <x v="2"/>
    <s v="Iceberg Mobile Mega Data/Printer Cart"/>
    <x v="2645"/>
    <n v="6"/>
    <n v="43.32"/>
    <x v="10"/>
    <x v="1"/>
  </r>
  <r>
    <n v="44876"/>
    <x v="597"/>
    <x v="14"/>
    <x v="0"/>
    <x v="2"/>
    <s v="Advantus 10-Drawer Portable Organizer, Chrome Metal Frame, Smoke Drawers"/>
    <x v="2646"/>
    <n v="7"/>
    <n v="117.13"/>
    <x v="10"/>
    <x v="1"/>
  </r>
  <r>
    <n v="44876"/>
    <x v="597"/>
    <x v="14"/>
    <x v="0"/>
    <x v="12"/>
    <s v="Holmes Replacement Filter for HEPA Air Cleaner, Very Large Room, HEPA Filter"/>
    <x v="2647"/>
    <n v="2"/>
    <n v="46.79"/>
    <x v="10"/>
    <x v="1"/>
  </r>
  <r>
    <n v="44877"/>
    <x v="515"/>
    <x v="3"/>
    <x v="0"/>
    <x v="0"/>
    <s v="Adams &quot;While You Were Out&quot; Message Pads"/>
    <x v="1210"/>
    <n v="5"/>
    <n v="7.07"/>
    <x v="10"/>
    <x v="1"/>
  </r>
  <r>
    <n v="44877"/>
    <x v="123"/>
    <x v="16"/>
    <x v="0"/>
    <x v="4"/>
    <s v="Newell 317"/>
    <x v="1562"/>
    <n v="5"/>
    <n v="1.32"/>
    <x v="10"/>
    <x v="1"/>
  </r>
  <r>
    <n v="44877"/>
    <x v="123"/>
    <x v="16"/>
    <x v="0"/>
    <x v="3"/>
    <s v="Wilson Jones Leather-Like Binders with DublLock Round Rings"/>
    <x v="2648"/>
    <n v="2"/>
    <n v="-4.0199999999999996"/>
    <x v="10"/>
    <x v="1"/>
  </r>
  <r>
    <n v="44877"/>
    <x v="123"/>
    <x v="16"/>
    <x v="0"/>
    <x v="3"/>
    <s v="SlimView Poly Binder, 3/8&quot;"/>
    <x v="2649"/>
    <n v="3"/>
    <n v="-3.73"/>
    <x v="10"/>
    <x v="1"/>
  </r>
  <r>
    <n v="44877"/>
    <x v="123"/>
    <x v="16"/>
    <x v="1"/>
    <x v="5"/>
    <s v="Office Star - Contemporary Task Swivel chair with Loop Arms, Charcoal"/>
    <x v="2650"/>
    <n v="5"/>
    <n v="-72.040000000000006"/>
    <x v="10"/>
    <x v="1"/>
  </r>
  <r>
    <n v="44877"/>
    <x v="123"/>
    <x v="16"/>
    <x v="2"/>
    <x v="6"/>
    <s v="VTech DS6151"/>
    <x v="423"/>
    <n v="1"/>
    <n v="10.08"/>
    <x v="10"/>
    <x v="1"/>
  </r>
  <r>
    <n v="44877"/>
    <x v="123"/>
    <x v="16"/>
    <x v="1"/>
    <x v="5"/>
    <s v="Global Push Button Manager's Chair, Indigo"/>
    <x v="2651"/>
    <n v="3"/>
    <n v="16.440000000000001"/>
    <x v="10"/>
    <x v="1"/>
  </r>
  <r>
    <n v="44877"/>
    <x v="407"/>
    <x v="0"/>
    <x v="0"/>
    <x v="2"/>
    <s v="Carina 42&quot;Hx23 3/4&quot;W Media Storage Unit"/>
    <x v="876"/>
    <n v="1"/>
    <n v="-14.58"/>
    <x v="10"/>
    <x v="1"/>
  </r>
  <r>
    <n v="44877"/>
    <x v="407"/>
    <x v="0"/>
    <x v="0"/>
    <x v="0"/>
    <s v="Xerox 1957"/>
    <x v="143"/>
    <n v="3"/>
    <n v="5.64"/>
    <x v="10"/>
    <x v="1"/>
  </r>
  <r>
    <n v="44877"/>
    <x v="407"/>
    <x v="0"/>
    <x v="0"/>
    <x v="10"/>
    <s v="Blue String-Tie &amp; Button Interoffice Envelopes, 10 x 13"/>
    <x v="2652"/>
    <n v="7"/>
    <n v="69.97"/>
    <x v="10"/>
    <x v="1"/>
  </r>
  <r>
    <n v="44877"/>
    <x v="632"/>
    <x v="20"/>
    <x v="0"/>
    <x v="10"/>
    <s v="Staple envelope"/>
    <x v="515"/>
    <n v="2"/>
    <n v="7.31"/>
    <x v="10"/>
    <x v="1"/>
  </r>
  <r>
    <n v="44878"/>
    <x v="641"/>
    <x v="26"/>
    <x v="2"/>
    <x v="9"/>
    <s v="Logitech K350 2.4Ghz Wireless Keyboard"/>
    <x v="2653"/>
    <n v="6"/>
    <n v="-26.88"/>
    <x v="10"/>
    <x v="1"/>
  </r>
  <r>
    <n v="44878"/>
    <x v="641"/>
    <x v="26"/>
    <x v="1"/>
    <x v="8"/>
    <s v="Deflect-o DuraMat Lighweight, Studded, Beveled Mat for Low Pile Carpeting"/>
    <x v="2654"/>
    <n v="3"/>
    <n v="-3.84"/>
    <x v="10"/>
    <x v="1"/>
  </r>
  <r>
    <n v="44878"/>
    <x v="641"/>
    <x v="26"/>
    <x v="0"/>
    <x v="3"/>
    <s v="Avery Trapezoid Ring Binder, 3&quot; Capacity, Black, 1040 sheets"/>
    <x v="2655"/>
    <n v="3"/>
    <n v="-25.82"/>
    <x v="10"/>
    <x v="1"/>
  </r>
  <r>
    <n v="44878"/>
    <x v="519"/>
    <x v="25"/>
    <x v="0"/>
    <x v="0"/>
    <s v="Xerox 1910"/>
    <x v="2656"/>
    <n v="3"/>
    <n v="40.35"/>
    <x v="10"/>
    <x v="1"/>
  </r>
  <r>
    <n v="44878"/>
    <x v="318"/>
    <x v="7"/>
    <x v="2"/>
    <x v="6"/>
    <s v="BlackBerry Q10"/>
    <x v="883"/>
    <n v="3"/>
    <n v="94.49"/>
    <x v="10"/>
    <x v="1"/>
  </r>
  <r>
    <n v="44878"/>
    <x v="318"/>
    <x v="7"/>
    <x v="0"/>
    <x v="0"/>
    <s v="Adams Telephone Message Books, 5 1/4Â” x 11Â”"/>
    <x v="2657"/>
    <n v="7"/>
    <n v="19.87"/>
    <x v="10"/>
    <x v="1"/>
  </r>
  <r>
    <n v="44878"/>
    <x v="318"/>
    <x v="7"/>
    <x v="1"/>
    <x v="11"/>
    <s v="Bestar Classic Bookcase"/>
    <x v="306"/>
    <n v="3"/>
    <n v="56.99"/>
    <x v="10"/>
    <x v="1"/>
  </r>
  <r>
    <n v="44878"/>
    <x v="318"/>
    <x v="7"/>
    <x v="2"/>
    <x v="6"/>
    <s v="Innergie mMini Combo Duo USB Travel Charging Kit"/>
    <x v="2658"/>
    <n v="2"/>
    <n v="43.19"/>
    <x v="10"/>
    <x v="1"/>
  </r>
  <r>
    <n v="44878"/>
    <x v="276"/>
    <x v="1"/>
    <x v="1"/>
    <x v="8"/>
    <s v="Eldon ImÃ ge Series Desk Accessories, Clear"/>
    <x v="722"/>
    <n v="9"/>
    <n v="-7.44"/>
    <x v="10"/>
    <x v="1"/>
  </r>
  <r>
    <n v="44878"/>
    <x v="277"/>
    <x v="18"/>
    <x v="0"/>
    <x v="0"/>
    <s v="Black Print Carbonless Snap-Off Rapid Letter, 8 1/2&quot; x 7&quot;"/>
    <x v="2659"/>
    <n v="7"/>
    <n v="28.7"/>
    <x v="10"/>
    <x v="1"/>
  </r>
  <r>
    <n v="44878"/>
    <x v="277"/>
    <x v="18"/>
    <x v="2"/>
    <x v="6"/>
    <s v="Spigen Samsung Galaxy S5 Case Wallet"/>
    <x v="2660"/>
    <n v="3"/>
    <n v="13.25"/>
    <x v="10"/>
    <x v="1"/>
  </r>
  <r>
    <n v="44878"/>
    <x v="277"/>
    <x v="18"/>
    <x v="0"/>
    <x v="0"/>
    <s v="Xerox 1910"/>
    <x v="2661"/>
    <n v="2"/>
    <n v="46.12"/>
    <x v="10"/>
    <x v="1"/>
  </r>
  <r>
    <n v="44878"/>
    <x v="158"/>
    <x v="15"/>
    <x v="0"/>
    <x v="2"/>
    <s v="Portfile Personal File Boxes"/>
    <x v="2662"/>
    <n v="6"/>
    <n v="6.37"/>
    <x v="10"/>
    <x v="1"/>
  </r>
  <r>
    <n v="44878"/>
    <x v="299"/>
    <x v="35"/>
    <x v="2"/>
    <x v="6"/>
    <s v="Panasonic KX TS3282W Corded phone"/>
    <x v="811"/>
    <n v="5"/>
    <n v="42.5"/>
    <x v="10"/>
    <x v="1"/>
  </r>
  <r>
    <n v="44878"/>
    <x v="299"/>
    <x v="35"/>
    <x v="1"/>
    <x v="8"/>
    <s v="Eldon Stackable Tray, Side-Load, Legal, Smoke"/>
    <x v="540"/>
    <n v="7"/>
    <n v="21.75"/>
    <x v="10"/>
    <x v="1"/>
  </r>
  <r>
    <n v="44878"/>
    <x v="667"/>
    <x v="16"/>
    <x v="0"/>
    <x v="3"/>
    <s v="Catalog Binders with Expanding Posts"/>
    <x v="2469"/>
    <n v="6"/>
    <n v="-100.92"/>
    <x v="10"/>
    <x v="1"/>
  </r>
  <r>
    <n v="44878"/>
    <x v="667"/>
    <x v="16"/>
    <x v="2"/>
    <x v="9"/>
    <s v="MaxellÂ LTO Ultrium - 800 GB"/>
    <x v="2663"/>
    <n v="5"/>
    <n v="-1.4"/>
    <x v="10"/>
    <x v="1"/>
  </r>
  <r>
    <n v="44878"/>
    <x v="487"/>
    <x v="0"/>
    <x v="1"/>
    <x v="11"/>
    <s v="Atlantic Metals Mobile 5-Shelf Bookcases, Custom Colors"/>
    <x v="2664"/>
    <n v="3"/>
    <n v="-18.059999999999999"/>
    <x v="10"/>
    <x v="1"/>
  </r>
  <r>
    <n v="44878"/>
    <x v="348"/>
    <x v="3"/>
    <x v="0"/>
    <x v="3"/>
    <s v="Universal Recycled Hanging Pressboard Report Binders, Letter Size"/>
    <x v="1808"/>
    <n v="2"/>
    <n v="3.46"/>
    <x v="10"/>
    <x v="1"/>
  </r>
  <r>
    <n v="44878"/>
    <x v="348"/>
    <x v="3"/>
    <x v="1"/>
    <x v="11"/>
    <s v="O'Sullivan Living Dimensions 3-Shelf Bookcases"/>
    <x v="2665"/>
    <n v="4"/>
    <n v="-40.200000000000003"/>
    <x v="10"/>
    <x v="1"/>
  </r>
  <r>
    <n v="44878"/>
    <x v="348"/>
    <x v="3"/>
    <x v="0"/>
    <x v="0"/>
    <s v="Xerox 1900"/>
    <x v="2666"/>
    <n v="7"/>
    <n v="13.48"/>
    <x v="10"/>
    <x v="1"/>
  </r>
  <r>
    <n v="44879"/>
    <x v="225"/>
    <x v="20"/>
    <x v="2"/>
    <x v="9"/>
    <s v="ImationÂ Clip USBÂ flash driveÂ - 8 GB"/>
    <x v="2667"/>
    <n v="2"/>
    <n v="2.2599999999999998"/>
    <x v="10"/>
    <x v="1"/>
  </r>
  <r>
    <n v="44879"/>
    <x v="225"/>
    <x v="20"/>
    <x v="2"/>
    <x v="9"/>
    <s v="ImationÂ 32GB Pocket Pro USB 3.0Â Flash DriveÂ - 32 GB - Black - 1 P ..."/>
    <x v="1941"/>
    <n v="2"/>
    <n v="23.96"/>
    <x v="10"/>
    <x v="1"/>
  </r>
  <r>
    <n v="44879"/>
    <x v="225"/>
    <x v="20"/>
    <x v="0"/>
    <x v="0"/>
    <s v="It's Hot Message Books with Stickers, 2 3/4&quot; x 5&quot;"/>
    <x v="2668"/>
    <n v="5"/>
    <n v="16.649999999999999"/>
    <x v="10"/>
    <x v="1"/>
  </r>
  <r>
    <n v="44879"/>
    <x v="225"/>
    <x v="6"/>
    <x v="0"/>
    <x v="10"/>
    <s v="Brown Kraft Recycled Envelopes"/>
    <x v="2669"/>
    <n v="2"/>
    <n v="16.98"/>
    <x v="10"/>
    <x v="1"/>
  </r>
  <r>
    <n v="44879"/>
    <x v="225"/>
    <x v="6"/>
    <x v="0"/>
    <x v="12"/>
    <s v="Honeywell Enviracaire Portable HEPA Air Cleaner for 16' x 20' Room"/>
    <x v="2670"/>
    <n v="3"/>
    <n v="322.18"/>
    <x v="10"/>
    <x v="1"/>
  </r>
  <r>
    <n v="44879"/>
    <x v="3"/>
    <x v="7"/>
    <x v="1"/>
    <x v="8"/>
    <s v="Executive Impressions 13&quot; Chairman Wall Clock"/>
    <x v="349"/>
    <n v="3"/>
    <n v="26.65"/>
    <x v="10"/>
    <x v="1"/>
  </r>
  <r>
    <n v="44879"/>
    <x v="3"/>
    <x v="7"/>
    <x v="0"/>
    <x v="3"/>
    <s v="Avery Framed View Binder, EZD Ring (Locking), Navy, 1 1/2&quot;"/>
    <x v="2671"/>
    <n v="2"/>
    <n v="9.3800000000000008"/>
    <x v="10"/>
    <x v="1"/>
  </r>
  <r>
    <n v="44879"/>
    <x v="473"/>
    <x v="2"/>
    <x v="2"/>
    <x v="9"/>
    <s v="Micro Innovations Wireless Classic Keyboard with Mouse"/>
    <x v="972"/>
    <n v="2"/>
    <n v="-1.2"/>
    <x v="10"/>
    <x v="1"/>
  </r>
  <r>
    <n v="44879"/>
    <x v="127"/>
    <x v="11"/>
    <x v="0"/>
    <x v="7"/>
    <s v="Advantus Push Pins"/>
    <x v="1051"/>
    <n v="5"/>
    <n v="2.29"/>
    <x v="10"/>
    <x v="1"/>
  </r>
  <r>
    <n v="44879"/>
    <x v="127"/>
    <x v="11"/>
    <x v="2"/>
    <x v="9"/>
    <s v="ImationÂ SecureÂ DriveÂ + Hardware Encrypted USBÂ flash driveÂ - 16 GB"/>
    <x v="2672"/>
    <n v="3"/>
    <n v="4.5599999999999996"/>
    <x v="10"/>
    <x v="1"/>
  </r>
  <r>
    <n v="44879"/>
    <x v="127"/>
    <x v="11"/>
    <x v="2"/>
    <x v="9"/>
    <s v="Plantronics Audio 478 Stereo USB Headset"/>
    <x v="2673"/>
    <n v="4"/>
    <n v="29.99"/>
    <x v="10"/>
    <x v="1"/>
  </r>
  <r>
    <n v="44879"/>
    <x v="333"/>
    <x v="31"/>
    <x v="1"/>
    <x v="5"/>
    <s v="SAFCO Arco Folding Chair"/>
    <x v="2674"/>
    <n v="4"/>
    <n v="99.43"/>
    <x v="10"/>
    <x v="1"/>
  </r>
  <r>
    <n v="44879"/>
    <x v="333"/>
    <x v="31"/>
    <x v="1"/>
    <x v="5"/>
    <s v="Global Deluxe Office Fabric Chairs"/>
    <x v="1583"/>
    <n v="3"/>
    <n v="20.16"/>
    <x v="10"/>
    <x v="1"/>
  </r>
  <r>
    <n v="44880"/>
    <x v="78"/>
    <x v="1"/>
    <x v="0"/>
    <x v="2"/>
    <s v="Home/Office Personal File Carts"/>
    <x v="2675"/>
    <n v="9"/>
    <n v="15.64"/>
    <x v="10"/>
    <x v="1"/>
  </r>
  <r>
    <n v="44880"/>
    <x v="78"/>
    <x v="1"/>
    <x v="0"/>
    <x v="3"/>
    <s v="Flexible Leather- Look Classic Collection Ring Binder"/>
    <x v="21"/>
    <n v="3"/>
    <n v="-17.05"/>
    <x v="10"/>
    <x v="1"/>
  </r>
  <r>
    <n v="44880"/>
    <x v="78"/>
    <x v="1"/>
    <x v="0"/>
    <x v="14"/>
    <s v="Staple remover"/>
    <x v="1051"/>
    <n v="5"/>
    <n v="-1.74"/>
    <x v="10"/>
    <x v="1"/>
  </r>
  <r>
    <n v="44880"/>
    <x v="223"/>
    <x v="20"/>
    <x v="0"/>
    <x v="2"/>
    <s v="Eldon Mobile Mega Data Cart  Mega Stackable  Add-On Trays"/>
    <x v="304"/>
    <n v="3"/>
    <n v="20.58"/>
    <x v="10"/>
    <x v="1"/>
  </r>
  <r>
    <n v="44880"/>
    <x v="223"/>
    <x v="20"/>
    <x v="0"/>
    <x v="3"/>
    <s v="Cardinal Holdit Data Disk Pockets"/>
    <x v="2676"/>
    <n v="6"/>
    <n v="11.79"/>
    <x v="10"/>
    <x v="1"/>
  </r>
  <r>
    <n v="44880"/>
    <x v="223"/>
    <x v="20"/>
    <x v="0"/>
    <x v="4"/>
    <s v="Newell 319"/>
    <x v="2677"/>
    <n v="6"/>
    <n v="35.71"/>
    <x v="10"/>
    <x v="1"/>
  </r>
  <r>
    <n v="44880"/>
    <x v="347"/>
    <x v="6"/>
    <x v="1"/>
    <x v="8"/>
    <s v="12-1/2 Diameter Round Wall Clock"/>
    <x v="418"/>
    <n v="2"/>
    <n v="14.39"/>
    <x v="10"/>
    <x v="1"/>
  </r>
  <r>
    <n v="44880"/>
    <x v="379"/>
    <x v="10"/>
    <x v="0"/>
    <x v="3"/>
    <s v="Wilson Jones Elliptical Ring 3 1/2&quot; Capacity Binders, 800 sheets"/>
    <x v="2678"/>
    <n v="13"/>
    <n v="-116.84"/>
    <x v="10"/>
    <x v="1"/>
  </r>
  <r>
    <n v="44881"/>
    <x v="675"/>
    <x v="20"/>
    <x v="0"/>
    <x v="12"/>
    <s v="Eureka The Boss Plus 12-Amp Hard Box Upright Vacuum, Red"/>
    <x v="2679"/>
    <n v="5"/>
    <n v="141.28"/>
    <x v="10"/>
    <x v="1"/>
  </r>
  <r>
    <n v="44881"/>
    <x v="109"/>
    <x v="21"/>
    <x v="0"/>
    <x v="0"/>
    <s v="Xerox 191"/>
    <x v="2680"/>
    <n v="9"/>
    <n v="84.52"/>
    <x v="10"/>
    <x v="1"/>
  </r>
  <r>
    <n v="44881"/>
    <x v="109"/>
    <x v="21"/>
    <x v="1"/>
    <x v="8"/>
    <s v="Advantus Employee of the Month Certificate Frame, 11 x 13-1/2"/>
    <x v="2681"/>
    <n v="6"/>
    <n v="76.09"/>
    <x v="10"/>
    <x v="1"/>
  </r>
  <r>
    <n v="44881"/>
    <x v="109"/>
    <x v="21"/>
    <x v="1"/>
    <x v="13"/>
    <s v="Lesro Sheffield Collection Coffee Table, End Table, Center Table, Corner Table"/>
    <x v="2682"/>
    <n v="3"/>
    <n v="36.4"/>
    <x v="10"/>
    <x v="1"/>
  </r>
  <r>
    <n v="44881"/>
    <x v="109"/>
    <x v="21"/>
    <x v="2"/>
    <x v="9"/>
    <s v="Logitech diNovo Edge Keyboard"/>
    <x v="2683"/>
    <n v="4"/>
    <n v="229.99"/>
    <x v="10"/>
    <x v="1"/>
  </r>
  <r>
    <n v="44881"/>
    <x v="109"/>
    <x v="21"/>
    <x v="1"/>
    <x v="13"/>
    <s v="Chromcraft Bull-Nose Wood Round Conference Table Top, Wood Base"/>
    <x v="300"/>
    <n v="3"/>
    <n v="111.1"/>
    <x v="10"/>
    <x v="1"/>
  </r>
  <r>
    <n v="44881"/>
    <x v="252"/>
    <x v="34"/>
    <x v="1"/>
    <x v="13"/>
    <s v="Bretford CR4500 Series Slim Rectangular Table"/>
    <x v="2684"/>
    <n v="2"/>
    <n v="160.18"/>
    <x v="10"/>
    <x v="1"/>
  </r>
  <r>
    <n v="44881"/>
    <x v="252"/>
    <x v="34"/>
    <x v="2"/>
    <x v="6"/>
    <s v="Jabra BIZ 2300 Duo QD Duo CordedÂ Headset"/>
    <x v="2685"/>
    <n v="3"/>
    <n v="22.86"/>
    <x v="10"/>
    <x v="1"/>
  </r>
  <r>
    <n v="44881"/>
    <x v="91"/>
    <x v="1"/>
    <x v="0"/>
    <x v="2"/>
    <s v="Neat Ideas Personal Hanging Folder Files, Black"/>
    <x v="2686"/>
    <n v="2"/>
    <n v="1.61"/>
    <x v="10"/>
    <x v="1"/>
  </r>
  <r>
    <n v="44881"/>
    <x v="91"/>
    <x v="1"/>
    <x v="2"/>
    <x v="6"/>
    <s v="HTC One"/>
    <x v="868"/>
    <n v="3"/>
    <n v="27"/>
    <x v="10"/>
    <x v="1"/>
  </r>
  <r>
    <n v="44881"/>
    <x v="91"/>
    <x v="1"/>
    <x v="1"/>
    <x v="8"/>
    <s v="Howard Miller 11-1/2&quot; Diameter Brentwood Wall Clock"/>
    <x v="1027"/>
    <n v="2"/>
    <n v="-15.53"/>
    <x v="10"/>
    <x v="1"/>
  </r>
  <r>
    <n v="44881"/>
    <x v="130"/>
    <x v="3"/>
    <x v="0"/>
    <x v="1"/>
    <s v="Avery 51"/>
    <x v="282"/>
    <n v="3"/>
    <n v="8.69"/>
    <x v="10"/>
    <x v="1"/>
  </r>
  <r>
    <n v="44882"/>
    <x v="714"/>
    <x v="1"/>
    <x v="0"/>
    <x v="14"/>
    <s v="Acme Box Cutter Scissors"/>
    <x v="2687"/>
    <n v="5"/>
    <n v="3.07"/>
    <x v="10"/>
    <x v="1"/>
  </r>
  <r>
    <n v="44882"/>
    <x v="267"/>
    <x v="3"/>
    <x v="2"/>
    <x v="6"/>
    <s v="RCA ViSYS 25825 Wireless digital phone"/>
    <x v="2688"/>
    <n v="4"/>
    <n v="52"/>
    <x v="10"/>
    <x v="1"/>
  </r>
  <r>
    <n v="44882"/>
    <x v="267"/>
    <x v="3"/>
    <x v="0"/>
    <x v="2"/>
    <s v="Carina Media Storage Towers in Natural &amp; Black"/>
    <x v="2689"/>
    <n v="5"/>
    <n v="6.1"/>
    <x v="10"/>
    <x v="1"/>
  </r>
  <r>
    <n v="44882"/>
    <x v="267"/>
    <x v="3"/>
    <x v="1"/>
    <x v="8"/>
    <s v="DAX Contemporary Wood Frame with Silver Metal Mat, Desktop, 11 x 14 Size"/>
    <x v="2690"/>
    <n v="4"/>
    <n v="29.15"/>
    <x v="10"/>
    <x v="1"/>
  </r>
  <r>
    <n v="44882"/>
    <x v="267"/>
    <x v="3"/>
    <x v="0"/>
    <x v="2"/>
    <s v="Fellowes Recycled Storage Drawers"/>
    <x v="2691"/>
    <n v="7"/>
    <n v="54.4"/>
    <x v="10"/>
    <x v="1"/>
  </r>
  <r>
    <n v="44882"/>
    <x v="267"/>
    <x v="3"/>
    <x v="0"/>
    <x v="0"/>
    <s v="Xerox 203"/>
    <x v="331"/>
    <n v="5"/>
    <n v="15.55"/>
    <x v="10"/>
    <x v="1"/>
  </r>
  <r>
    <n v="44882"/>
    <x v="267"/>
    <x v="3"/>
    <x v="1"/>
    <x v="5"/>
    <s v="Office Star - Contemporary Swivel Chair with Padded Adjustable Arms and Flex Back"/>
    <x v="2692"/>
    <n v="2"/>
    <n v="2.82"/>
    <x v="10"/>
    <x v="1"/>
  </r>
  <r>
    <n v="44882"/>
    <x v="267"/>
    <x v="3"/>
    <x v="1"/>
    <x v="8"/>
    <s v="Advantus Panel Wall Certificate Holder - 8.5x11"/>
    <x v="2693"/>
    <n v="3"/>
    <n v="15.37"/>
    <x v="10"/>
    <x v="1"/>
  </r>
  <r>
    <n v="44882"/>
    <x v="266"/>
    <x v="39"/>
    <x v="0"/>
    <x v="2"/>
    <s v="Tennsco Stur-D-Stor Boltless Shelving, 5 Shelves, 24&quot; Deep, Sand"/>
    <x v="2694"/>
    <n v="4"/>
    <n v="5.41"/>
    <x v="10"/>
    <x v="1"/>
  </r>
  <r>
    <n v="44882"/>
    <x v="266"/>
    <x v="39"/>
    <x v="0"/>
    <x v="0"/>
    <s v="Easy-staple paper"/>
    <x v="1653"/>
    <n v="3"/>
    <n v="49.97"/>
    <x v="10"/>
    <x v="1"/>
  </r>
  <r>
    <n v="44882"/>
    <x v="266"/>
    <x v="39"/>
    <x v="1"/>
    <x v="5"/>
    <s v="Hon Olson Stacker Chairs"/>
    <x v="2695"/>
    <n v="5"/>
    <n v="383.93"/>
    <x v="10"/>
    <x v="1"/>
  </r>
  <r>
    <n v="44884"/>
    <x v="529"/>
    <x v="22"/>
    <x v="1"/>
    <x v="8"/>
    <s v="Tenex V2T-RE Standard Weight Series Chair Mat, 45&quot; x 53&quot;, Lip 25&quot; x 12&quot;"/>
    <x v="70"/>
    <n v="2"/>
    <n v="22.71"/>
    <x v="10"/>
    <x v="1"/>
  </r>
  <r>
    <n v="44884"/>
    <x v="166"/>
    <x v="17"/>
    <x v="0"/>
    <x v="12"/>
    <s v="Hoover Commercial Soft Guard Upright Vacuum And Disposable Filtration Bags"/>
    <x v="2696"/>
    <n v="4"/>
    <n v="8.39"/>
    <x v="10"/>
    <x v="1"/>
  </r>
  <r>
    <n v="44884"/>
    <x v="375"/>
    <x v="20"/>
    <x v="0"/>
    <x v="3"/>
    <s v="Accohide Poly Flexible Ring Binders"/>
    <x v="784"/>
    <n v="2"/>
    <n v="2.2400000000000002"/>
    <x v="10"/>
    <x v="1"/>
  </r>
  <r>
    <n v="44884"/>
    <x v="375"/>
    <x v="20"/>
    <x v="2"/>
    <x v="6"/>
    <s v="Aastra 6757i CT Wireless VoIP phone"/>
    <x v="2697"/>
    <n v="4"/>
    <n v="249.91"/>
    <x v="10"/>
    <x v="1"/>
  </r>
  <r>
    <n v="44885"/>
    <x v="291"/>
    <x v="20"/>
    <x v="0"/>
    <x v="4"/>
    <s v="Boston 19500 Mighty Mite Electric Pencil Sharpener"/>
    <x v="2553"/>
    <n v="3"/>
    <n v="16.32"/>
    <x v="10"/>
    <x v="1"/>
  </r>
  <r>
    <n v="44885"/>
    <x v="291"/>
    <x v="20"/>
    <x v="0"/>
    <x v="4"/>
    <s v="Newell 335"/>
    <x v="697"/>
    <n v="4"/>
    <n v="3.34"/>
    <x v="10"/>
    <x v="1"/>
  </r>
  <r>
    <n v="44885"/>
    <x v="291"/>
    <x v="20"/>
    <x v="1"/>
    <x v="11"/>
    <s v="O'Sullivan 3-Shelf Heavy-Duty Bookcases"/>
    <x v="2698"/>
    <n v="4"/>
    <n v="9.3000000000000007"/>
    <x v="10"/>
    <x v="1"/>
  </r>
  <r>
    <n v="44885"/>
    <x v="659"/>
    <x v="3"/>
    <x v="0"/>
    <x v="4"/>
    <s v="Newell 333"/>
    <x v="121"/>
    <n v="7"/>
    <n v="5.0599999999999996"/>
    <x v="10"/>
    <x v="1"/>
  </r>
  <r>
    <n v="44885"/>
    <x v="275"/>
    <x v="20"/>
    <x v="0"/>
    <x v="0"/>
    <s v="Message Book, Phone, Wirebound Standard Line Memo, 2 3/4&quot; X 5&quot;"/>
    <x v="578"/>
    <n v="3"/>
    <n v="9.0399999999999991"/>
    <x v="10"/>
    <x v="1"/>
  </r>
  <r>
    <n v="44885"/>
    <x v="164"/>
    <x v="3"/>
    <x v="2"/>
    <x v="6"/>
    <s v="Gear Head AU3700S Headset"/>
    <x v="2699"/>
    <n v="7"/>
    <n v="-15.46"/>
    <x v="10"/>
    <x v="1"/>
  </r>
  <r>
    <n v="44885"/>
    <x v="164"/>
    <x v="3"/>
    <x v="1"/>
    <x v="5"/>
    <s v="Safco Contoured Stacking Chairs"/>
    <x v="1560"/>
    <n v="3"/>
    <n v="35.76"/>
    <x v="10"/>
    <x v="1"/>
  </r>
  <r>
    <n v="44885"/>
    <x v="715"/>
    <x v="3"/>
    <x v="0"/>
    <x v="3"/>
    <s v="Cardinal Poly Pocket Divider Pockets for Ring Binders"/>
    <x v="2700"/>
    <n v="9"/>
    <n v="7.56"/>
    <x v="10"/>
    <x v="1"/>
  </r>
  <r>
    <n v="44885"/>
    <x v="716"/>
    <x v="22"/>
    <x v="0"/>
    <x v="4"/>
    <s v="Newell 334"/>
    <x v="2677"/>
    <n v="6"/>
    <n v="30.95"/>
    <x v="10"/>
    <x v="1"/>
  </r>
  <r>
    <n v="44885"/>
    <x v="716"/>
    <x v="22"/>
    <x v="1"/>
    <x v="8"/>
    <s v="Eldon Expressions Wood Desk Accessories, Oak"/>
    <x v="2701"/>
    <n v="3"/>
    <n v="6.42"/>
    <x v="10"/>
    <x v="1"/>
  </r>
  <r>
    <n v="44885"/>
    <x v="716"/>
    <x v="22"/>
    <x v="2"/>
    <x v="9"/>
    <s v="AmazonBasics 3-Button USB Wired Mouse"/>
    <x v="51"/>
    <n v="2"/>
    <n v="6.01"/>
    <x v="10"/>
    <x v="1"/>
  </r>
  <r>
    <n v="44885"/>
    <x v="295"/>
    <x v="10"/>
    <x v="1"/>
    <x v="8"/>
    <s v="Ultra Commercial Grade Dual Valve Door Closer"/>
    <x v="2702"/>
    <n v="2"/>
    <n v="9.57"/>
    <x v="10"/>
    <x v="1"/>
  </r>
  <r>
    <n v="44885"/>
    <x v="295"/>
    <x v="10"/>
    <x v="0"/>
    <x v="2"/>
    <s v="Belkin 19&quot; Center-Weighted Shelf, Gray"/>
    <x v="2703"/>
    <n v="3"/>
    <n v="-26.54"/>
    <x v="10"/>
    <x v="1"/>
  </r>
  <r>
    <n v="44885"/>
    <x v="271"/>
    <x v="0"/>
    <x v="2"/>
    <x v="15"/>
    <s v="NeatDesk Desktop Scanner &amp; Digital Filing System"/>
    <x v="2704"/>
    <n v="2"/>
    <n v="56"/>
    <x v="10"/>
    <x v="1"/>
  </r>
  <r>
    <n v="44885"/>
    <x v="567"/>
    <x v="16"/>
    <x v="0"/>
    <x v="3"/>
    <s v="Wilson Jones Turn Tabs Binder Tool for Ring Binders"/>
    <x v="2137"/>
    <n v="5"/>
    <n v="-5.78"/>
    <x v="10"/>
    <x v="1"/>
  </r>
  <r>
    <n v="44885"/>
    <x v="567"/>
    <x v="16"/>
    <x v="0"/>
    <x v="2"/>
    <s v="Crate-A-Files"/>
    <x v="2705"/>
    <n v="2"/>
    <n v="1.31"/>
    <x v="10"/>
    <x v="1"/>
  </r>
  <r>
    <n v="44885"/>
    <x v="567"/>
    <x v="16"/>
    <x v="0"/>
    <x v="3"/>
    <s v="Ibico Laser Imprintable Binding System Covers"/>
    <x v="2706"/>
    <n v="4"/>
    <n v="-50.3"/>
    <x v="10"/>
    <x v="1"/>
  </r>
  <r>
    <n v="44885"/>
    <x v="567"/>
    <x v="16"/>
    <x v="1"/>
    <x v="11"/>
    <s v="O'Sullivan Living Dimensions 2-Shelf Bookcases"/>
    <x v="2707"/>
    <n v="3"/>
    <n v="-36.29"/>
    <x v="10"/>
    <x v="1"/>
  </r>
  <r>
    <n v="44885"/>
    <x v="1"/>
    <x v="2"/>
    <x v="1"/>
    <x v="5"/>
    <s v="Global High-Back Leather Tilter, Burgundy"/>
    <x v="2708"/>
    <n v="4"/>
    <n v="-93.47"/>
    <x v="10"/>
    <x v="1"/>
  </r>
  <r>
    <n v="44885"/>
    <x v="147"/>
    <x v="26"/>
    <x v="0"/>
    <x v="3"/>
    <s v="Wilson Jones Custom Binder Spines &amp; Labels"/>
    <x v="1972"/>
    <n v="3"/>
    <n v="-3.43"/>
    <x v="10"/>
    <x v="1"/>
  </r>
  <r>
    <n v="44885"/>
    <x v="147"/>
    <x v="26"/>
    <x v="1"/>
    <x v="11"/>
    <s v="Sauder Barrister Bookcases"/>
    <x v="2709"/>
    <n v="6"/>
    <n v="-247.8"/>
    <x v="10"/>
    <x v="1"/>
  </r>
  <r>
    <n v="44885"/>
    <x v="147"/>
    <x v="26"/>
    <x v="0"/>
    <x v="3"/>
    <s v="Wilson Jones 14 Line Acrylic Coated Pressboard Data Binders"/>
    <x v="2710"/>
    <n v="6"/>
    <n v="-7.37"/>
    <x v="10"/>
    <x v="1"/>
  </r>
  <r>
    <n v="44885"/>
    <x v="10"/>
    <x v="3"/>
    <x v="0"/>
    <x v="3"/>
    <s v="Performers Binder/Pad Holder, Black"/>
    <x v="2711"/>
    <n v="4"/>
    <n v="33.64"/>
    <x v="10"/>
    <x v="1"/>
  </r>
  <r>
    <n v="44885"/>
    <x v="10"/>
    <x v="3"/>
    <x v="0"/>
    <x v="1"/>
    <s v="Avery 485"/>
    <x v="1815"/>
    <n v="4"/>
    <n v="23.56"/>
    <x v="10"/>
    <x v="1"/>
  </r>
  <r>
    <n v="44885"/>
    <x v="439"/>
    <x v="3"/>
    <x v="1"/>
    <x v="8"/>
    <s v="Dana Swing-Arm Lamps"/>
    <x v="2712"/>
    <n v="3"/>
    <n v="8.01"/>
    <x v="10"/>
    <x v="1"/>
  </r>
  <r>
    <n v="44886"/>
    <x v="264"/>
    <x v="10"/>
    <x v="1"/>
    <x v="5"/>
    <s v="Padded Folding Chairs, Black, 4/Carton"/>
    <x v="2713"/>
    <n v="7"/>
    <n v="-11.34"/>
    <x v="10"/>
    <x v="1"/>
  </r>
  <r>
    <n v="44886"/>
    <x v="264"/>
    <x v="10"/>
    <x v="0"/>
    <x v="14"/>
    <s v="Acme Rosewood Handle Letter Opener"/>
    <x v="2714"/>
    <n v="5"/>
    <n v="-3.77"/>
    <x v="10"/>
    <x v="1"/>
  </r>
  <r>
    <n v="44886"/>
    <x v="262"/>
    <x v="17"/>
    <x v="1"/>
    <x v="11"/>
    <s v="Hon Metal Bookcases, Putty"/>
    <x v="70"/>
    <n v="2"/>
    <n v="41.17"/>
    <x v="10"/>
    <x v="1"/>
  </r>
  <r>
    <n v="44886"/>
    <x v="262"/>
    <x v="17"/>
    <x v="0"/>
    <x v="3"/>
    <s v="Square Ring Data Binders, Rigid 75 Pt. Covers, 11&quot; x 14-7/8&quot;"/>
    <x v="2715"/>
    <n v="4"/>
    <n v="23.12"/>
    <x v="10"/>
    <x v="1"/>
  </r>
  <r>
    <n v="44886"/>
    <x v="27"/>
    <x v="0"/>
    <x v="1"/>
    <x v="11"/>
    <s v="O'Sullivan Manor Hill 2-Door Library in Brianna Oak"/>
    <x v="2716"/>
    <n v="2"/>
    <n v="-76.010000000000005"/>
    <x v="10"/>
    <x v="1"/>
  </r>
  <r>
    <n v="44886"/>
    <x v="27"/>
    <x v="0"/>
    <x v="0"/>
    <x v="1"/>
    <s v="Self-Adhesive Address Labels for Typewriters by Universal"/>
    <x v="2717"/>
    <n v="2"/>
    <n v="3.95"/>
    <x v="10"/>
    <x v="1"/>
  </r>
  <r>
    <n v="44886"/>
    <x v="27"/>
    <x v="0"/>
    <x v="2"/>
    <x v="16"/>
    <s v="Sharp 1540cs Digital Laser Copier"/>
    <x v="2567"/>
    <n v="1"/>
    <n v="165"/>
    <x v="10"/>
    <x v="1"/>
  </r>
  <r>
    <n v="44886"/>
    <x v="268"/>
    <x v="18"/>
    <x v="0"/>
    <x v="4"/>
    <s v="Crayola Anti Dust Chalk, 12/Pack"/>
    <x v="2205"/>
    <n v="6"/>
    <n v="4.91"/>
    <x v="10"/>
    <x v="1"/>
  </r>
  <r>
    <n v="44886"/>
    <x v="268"/>
    <x v="18"/>
    <x v="2"/>
    <x v="15"/>
    <s v="Ricoh - Ink Collector Unit for GX3000 Series Printers"/>
    <x v="2718"/>
    <n v="2"/>
    <n v="22.65"/>
    <x v="10"/>
    <x v="1"/>
  </r>
  <r>
    <n v="44886"/>
    <x v="268"/>
    <x v="18"/>
    <x v="0"/>
    <x v="12"/>
    <s v="Hoover Replacement Belts For Soft Guard &amp; Commercial Ltweight Upright Vacs, 2/Pk"/>
    <x v="738"/>
    <n v="5"/>
    <n v="5.14"/>
    <x v="10"/>
    <x v="1"/>
  </r>
  <r>
    <n v="44886"/>
    <x v="268"/>
    <x v="18"/>
    <x v="2"/>
    <x v="9"/>
    <s v="Imation Bio 2GB USBÂ Flash Drive ImationÂ Corp"/>
    <x v="2719"/>
    <n v="3"/>
    <n v="165.29"/>
    <x v="10"/>
    <x v="1"/>
  </r>
  <r>
    <n v="44886"/>
    <x v="673"/>
    <x v="12"/>
    <x v="0"/>
    <x v="12"/>
    <s v="Fellowes Command Center 5-outlet power strip"/>
    <x v="2720"/>
    <n v="6"/>
    <n v="28.49"/>
    <x v="10"/>
    <x v="1"/>
  </r>
  <r>
    <n v="44886"/>
    <x v="673"/>
    <x v="12"/>
    <x v="2"/>
    <x v="9"/>
    <s v="Belkin Standard 104 key USB Keyboard"/>
    <x v="47"/>
    <n v="2"/>
    <n v="-1.46"/>
    <x v="10"/>
    <x v="1"/>
  </r>
  <r>
    <n v="44886"/>
    <x v="673"/>
    <x v="12"/>
    <x v="0"/>
    <x v="1"/>
    <s v="Avery 506"/>
    <x v="356"/>
    <n v="5"/>
    <n v="5.37"/>
    <x v="10"/>
    <x v="1"/>
  </r>
  <r>
    <n v="44886"/>
    <x v="228"/>
    <x v="2"/>
    <x v="1"/>
    <x v="13"/>
    <s v="Bevis Oval Conference Table, Walnut"/>
    <x v="2721"/>
    <n v="8"/>
    <n v="-480.2"/>
    <x v="10"/>
    <x v="1"/>
  </r>
  <r>
    <n v="44886"/>
    <x v="228"/>
    <x v="2"/>
    <x v="2"/>
    <x v="6"/>
    <s v="Logitech B530 USBÂ HeadsetÂ -Â headsetÂ - Full size, Binaural"/>
    <x v="2722"/>
    <n v="5"/>
    <n v="-24.04"/>
    <x v="10"/>
    <x v="1"/>
  </r>
  <r>
    <n v="44886"/>
    <x v="653"/>
    <x v="0"/>
    <x v="0"/>
    <x v="4"/>
    <s v="Eldon Spacemaker Box, Quick-Snap Lid, Clear"/>
    <x v="373"/>
    <n v="2"/>
    <n v="0.73"/>
    <x v="10"/>
    <x v="1"/>
  </r>
  <r>
    <n v="44886"/>
    <x v="653"/>
    <x v="0"/>
    <x v="0"/>
    <x v="3"/>
    <s v="Storex DuraTech Recycled Plastic Frosted Binders"/>
    <x v="2723"/>
    <n v="2"/>
    <n v="-2.54"/>
    <x v="10"/>
    <x v="1"/>
  </r>
  <r>
    <n v="44886"/>
    <x v="653"/>
    <x v="0"/>
    <x v="0"/>
    <x v="12"/>
    <s v="Kensington 6 Outlet SmartSocket Surge Protector"/>
    <x v="522"/>
    <n v="3"/>
    <n v="-67.62"/>
    <x v="10"/>
    <x v="1"/>
  </r>
  <r>
    <n v="44886"/>
    <x v="653"/>
    <x v="0"/>
    <x v="0"/>
    <x v="3"/>
    <s v="Cardinal Hold-It CD Pocket"/>
    <x v="166"/>
    <n v="5"/>
    <n v="-13.17"/>
    <x v="10"/>
    <x v="1"/>
  </r>
  <r>
    <n v="44886"/>
    <x v="209"/>
    <x v="25"/>
    <x v="1"/>
    <x v="8"/>
    <s v="Executive Impressions 14&quot; Two-Color Numerals Wall Clock"/>
    <x v="2724"/>
    <n v="1"/>
    <n v="4.7699999999999996"/>
    <x v="10"/>
    <x v="1"/>
  </r>
  <r>
    <n v="44887"/>
    <x v="187"/>
    <x v="0"/>
    <x v="0"/>
    <x v="12"/>
    <s v="Holmes Replacement Filter for HEPA Air Cleaner, Very Large Room, HEPA Filter"/>
    <x v="2725"/>
    <n v="5"/>
    <n v="-123.86"/>
    <x v="10"/>
    <x v="1"/>
  </r>
  <r>
    <n v="44887"/>
    <x v="187"/>
    <x v="0"/>
    <x v="0"/>
    <x v="3"/>
    <s v="Storex DuraTech Recycled Plastic Frosted Binders"/>
    <x v="2726"/>
    <n v="3"/>
    <n v="-3.82"/>
    <x v="10"/>
    <x v="1"/>
  </r>
  <r>
    <n v="44887"/>
    <x v="576"/>
    <x v="2"/>
    <x v="0"/>
    <x v="3"/>
    <s v="GBC Durable Plastic Covers"/>
    <x v="2727"/>
    <n v="2"/>
    <n v="-9.2899999999999991"/>
    <x v="10"/>
    <x v="1"/>
  </r>
  <r>
    <n v="44887"/>
    <x v="690"/>
    <x v="0"/>
    <x v="1"/>
    <x v="13"/>
    <s v="Hon 2111 Invitation Series Straight Table"/>
    <x v="2728"/>
    <n v="2"/>
    <n v="-32.520000000000003"/>
    <x v="10"/>
    <x v="1"/>
  </r>
  <r>
    <n v="44887"/>
    <x v="539"/>
    <x v="32"/>
    <x v="0"/>
    <x v="0"/>
    <s v="Xerox 1970"/>
    <x v="98"/>
    <n v="3"/>
    <n v="7.02"/>
    <x v="10"/>
    <x v="1"/>
  </r>
  <r>
    <n v="44887"/>
    <x v="64"/>
    <x v="0"/>
    <x v="2"/>
    <x v="9"/>
    <s v="SanDisk Cruzer 8 GB USB Flash Drive"/>
    <x v="2729"/>
    <n v="4"/>
    <n v="-1.36"/>
    <x v="10"/>
    <x v="1"/>
  </r>
  <r>
    <n v="44887"/>
    <x v="387"/>
    <x v="15"/>
    <x v="0"/>
    <x v="3"/>
    <s v="Acco Pressboard Covers with Storage Hooks, 14 7/8&quot; x 11&quot;, Light Blue"/>
    <x v="797"/>
    <n v="2"/>
    <n v="-2.06"/>
    <x v="10"/>
    <x v="1"/>
  </r>
  <r>
    <n v="44887"/>
    <x v="387"/>
    <x v="15"/>
    <x v="0"/>
    <x v="7"/>
    <s v="Vinyl Coated Wire Paper Clips in Organizer Box, 800/Box"/>
    <x v="2730"/>
    <n v="6"/>
    <n v="18.600000000000001"/>
    <x v="10"/>
    <x v="1"/>
  </r>
  <r>
    <n v="44887"/>
    <x v="534"/>
    <x v="3"/>
    <x v="0"/>
    <x v="0"/>
    <s v="Xerox 1887"/>
    <x v="1956"/>
    <n v="2"/>
    <n v="18.21"/>
    <x v="10"/>
    <x v="1"/>
  </r>
  <r>
    <n v="44887"/>
    <x v="534"/>
    <x v="3"/>
    <x v="0"/>
    <x v="0"/>
    <s v="Xerox 1971"/>
    <x v="2731"/>
    <n v="10"/>
    <n v="19.260000000000002"/>
    <x v="10"/>
    <x v="1"/>
  </r>
  <r>
    <n v="44887"/>
    <x v="534"/>
    <x v="3"/>
    <x v="0"/>
    <x v="2"/>
    <s v="Personal Folder Holder, Ebony"/>
    <x v="2732"/>
    <n v="3"/>
    <n v="10.09"/>
    <x v="10"/>
    <x v="1"/>
  </r>
  <r>
    <n v="44887"/>
    <x v="248"/>
    <x v="16"/>
    <x v="2"/>
    <x v="15"/>
    <s v="Texas Instruments TI-34 Scientific Calculator"/>
    <x v="2733"/>
    <n v="3"/>
    <n v="-1.98"/>
    <x v="10"/>
    <x v="1"/>
  </r>
  <r>
    <n v="44887"/>
    <x v="198"/>
    <x v="32"/>
    <x v="0"/>
    <x v="4"/>
    <s v="Newell 341"/>
    <x v="2446"/>
    <n v="4"/>
    <n v="4.96"/>
    <x v="10"/>
    <x v="1"/>
  </r>
  <r>
    <n v="44887"/>
    <x v="198"/>
    <x v="32"/>
    <x v="0"/>
    <x v="0"/>
    <s v="Xerox 1936"/>
    <x v="2268"/>
    <n v="3"/>
    <n v="28.17"/>
    <x v="10"/>
    <x v="1"/>
  </r>
  <r>
    <n v="44888"/>
    <x v="668"/>
    <x v="0"/>
    <x v="0"/>
    <x v="0"/>
    <s v="Xerox 1915"/>
    <x v="602"/>
    <n v="4"/>
    <n v="117.43"/>
    <x v="10"/>
    <x v="1"/>
  </r>
  <r>
    <n v="44888"/>
    <x v="668"/>
    <x v="0"/>
    <x v="0"/>
    <x v="3"/>
    <s v="GBC Recycled Regency Composition Covers"/>
    <x v="2734"/>
    <n v="2"/>
    <n v="-40.65"/>
    <x v="10"/>
    <x v="1"/>
  </r>
  <r>
    <n v="44888"/>
    <x v="668"/>
    <x v="0"/>
    <x v="0"/>
    <x v="2"/>
    <s v="Tenex Personal Self-Stacking Standard File Box, Black/Gray"/>
    <x v="2735"/>
    <n v="2"/>
    <n v="2.37"/>
    <x v="10"/>
    <x v="1"/>
  </r>
  <r>
    <n v="44888"/>
    <x v="372"/>
    <x v="23"/>
    <x v="0"/>
    <x v="12"/>
    <s v="Sanyo Counter Height Refrigerator with Crisper, 3.6 Cubic Foot, Stainless Steel/Black"/>
    <x v="2736"/>
    <n v="8"/>
    <n v="735.03"/>
    <x v="10"/>
    <x v="1"/>
  </r>
  <r>
    <n v="44888"/>
    <x v="372"/>
    <x v="23"/>
    <x v="0"/>
    <x v="4"/>
    <s v="Newell 315"/>
    <x v="150"/>
    <n v="3"/>
    <n v="4.49"/>
    <x v="10"/>
    <x v="1"/>
  </r>
  <r>
    <n v="44888"/>
    <x v="517"/>
    <x v="7"/>
    <x v="2"/>
    <x v="6"/>
    <s v="Nortel Meridian M3904 Professional Digital phone"/>
    <x v="2235"/>
    <n v="2"/>
    <n v="89.31"/>
    <x v="10"/>
    <x v="1"/>
  </r>
  <r>
    <n v="44888"/>
    <x v="517"/>
    <x v="7"/>
    <x v="0"/>
    <x v="0"/>
    <s v="1/4 Fold Party Design Invitations &amp; White Envelopes, 24 8-1/2&quot; X 11&quot; Cards, 25 Env./Pack"/>
    <x v="2737"/>
    <n v="6"/>
    <n v="20.73"/>
    <x v="10"/>
    <x v="1"/>
  </r>
  <r>
    <n v="44888"/>
    <x v="517"/>
    <x v="7"/>
    <x v="0"/>
    <x v="4"/>
    <s v="Sanford Colorific Eraseable Coloring Pencils, 12 Count"/>
    <x v="342"/>
    <n v="4"/>
    <n v="5.64"/>
    <x v="10"/>
    <x v="1"/>
  </r>
  <r>
    <n v="44888"/>
    <x v="517"/>
    <x v="7"/>
    <x v="0"/>
    <x v="10"/>
    <s v="Staple envelope"/>
    <x v="2738"/>
    <n v="2"/>
    <n v="7.78"/>
    <x v="10"/>
    <x v="1"/>
  </r>
  <r>
    <n v="44888"/>
    <x v="517"/>
    <x v="7"/>
    <x v="0"/>
    <x v="0"/>
    <s v="Xerox 226"/>
    <x v="2167"/>
    <n v="6"/>
    <n v="18.66"/>
    <x v="10"/>
    <x v="1"/>
  </r>
  <r>
    <n v="44889"/>
    <x v="111"/>
    <x v="3"/>
    <x v="2"/>
    <x v="9"/>
    <s v="Verbatim 25 GB 6x Blu-ray Single Layer Recordable Disc, 3/Pack"/>
    <x v="51"/>
    <n v="2"/>
    <n v="6.15"/>
    <x v="10"/>
    <x v="1"/>
  </r>
  <r>
    <n v="44889"/>
    <x v="111"/>
    <x v="3"/>
    <x v="0"/>
    <x v="3"/>
    <s v="Acco PRESSTEX Data Binder with Storage Hooks, Dark Blue, 14 7/8&quot; X 11&quot;"/>
    <x v="2739"/>
    <n v="6"/>
    <n v="9.36"/>
    <x v="10"/>
    <x v="1"/>
  </r>
  <r>
    <n v="44889"/>
    <x v="111"/>
    <x v="3"/>
    <x v="0"/>
    <x v="0"/>
    <s v="Xerox 1943"/>
    <x v="1155"/>
    <n v="3"/>
    <n v="68.959999999999994"/>
    <x v="10"/>
    <x v="1"/>
  </r>
  <r>
    <n v="44889"/>
    <x v="111"/>
    <x v="3"/>
    <x v="1"/>
    <x v="8"/>
    <s v="Luxo Economy Swing Arm Lamp"/>
    <x v="2740"/>
    <n v="4"/>
    <n v="22.33"/>
    <x v="10"/>
    <x v="1"/>
  </r>
  <r>
    <n v="44889"/>
    <x v="0"/>
    <x v="3"/>
    <x v="0"/>
    <x v="0"/>
    <s v="Xerox 1919"/>
    <x v="2741"/>
    <n v="9"/>
    <n v="180.77"/>
    <x v="10"/>
    <x v="1"/>
  </r>
  <r>
    <n v="44889"/>
    <x v="0"/>
    <x v="3"/>
    <x v="0"/>
    <x v="4"/>
    <s v="Prang Colored Pencils"/>
    <x v="2742"/>
    <n v="5"/>
    <n v="6.62"/>
    <x v="10"/>
    <x v="1"/>
  </r>
  <r>
    <n v="44889"/>
    <x v="18"/>
    <x v="3"/>
    <x v="0"/>
    <x v="3"/>
    <s v="Avery Reinforcements for Hole-Punch Pages"/>
    <x v="599"/>
    <n v="2"/>
    <n v="0.99"/>
    <x v="10"/>
    <x v="1"/>
  </r>
  <r>
    <n v="44889"/>
    <x v="18"/>
    <x v="3"/>
    <x v="0"/>
    <x v="0"/>
    <s v="Xerox 225"/>
    <x v="5"/>
    <n v="3"/>
    <n v="9.33"/>
    <x v="10"/>
    <x v="1"/>
  </r>
  <r>
    <n v="44889"/>
    <x v="18"/>
    <x v="3"/>
    <x v="0"/>
    <x v="2"/>
    <s v="Fellowes Bankers Box Staxonsteel Drawer File/Stacking System"/>
    <x v="2743"/>
    <n v="7"/>
    <n v="54.58"/>
    <x v="10"/>
    <x v="1"/>
  </r>
  <r>
    <n v="44889"/>
    <x v="18"/>
    <x v="3"/>
    <x v="0"/>
    <x v="3"/>
    <s v="Avery Premier Heavy-Duty Binder with Round Locking Rings"/>
    <x v="2744"/>
    <n v="8"/>
    <n v="29.7"/>
    <x v="10"/>
    <x v="1"/>
  </r>
  <r>
    <n v="44890"/>
    <x v="394"/>
    <x v="25"/>
    <x v="0"/>
    <x v="4"/>
    <s v="Newell 349"/>
    <x v="342"/>
    <n v="5"/>
    <n v="1.48"/>
    <x v="10"/>
    <x v="1"/>
  </r>
  <r>
    <n v="44891"/>
    <x v="133"/>
    <x v="32"/>
    <x v="0"/>
    <x v="3"/>
    <s v="Pressboard Covers with Storage Hooks, 9 1/2&quot; x 11&quot;, Light Blue"/>
    <x v="57"/>
    <n v="3"/>
    <n v="6.92"/>
    <x v="10"/>
    <x v="1"/>
  </r>
  <r>
    <n v="44891"/>
    <x v="133"/>
    <x v="32"/>
    <x v="0"/>
    <x v="2"/>
    <s v="Tennsco Lockers, Sand"/>
    <x v="2745"/>
    <n v="5"/>
    <n v="25.18"/>
    <x v="10"/>
    <x v="1"/>
  </r>
  <r>
    <n v="44891"/>
    <x v="133"/>
    <x v="32"/>
    <x v="0"/>
    <x v="3"/>
    <s v="Aluminum Screw Posts"/>
    <x v="2746"/>
    <n v="4"/>
    <n v="30.52"/>
    <x v="10"/>
    <x v="1"/>
  </r>
  <r>
    <n v="44891"/>
    <x v="133"/>
    <x v="32"/>
    <x v="0"/>
    <x v="0"/>
    <s v="Loose Memo Sheets"/>
    <x v="1322"/>
    <n v="3"/>
    <n v="5.15"/>
    <x v="10"/>
    <x v="1"/>
  </r>
  <r>
    <n v="44891"/>
    <x v="572"/>
    <x v="15"/>
    <x v="1"/>
    <x v="8"/>
    <s v="Howard Miller 12-3/4 Diameter Accuwave DS  Wall Clock"/>
    <x v="2747"/>
    <n v="11"/>
    <n v="190.43"/>
    <x v="10"/>
    <x v="1"/>
  </r>
  <r>
    <n v="44891"/>
    <x v="400"/>
    <x v="24"/>
    <x v="2"/>
    <x v="16"/>
    <s v="Canon PC1080F Personal Copier"/>
    <x v="2748"/>
    <n v="1"/>
    <n v="234"/>
    <x v="10"/>
    <x v="1"/>
  </r>
  <r>
    <n v="44892"/>
    <x v="445"/>
    <x v="16"/>
    <x v="1"/>
    <x v="13"/>
    <s v="Hon Practical Foundations 30 x 60 Training Table, Light Gray/Charcoal"/>
    <x v="2749"/>
    <n v="3"/>
    <n v="-157.01"/>
    <x v="10"/>
    <x v="1"/>
  </r>
  <r>
    <n v="44892"/>
    <x v="445"/>
    <x v="16"/>
    <x v="2"/>
    <x v="9"/>
    <s v="Logitech Media Keyboard K200"/>
    <x v="473"/>
    <n v="3"/>
    <n v="-1.05"/>
    <x v="10"/>
    <x v="1"/>
  </r>
  <r>
    <n v="44892"/>
    <x v="101"/>
    <x v="3"/>
    <x v="1"/>
    <x v="5"/>
    <s v="Situations Contoured Folding Chairs, 4/Set"/>
    <x v="1687"/>
    <n v="5"/>
    <n v="17.75"/>
    <x v="10"/>
    <x v="1"/>
  </r>
  <r>
    <n v="44892"/>
    <x v="586"/>
    <x v="13"/>
    <x v="0"/>
    <x v="3"/>
    <s v="Zipper Ring Binder Pockets"/>
    <x v="274"/>
    <n v="2"/>
    <n v="3.06"/>
    <x v="10"/>
    <x v="1"/>
  </r>
  <r>
    <n v="44892"/>
    <x v="514"/>
    <x v="7"/>
    <x v="2"/>
    <x v="6"/>
    <s v="Apple EarPods with Remote and Mic"/>
    <x v="2750"/>
    <n v="3"/>
    <n v="23.51"/>
    <x v="10"/>
    <x v="1"/>
  </r>
  <r>
    <n v="44892"/>
    <x v="514"/>
    <x v="7"/>
    <x v="2"/>
    <x v="9"/>
    <s v="Perixx PERIBOARD-512B, Ergonomic Split Keyboard"/>
    <x v="2751"/>
    <n v="3"/>
    <n v="7.35"/>
    <x v="10"/>
    <x v="1"/>
  </r>
  <r>
    <n v="44892"/>
    <x v="617"/>
    <x v="20"/>
    <x v="0"/>
    <x v="4"/>
    <s v="Peel-Off China Markers"/>
    <x v="2245"/>
    <n v="3"/>
    <n v="12.51"/>
    <x v="10"/>
    <x v="1"/>
  </r>
  <r>
    <n v="44892"/>
    <x v="188"/>
    <x v="3"/>
    <x v="2"/>
    <x v="9"/>
    <s v="Sony 64GB Class 10 Micro SDHC R40 Memory Card"/>
    <x v="2752"/>
    <n v="3"/>
    <n v="22.67"/>
    <x v="10"/>
    <x v="1"/>
  </r>
  <r>
    <n v="44892"/>
    <x v="188"/>
    <x v="3"/>
    <x v="0"/>
    <x v="0"/>
    <s v="Snap-A-Way Black Print Carbonless Ruled Speed Letter, Triplicate"/>
    <x v="2753"/>
    <n v="3"/>
    <n v="53.5"/>
    <x v="10"/>
    <x v="1"/>
  </r>
  <r>
    <n v="44892"/>
    <x v="469"/>
    <x v="2"/>
    <x v="2"/>
    <x v="6"/>
    <s v="LG Exalt"/>
    <x v="2754"/>
    <n v="8"/>
    <n v="-162.22999999999999"/>
    <x v="10"/>
    <x v="1"/>
  </r>
  <r>
    <n v="44892"/>
    <x v="338"/>
    <x v="32"/>
    <x v="0"/>
    <x v="0"/>
    <s v="Xerox 1977"/>
    <x v="61"/>
    <n v="6"/>
    <n v="19.239999999999998"/>
    <x v="10"/>
    <x v="1"/>
  </r>
  <r>
    <n v="44892"/>
    <x v="338"/>
    <x v="32"/>
    <x v="0"/>
    <x v="0"/>
    <s v="Xerox 1884"/>
    <x v="2268"/>
    <n v="3"/>
    <n v="28.17"/>
    <x v="10"/>
    <x v="1"/>
  </r>
  <r>
    <n v="44892"/>
    <x v="338"/>
    <x v="32"/>
    <x v="2"/>
    <x v="9"/>
    <s v="Logitech G35 7.1-Channel Surround Sound Headset"/>
    <x v="2755"/>
    <n v="2"/>
    <n v="88.39"/>
    <x v="10"/>
    <x v="1"/>
  </r>
  <r>
    <n v="44892"/>
    <x v="338"/>
    <x v="32"/>
    <x v="1"/>
    <x v="11"/>
    <s v="Rush Hierlooms Collection 1&quot; Thick Stackable Bookcases"/>
    <x v="2756"/>
    <n v="1"/>
    <n v="32.49"/>
    <x v="10"/>
    <x v="1"/>
  </r>
  <r>
    <n v="44892"/>
    <x v="338"/>
    <x v="32"/>
    <x v="1"/>
    <x v="8"/>
    <s v="Tensor &quot;Hersey Kiss&quot; Styled Floor Lamp"/>
    <x v="2757"/>
    <n v="3"/>
    <n v="4.68"/>
    <x v="10"/>
    <x v="1"/>
  </r>
  <r>
    <n v="44892"/>
    <x v="338"/>
    <x v="32"/>
    <x v="0"/>
    <x v="0"/>
    <s v="Xerox 197"/>
    <x v="276"/>
    <n v="5"/>
    <n v="69.709999999999994"/>
    <x v="10"/>
    <x v="1"/>
  </r>
  <r>
    <n v="44892"/>
    <x v="338"/>
    <x v="32"/>
    <x v="1"/>
    <x v="13"/>
    <s v="Hon Non-Folding Utility Tables"/>
    <x v="2758"/>
    <n v="4"/>
    <n v="0"/>
    <x v="10"/>
    <x v="1"/>
  </r>
  <r>
    <n v="44893"/>
    <x v="696"/>
    <x v="1"/>
    <x v="1"/>
    <x v="8"/>
    <s v="Eldon 100 Class Desk Accessories"/>
    <x v="2759"/>
    <n v="9"/>
    <n v="-8.49"/>
    <x v="10"/>
    <x v="1"/>
  </r>
  <r>
    <n v="44893"/>
    <x v="696"/>
    <x v="1"/>
    <x v="0"/>
    <x v="2"/>
    <s v="Belkin 19&quot; Vented Equipment Shelf, Black"/>
    <x v="2066"/>
    <n v="2"/>
    <n v="-19.559999999999999"/>
    <x v="10"/>
    <x v="1"/>
  </r>
  <r>
    <n v="44893"/>
    <x v="696"/>
    <x v="1"/>
    <x v="0"/>
    <x v="2"/>
    <s v="Tenex Personal Project File with Scoop Front Design, Black"/>
    <x v="2760"/>
    <n v="5"/>
    <n v="4.04"/>
    <x v="10"/>
    <x v="1"/>
  </r>
  <r>
    <n v="44893"/>
    <x v="696"/>
    <x v="1"/>
    <x v="2"/>
    <x v="6"/>
    <s v="Logitech Mobile Speakerphone P710e -Â speaker phone"/>
    <x v="2761"/>
    <n v="6"/>
    <n v="56.69"/>
    <x v="10"/>
    <x v="1"/>
  </r>
  <r>
    <n v="44893"/>
    <x v="164"/>
    <x v="1"/>
    <x v="1"/>
    <x v="8"/>
    <s v="Eldon &quot;L&quot; Workstation Diamond Chairmat"/>
    <x v="2019"/>
    <n v="5"/>
    <n v="-182.35"/>
    <x v="10"/>
    <x v="1"/>
  </r>
  <r>
    <n v="44893"/>
    <x v="717"/>
    <x v="20"/>
    <x v="1"/>
    <x v="8"/>
    <s v="Tenex Contemporary Contur Chairmats for Low and Medium Pile Carpet, Computer, 39&quot; x 49&quot;"/>
    <x v="2762"/>
    <n v="3"/>
    <n v="64.52"/>
    <x v="10"/>
    <x v="1"/>
  </r>
  <r>
    <n v="44893"/>
    <x v="231"/>
    <x v="20"/>
    <x v="1"/>
    <x v="8"/>
    <s v="Executive Impressions 14&quot; Two-Color Numerals Wall Clock"/>
    <x v="2763"/>
    <n v="3"/>
    <n v="27.95"/>
    <x v="10"/>
    <x v="1"/>
  </r>
  <r>
    <n v="44893"/>
    <x v="231"/>
    <x v="20"/>
    <x v="0"/>
    <x v="10"/>
    <s v="Staple envelope"/>
    <x v="1278"/>
    <n v="8"/>
    <n v="29.25"/>
    <x v="10"/>
    <x v="1"/>
  </r>
  <r>
    <n v="44893"/>
    <x v="438"/>
    <x v="0"/>
    <x v="0"/>
    <x v="0"/>
    <s v="Xerox 1941"/>
    <x v="602"/>
    <n v="4"/>
    <n v="117.43"/>
    <x v="10"/>
    <x v="1"/>
  </r>
  <r>
    <n v="44893"/>
    <x v="415"/>
    <x v="31"/>
    <x v="0"/>
    <x v="4"/>
    <s v="BIC Brite Liner Highlighters"/>
    <x v="2030"/>
    <n v="2"/>
    <n v="3.48"/>
    <x v="10"/>
    <x v="1"/>
  </r>
  <r>
    <n v="44893"/>
    <x v="63"/>
    <x v="3"/>
    <x v="0"/>
    <x v="12"/>
    <s v="Holmes Visible Mist Ultrasonic Humidifier with 2.3-Gallon Output per Day, Replacement Filter"/>
    <x v="2764"/>
    <n v="4"/>
    <n v="15.4"/>
    <x v="10"/>
    <x v="1"/>
  </r>
  <r>
    <n v="44893"/>
    <x v="632"/>
    <x v="10"/>
    <x v="1"/>
    <x v="8"/>
    <s v="Seth Thomas 13 1/2&quot; Wall Clock"/>
    <x v="2765"/>
    <n v="5"/>
    <n v="9.7799999999999994"/>
    <x v="10"/>
    <x v="1"/>
  </r>
  <r>
    <n v="44893"/>
    <x v="632"/>
    <x v="10"/>
    <x v="0"/>
    <x v="7"/>
    <s v="Staples"/>
    <x v="2766"/>
    <n v="2"/>
    <n v="0.56000000000000005"/>
    <x v="10"/>
    <x v="1"/>
  </r>
  <r>
    <n v="44894"/>
    <x v="472"/>
    <x v="14"/>
    <x v="1"/>
    <x v="5"/>
    <s v="Global Manager's Adjustable Task Chair, Storm"/>
    <x v="2143"/>
    <n v="2"/>
    <n v="87.57"/>
    <x v="10"/>
    <x v="1"/>
  </r>
  <r>
    <n v="44894"/>
    <x v="472"/>
    <x v="14"/>
    <x v="0"/>
    <x v="12"/>
    <s v="Honeywell Enviracaire Portable HEPA Air Cleaner for up to 10 x 16 Room"/>
    <x v="2767"/>
    <n v="5"/>
    <n v="178.9"/>
    <x v="10"/>
    <x v="1"/>
  </r>
  <r>
    <n v="44894"/>
    <x v="472"/>
    <x v="14"/>
    <x v="0"/>
    <x v="2"/>
    <s v="Mini 13-1/2 Capacity Data Binder Rack, Pearl"/>
    <x v="2768"/>
    <n v="4"/>
    <n v="130.87"/>
    <x v="10"/>
    <x v="1"/>
  </r>
  <r>
    <n v="44894"/>
    <x v="472"/>
    <x v="14"/>
    <x v="0"/>
    <x v="4"/>
    <s v="BOSTON Model 1800 Electric Pencil Sharpeners, Putty/Woodgrain"/>
    <x v="2769"/>
    <n v="9"/>
    <n v="46.93"/>
    <x v="10"/>
    <x v="1"/>
  </r>
  <r>
    <n v="44894"/>
    <x v="478"/>
    <x v="14"/>
    <x v="0"/>
    <x v="0"/>
    <s v="Easy-staple paper"/>
    <x v="611"/>
    <n v="4"/>
    <n v="9.36"/>
    <x v="10"/>
    <x v="1"/>
  </r>
  <r>
    <n v="44894"/>
    <x v="478"/>
    <x v="14"/>
    <x v="1"/>
    <x v="5"/>
    <s v="Global High-Back Leather Tilter, Burgundy"/>
    <x v="2770"/>
    <n v="9"/>
    <n v="121.76"/>
    <x v="10"/>
    <x v="1"/>
  </r>
  <r>
    <n v="44894"/>
    <x v="630"/>
    <x v="0"/>
    <x v="2"/>
    <x v="9"/>
    <s v="Kingston Digital DataTraveler 16GB USB 2.0"/>
    <x v="2771"/>
    <n v="3"/>
    <n v="-0.27"/>
    <x v="10"/>
    <x v="1"/>
  </r>
  <r>
    <n v="44894"/>
    <x v="630"/>
    <x v="0"/>
    <x v="0"/>
    <x v="3"/>
    <s v="GBC Imprintable Covers"/>
    <x v="2772"/>
    <n v="4"/>
    <n v="-13.62"/>
    <x v="10"/>
    <x v="1"/>
  </r>
  <r>
    <n v="44894"/>
    <x v="1"/>
    <x v="3"/>
    <x v="0"/>
    <x v="3"/>
    <s v="Acco PRESSTEX Data Binder with Storage Hooks, Dark Blue, 14 7/8&quot; X 11&quot;"/>
    <x v="2773"/>
    <n v="1"/>
    <n v="1.56"/>
    <x v="10"/>
    <x v="1"/>
  </r>
  <r>
    <n v="44894"/>
    <x v="89"/>
    <x v="3"/>
    <x v="0"/>
    <x v="4"/>
    <s v="Boston Electric Pencil Sharpener, Model 1818, Charcoal Black"/>
    <x v="2051"/>
    <n v="2"/>
    <n v="15.76"/>
    <x v="10"/>
    <x v="1"/>
  </r>
  <r>
    <n v="44895"/>
    <x v="494"/>
    <x v="2"/>
    <x v="0"/>
    <x v="3"/>
    <s v="Fellowes PB200 Plastic Comb Binding Machine"/>
    <x v="2774"/>
    <n v="3"/>
    <n v="-122.39"/>
    <x v="10"/>
    <x v="1"/>
  </r>
  <r>
    <n v="44895"/>
    <x v="494"/>
    <x v="2"/>
    <x v="0"/>
    <x v="7"/>
    <s v="Revere Boxed Rubber Bands by Revere"/>
    <x v="2775"/>
    <n v="7"/>
    <n v="-2.38"/>
    <x v="10"/>
    <x v="1"/>
  </r>
  <r>
    <n v="44895"/>
    <x v="494"/>
    <x v="2"/>
    <x v="2"/>
    <x v="6"/>
    <s v="Motorla HX550 Universal Bluetooth Headset"/>
    <x v="2776"/>
    <n v="4"/>
    <n v="15.82"/>
    <x v="10"/>
    <x v="1"/>
  </r>
  <r>
    <n v="44895"/>
    <x v="35"/>
    <x v="0"/>
    <x v="0"/>
    <x v="3"/>
    <s v="GBC Instant Report Kit"/>
    <x v="2777"/>
    <n v="3"/>
    <n v="-5.82"/>
    <x v="10"/>
    <x v="1"/>
  </r>
  <r>
    <n v="44895"/>
    <x v="152"/>
    <x v="5"/>
    <x v="0"/>
    <x v="10"/>
    <s v="#10- 4 1/8&quot; x 9 1/2&quot; Recycled Envelopes"/>
    <x v="1649"/>
    <n v="2"/>
    <n v="8.2200000000000006"/>
    <x v="10"/>
    <x v="1"/>
  </r>
  <r>
    <n v="44895"/>
    <x v="152"/>
    <x v="5"/>
    <x v="0"/>
    <x v="10"/>
    <s v="Tyvek  Top-Opening Peel &amp; Seel  Envelopes, Gray"/>
    <x v="2778"/>
    <n v="2"/>
    <n v="32.35"/>
    <x v="10"/>
    <x v="1"/>
  </r>
  <r>
    <n v="44895"/>
    <x v="195"/>
    <x v="25"/>
    <x v="2"/>
    <x v="6"/>
    <s v="Avaya 4621SW VoIP phone"/>
    <x v="2779"/>
    <n v="3"/>
    <n v="19.97"/>
    <x v="10"/>
    <x v="1"/>
  </r>
  <r>
    <n v="44895"/>
    <x v="219"/>
    <x v="20"/>
    <x v="0"/>
    <x v="0"/>
    <s v="Avoid Verbal Orders Carbonless Minifold Book"/>
    <x v="2780"/>
    <n v="7"/>
    <n v="10.88"/>
    <x v="10"/>
    <x v="1"/>
  </r>
  <r>
    <n v="44895"/>
    <x v="219"/>
    <x v="20"/>
    <x v="1"/>
    <x v="11"/>
    <s v="Hon Metal Bookcases, Black"/>
    <x v="2781"/>
    <n v="12"/>
    <n v="42.59"/>
    <x v="10"/>
    <x v="1"/>
  </r>
  <r>
    <n v="44895"/>
    <x v="522"/>
    <x v="17"/>
    <x v="1"/>
    <x v="8"/>
    <s v="DAX Contemporary Wood Frame with Silver Metal Mat, Desktop, 11 x 14 Size"/>
    <x v="2690"/>
    <n v="4"/>
    <n v="29.15"/>
    <x v="10"/>
    <x v="1"/>
  </r>
  <r>
    <n v="44895"/>
    <x v="522"/>
    <x v="17"/>
    <x v="0"/>
    <x v="0"/>
    <s v="Xerox 1997"/>
    <x v="499"/>
    <n v="4"/>
    <n v="12.44"/>
    <x v="10"/>
    <x v="1"/>
  </r>
  <r>
    <n v="44895"/>
    <x v="518"/>
    <x v="25"/>
    <x v="1"/>
    <x v="8"/>
    <s v="Dana Swing-Arm Lamps"/>
    <x v="272"/>
    <n v="2"/>
    <n v="1.07"/>
    <x v="10"/>
    <x v="1"/>
  </r>
  <r>
    <n v="44895"/>
    <x v="336"/>
    <x v="25"/>
    <x v="0"/>
    <x v="3"/>
    <s v="Avery Durable Binders"/>
    <x v="218"/>
    <n v="7"/>
    <n v="-4.2300000000000004"/>
    <x v="10"/>
    <x v="1"/>
  </r>
  <r>
    <n v="44895"/>
    <x v="336"/>
    <x v="25"/>
    <x v="0"/>
    <x v="12"/>
    <s v="Belkin 8 Outlet Surge Protector"/>
    <x v="1159"/>
    <n v="3"/>
    <n v="9.84"/>
    <x v="10"/>
    <x v="1"/>
  </r>
  <r>
    <n v="44895"/>
    <x v="336"/>
    <x v="25"/>
    <x v="1"/>
    <x v="8"/>
    <s v="Luxo Professional Fluorescent Magnifier Lamp with Clamp-Mount Base"/>
    <x v="2782"/>
    <n v="2"/>
    <n v="25.18"/>
    <x v="10"/>
    <x v="1"/>
  </r>
  <r>
    <n v="44896"/>
    <x v="391"/>
    <x v="22"/>
    <x v="0"/>
    <x v="3"/>
    <s v="Wilson Jones Heavy-Duty Casebound Ring Binders with Metal Hinges"/>
    <x v="2783"/>
    <n v="2"/>
    <n v="19.399999999999999"/>
    <x v="11"/>
    <x v="1"/>
  </r>
  <r>
    <n v="44896"/>
    <x v="685"/>
    <x v="0"/>
    <x v="1"/>
    <x v="8"/>
    <s v="Eldon Image Series Desk Accessories, Burgundy"/>
    <x v="2784"/>
    <n v="4"/>
    <n v="-4.01"/>
    <x v="11"/>
    <x v="1"/>
  </r>
  <r>
    <n v="44896"/>
    <x v="165"/>
    <x v="22"/>
    <x v="0"/>
    <x v="4"/>
    <s v="Prang Drawing Pencil Set"/>
    <x v="670"/>
    <n v="5"/>
    <n v="5.56"/>
    <x v="11"/>
    <x v="1"/>
  </r>
  <r>
    <n v="44896"/>
    <x v="435"/>
    <x v="6"/>
    <x v="0"/>
    <x v="2"/>
    <s v="Decoflex Hanging Personal Folder File, Blue"/>
    <x v="2785"/>
    <n v="4"/>
    <n v="16.649999999999999"/>
    <x v="11"/>
    <x v="1"/>
  </r>
  <r>
    <n v="44896"/>
    <x v="435"/>
    <x v="6"/>
    <x v="0"/>
    <x v="3"/>
    <s v="GBC Pre-Punched Binding Paper, Plastic, White, 8-1/2&quot; x 11&quot;"/>
    <x v="2429"/>
    <n v="4"/>
    <n v="30.7"/>
    <x v="11"/>
    <x v="1"/>
  </r>
  <r>
    <n v="44896"/>
    <x v="581"/>
    <x v="22"/>
    <x v="1"/>
    <x v="5"/>
    <s v="Global Troy Executive Leather Low-Back Tilter"/>
    <x v="2403"/>
    <n v="5"/>
    <n v="125.25"/>
    <x v="11"/>
    <x v="1"/>
  </r>
  <r>
    <n v="44896"/>
    <x v="581"/>
    <x v="22"/>
    <x v="0"/>
    <x v="0"/>
    <s v="Xerox 219"/>
    <x v="331"/>
    <n v="5"/>
    <n v="15.55"/>
    <x v="11"/>
    <x v="1"/>
  </r>
  <r>
    <n v="44896"/>
    <x v="581"/>
    <x v="22"/>
    <x v="1"/>
    <x v="13"/>
    <s v="Bush Advantage Collection Round Conference Table"/>
    <x v="2786"/>
    <n v="9"/>
    <n v="401.81"/>
    <x v="11"/>
    <x v="1"/>
  </r>
  <r>
    <n v="44896"/>
    <x v="581"/>
    <x v="22"/>
    <x v="0"/>
    <x v="2"/>
    <s v="Tennsco Industrial Shelving"/>
    <x v="1155"/>
    <n v="3"/>
    <n v="2.93"/>
    <x v="11"/>
    <x v="1"/>
  </r>
  <r>
    <n v="44896"/>
    <x v="581"/>
    <x v="22"/>
    <x v="0"/>
    <x v="0"/>
    <s v="Xerox Color Copier Paper, 11&quot; x 17&quot;, Ream"/>
    <x v="809"/>
    <n v="5"/>
    <n v="52.53"/>
    <x v="11"/>
    <x v="1"/>
  </r>
  <r>
    <n v="44896"/>
    <x v="607"/>
    <x v="3"/>
    <x v="1"/>
    <x v="5"/>
    <s v="GuestStacker Chair with Chrome Finish Legs"/>
    <x v="2787"/>
    <n v="9"/>
    <n v="267.67"/>
    <x v="11"/>
    <x v="1"/>
  </r>
  <r>
    <n v="44896"/>
    <x v="338"/>
    <x v="14"/>
    <x v="0"/>
    <x v="0"/>
    <s v="Xerox 207"/>
    <x v="5"/>
    <n v="3"/>
    <n v="9.33"/>
    <x v="11"/>
    <x v="1"/>
  </r>
  <r>
    <n v="44896"/>
    <x v="338"/>
    <x v="14"/>
    <x v="0"/>
    <x v="4"/>
    <s v="Newell 307"/>
    <x v="2788"/>
    <n v="2"/>
    <n v="1.02"/>
    <x v="11"/>
    <x v="1"/>
  </r>
  <r>
    <n v="44896"/>
    <x v="338"/>
    <x v="14"/>
    <x v="0"/>
    <x v="0"/>
    <s v="Wirebound Message Books, Four 2 3/4&quot; x 5&quot; Forms per Page, 600 Sets per Book"/>
    <x v="2414"/>
    <n v="2"/>
    <n v="8.7100000000000009"/>
    <x v="11"/>
    <x v="1"/>
  </r>
  <r>
    <n v="44898"/>
    <x v="78"/>
    <x v="2"/>
    <x v="2"/>
    <x v="15"/>
    <s v="Lexmark MarkNet N8150 Wireless Print Server"/>
    <x v="2789"/>
    <n v="4"/>
    <n v="-337.64"/>
    <x v="11"/>
    <x v="1"/>
  </r>
  <r>
    <n v="44898"/>
    <x v="78"/>
    <x v="2"/>
    <x v="1"/>
    <x v="8"/>
    <s v="3M Hangers With Command Adhesive"/>
    <x v="2790"/>
    <n v="1"/>
    <n v="0.78"/>
    <x v="11"/>
    <x v="1"/>
  </r>
  <r>
    <n v="44898"/>
    <x v="114"/>
    <x v="20"/>
    <x v="0"/>
    <x v="3"/>
    <s v="Cardinal Poly Pocket Divider Pockets for Ring Binders"/>
    <x v="343"/>
    <n v="4"/>
    <n v="3.36"/>
    <x v="11"/>
    <x v="1"/>
  </r>
  <r>
    <n v="44898"/>
    <x v="314"/>
    <x v="2"/>
    <x v="0"/>
    <x v="0"/>
    <s v="Message Book, Wirebound, Four 5 1/2&quot; X 4&quot; Forms/Pg., 200 Dupl. Sets/Book"/>
    <x v="0"/>
    <n v="2"/>
    <n v="5.55"/>
    <x v="11"/>
    <x v="1"/>
  </r>
  <r>
    <n v="44898"/>
    <x v="314"/>
    <x v="2"/>
    <x v="2"/>
    <x v="9"/>
    <s v="Verbatim 25 GB 6x Blu-ray Single Layer Recordable Disc, 25/Pack"/>
    <x v="1960"/>
    <n v="2"/>
    <n v="10.58"/>
    <x v="11"/>
    <x v="1"/>
  </r>
  <r>
    <n v="44898"/>
    <x v="544"/>
    <x v="20"/>
    <x v="0"/>
    <x v="3"/>
    <s v="GBC Therma-A-Bind 250T Electric Binding System"/>
    <x v="2791"/>
    <n v="6"/>
    <n v="206.62"/>
    <x v="11"/>
    <x v="1"/>
  </r>
  <r>
    <n v="44898"/>
    <x v="517"/>
    <x v="3"/>
    <x v="1"/>
    <x v="11"/>
    <s v="Sauder Forest Hills Library, Woodland Oak Finish"/>
    <x v="2792"/>
    <n v="3"/>
    <n v="-29.61"/>
    <x v="11"/>
    <x v="1"/>
  </r>
  <r>
    <n v="44898"/>
    <x v="419"/>
    <x v="25"/>
    <x v="1"/>
    <x v="8"/>
    <s v="Seth Thomas 16&quot; Steel Case Clock"/>
    <x v="2793"/>
    <n v="3"/>
    <n v="12.67"/>
    <x v="11"/>
    <x v="1"/>
  </r>
  <r>
    <n v="44898"/>
    <x v="419"/>
    <x v="25"/>
    <x v="0"/>
    <x v="3"/>
    <s v="GBC DocuBind P50 Personal Binding Machine"/>
    <x v="574"/>
    <n v="5"/>
    <n v="-73.58"/>
    <x v="11"/>
    <x v="1"/>
  </r>
  <r>
    <n v="44898"/>
    <x v="419"/>
    <x v="25"/>
    <x v="2"/>
    <x v="6"/>
    <s v="Panasonic KX-TG6844B Expandable Digital Cordless Telephone"/>
    <x v="325"/>
    <n v="2"/>
    <n v="9.24"/>
    <x v="11"/>
    <x v="1"/>
  </r>
  <r>
    <n v="44898"/>
    <x v="419"/>
    <x v="25"/>
    <x v="0"/>
    <x v="4"/>
    <s v="Newell 312"/>
    <x v="16"/>
    <n v="2"/>
    <n v="1.17"/>
    <x v="11"/>
    <x v="1"/>
  </r>
  <r>
    <n v="44898"/>
    <x v="187"/>
    <x v="38"/>
    <x v="0"/>
    <x v="0"/>
    <s v="Xerox 1935"/>
    <x v="2794"/>
    <n v="7"/>
    <n v="84.94"/>
    <x v="11"/>
    <x v="1"/>
  </r>
  <r>
    <n v="44899"/>
    <x v="718"/>
    <x v="16"/>
    <x v="0"/>
    <x v="3"/>
    <s v="SpineVue Locking Slant-D Ring Binders by Cardinal"/>
    <x v="587"/>
    <n v="3"/>
    <n v="-6.03"/>
    <x v="11"/>
    <x v="1"/>
  </r>
  <r>
    <n v="44899"/>
    <x v="703"/>
    <x v="20"/>
    <x v="1"/>
    <x v="8"/>
    <s v="DAX Two-Tone Rosewood/Black Document Frame, Desktop, 5 x 7"/>
    <x v="2795"/>
    <n v="3"/>
    <n v="11.38"/>
    <x v="11"/>
    <x v="1"/>
  </r>
  <r>
    <n v="44899"/>
    <x v="703"/>
    <x v="20"/>
    <x v="1"/>
    <x v="5"/>
    <s v="Office Star - Ergonomically Designed Knee Chair"/>
    <x v="2796"/>
    <n v="5"/>
    <n v="8.1"/>
    <x v="11"/>
    <x v="1"/>
  </r>
  <r>
    <n v="44899"/>
    <x v="703"/>
    <x v="20"/>
    <x v="2"/>
    <x v="6"/>
    <s v="Square Credit Card Reader"/>
    <x v="418"/>
    <n v="4"/>
    <n v="10.39"/>
    <x v="11"/>
    <x v="1"/>
  </r>
  <r>
    <n v="44899"/>
    <x v="703"/>
    <x v="20"/>
    <x v="1"/>
    <x v="5"/>
    <s v="Global Leather Highback Executive Chair with Pneumatic Height Adjustment, Black"/>
    <x v="2797"/>
    <n v="2"/>
    <n v="68.33"/>
    <x v="11"/>
    <x v="1"/>
  </r>
  <r>
    <n v="44899"/>
    <x v="389"/>
    <x v="20"/>
    <x v="0"/>
    <x v="10"/>
    <s v="Wausau Papers Astrobrights Colored Envelopes"/>
    <x v="150"/>
    <n v="3"/>
    <n v="8.7899999999999991"/>
    <x v="11"/>
    <x v="1"/>
  </r>
  <r>
    <n v="44899"/>
    <x v="389"/>
    <x v="20"/>
    <x v="1"/>
    <x v="5"/>
    <s v="Global Armless Task Chair, Royal Blue"/>
    <x v="2798"/>
    <n v="7"/>
    <n v="29.88"/>
    <x v="11"/>
    <x v="1"/>
  </r>
  <r>
    <n v="44899"/>
    <x v="389"/>
    <x v="20"/>
    <x v="2"/>
    <x v="6"/>
    <s v="Wilson SignalBoost 841262 DB PRO Amplifier Kit"/>
    <x v="2799"/>
    <n v="5"/>
    <n v="539.92999999999995"/>
    <x v="11"/>
    <x v="1"/>
  </r>
  <r>
    <n v="44899"/>
    <x v="279"/>
    <x v="24"/>
    <x v="0"/>
    <x v="0"/>
    <s v="Xerox 1881"/>
    <x v="1425"/>
    <n v="7"/>
    <n v="40.4"/>
    <x v="11"/>
    <x v="1"/>
  </r>
  <r>
    <n v="44899"/>
    <x v="644"/>
    <x v="15"/>
    <x v="0"/>
    <x v="3"/>
    <s v="GBC Ibimaster 500 Manual ProClick Binding System"/>
    <x v="2800"/>
    <n v="7"/>
    <n v="-1065.3699999999999"/>
    <x v="11"/>
    <x v="1"/>
  </r>
  <r>
    <n v="44899"/>
    <x v="644"/>
    <x v="15"/>
    <x v="0"/>
    <x v="4"/>
    <s v="Deluxe Chalkboard Eraser Cleaner"/>
    <x v="2801"/>
    <n v="4"/>
    <n v="12.01"/>
    <x v="11"/>
    <x v="1"/>
  </r>
  <r>
    <n v="44899"/>
    <x v="312"/>
    <x v="3"/>
    <x v="0"/>
    <x v="10"/>
    <s v="Tyvek Side-Opening Peel &amp; Seel Expanding Envelopes"/>
    <x v="2802"/>
    <n v="3"/>
    <n v="122.15"/>
    <x v="11"/>
    <x v="1"/>
  </r>
  <r>
    <n v="44899"/>
    <x v="312"/>
    <x v="3"/>
    <x v="2"/>
    <x v="6"/>
    <s v="Jensen SMPS-640 -Â speaker phone"/>
    <x v="2803"/>
    <n v="3"/>
    <n v="8.2799999999999994"/>
    <x v="11"/>
    <x v="1"/>
  </r>
  <r>
    <n v="44899"/>
    <x v="312"/>
    <x v="3"/>
    <x v="1"/>
    <x v="8"/>
    <s v="Master Caster Door Stop, Large Brown"/>
    <x v="131"/>
    <n v="5"/>
    <n v="13.83"/>
    <x v="11"/>
    <x v="1"/>
  </r>
  <r>
    <n v="44899"/>
    <x v="501"/>
    <x v="3"/>
    <x v="0"/>
    <x v="4"/>
    <s v="Avery Hi-Liter Fluorescent Desk Style Markers"/>
    <x v="2411"/>
    <n v="5"/>
    <n v="6.25"/>
    <x v="11"/>
    <x v="1"/>
  </r>
  <r>
    <n v="44899"/>
    <x v="501"/>
    <x v="3"/>
    <x v="1"/>
    <x v="8"/>
    <s v="Eldon Image Series Desk Accessories, Burgundy"/>
    <x v="2804"/>
    <n v="6"/>
    <n v="9.0299999999999994"/>
    <x v="11"/>
    <x v="1"/>
  </r>
  <r>
    <n v="44900"/>
    <x v="719"/>
    <x v="3"/>
    <x v="1"/>
    <x v="8"/>
    <s v="Executive Impressions 14&quot; Contract Wall Clock"/>
    <x v="1519"/>
    <n v="2"/>
    <n v="14.67"/>
    <x v="11"/>
    <x v="1"/>
  </r>
  <r>
    <n v="44900"/>
    <x v="308"/>
    <x v="2"/>
    <x v="2"/>
    <x v="9"/>
    <s v="Belkin F8E887 USB Wired Ergonomic Keyboard"/>
    <x v="972"/>
    <n v="2"/>
    <n v="0.6"/>
    <x v="11"/>
    <x v="1"/>
  </r>
  <r>
    <n v="44900"/>
    <x v="308"/>
    <x v="2"/>
    <x v="0"/>
    <x v="3"/>
    <s v="GBC White Gloss Covers, Plain Front"/>
    <x v="2805"/>
    <n v="6"/>
    <n v="-19.98"/>
    <x v="11"/>
    <x v="1"/>
  </r>
  <r>
    <n v="44900"/>
    <x v="720"/>
    <x v="14"/>
    <x v="0"/>
    <x v="3"/>
    <s v="Surelock Post Binders"/>
    <x v="2806"/>
    <n v="5"/>
    <n v="76.400000000000006"/>
    <x v="11"/>
    <x v="1"/>
  </r>
  <r>
    <n v="44900"/>
    <x v="394"/>
    <x v="0"/>
    <x v="0"/>
    <x v="4"/>
    <s v="Boston Electric Pencil Sharpener, Model 1818, Charcoal Black"/>
    <x v="2807"/>
    <n v="2"/>
    <n v="4.5"/>
    <x v="11"/>
    <x v="1"/>
  </r>
  <r>
    <n v="44900"/>
    <x v="449"/>
    <x v="20"/>
    <x v="0"/>
    <x v="3"/>
    <s v="Avery Arch Ring Binders"/>
    <x v="2808"/>
    <n v="5"/>
    <n v="78.44"/>
    <x v="11"/>
    <x v="1"/>
  </r>
  <r>
    <n v="44900"/>
    <x v="449"/>
    <x v="20"/>
    <x v="1"/>
    <x v="5"/>
    <s v="Global Armless Task Chair, Royal Blue"/>
    <x v="2809"/>
    <n v="3"/>
    <n v="12.81"/>
    <x v="11"/>
    <x v="1"/>
  </r>
  <r>
    <n v="44900"/>
    <x v="449"/>
    <x v="20"/>
    <x v="0"/>
    <x v="0"/>
    <s v="Xerox 188"/>
    <x v="2810"/>
    <n v="2"/>
    <n v="11.11"/>
    <x v="11"/>
    <x v="1"/>
  </r>
  <r>
    <n v="44900"/>
    <x v="169"/>
    <x v="3"/>
    <x v="2"/>
    <x v="9"/>
    <s v="Memorex Micro Travel Drive 8 GB"/>
    <x v="2811"/>
    <n v="3"/>
    <n v="17.55"/>
    <x v="11"/>
    <x v="1"/>
  </r>
  <r>
    <n v="44900"/>
    <x v="169"/>
    <x v="3"/>
    <x v="0"/>
    <x v="1"/>
    <s v="Avery 488"/>
    <x v="370"/>
    <n v="4"/>
    <n v="6.05"/>
    <x v="11"/>
    <x v="1"/>
  </r>
  <r>
    <n v="44900"/>
    <x v="390"/>
    <x v="15"/>
    <x v="1"/>
    <x v="5"/>
    <s v="Global Push Button Manager's Chair, Indigo"/>
    <x v="2812"/>
    <n v="2"/>
    <n v="10.96"/>
    <x v="11"/>
    <x v="1"/>
  </r>
  <r>
    <n v="44900"/>
    <x v="560"/>
    <x v="1"/>
    <x v="0"/>
    <x v="10"/>
    <s v="Security-Tint Envelopes"/>
    <x v="2003"/>
    <n v="2"/>
    <n v="4.43"/>
    <x v="11"/>
    <x v="1"/>
  </r>
  <r>
    <n v="44901"/>
    <x v="201"/>
    <x v="3"/>
    <x v="0"/>
    <x v="4"/>
    <s v="Stanley Contemporary Battery Pencil Sharpeners"/>
    <x v="2813"/>
    <n v="9"/>
    <n v="33.64"/>
    <x v="11"/>
    <x v="1"/>
  </r>
  <r>
    <n v="44901"/>
    <x v="201"/>
    <x v="3"/>
    <x v="2"/>
    <x v="6"/>
    <s v="AT&amp;T 1080 Corded phone"/>
    <x v="2814"/>
    <n v="2"/>
    <n v="19.18"/>
    <x v="11"/>
    <x v="1"/>
  </r>
  <r>
    <n v="44901"/>
    <x v="682"/>
    <x v="0"/>
    <x v="0"/>
    <x v="3"/>
    <s v="Avery Reinforcements for Hole-Punch Pages"/>
    <x v="2815"/>
    <n v="7"/>
    <n v="-4.8499999999999996"/>
    <x v="11"/>
    <x v="1"/>
  </r>
  <r>
    <n v="44901"/>
    <x v="258"/>
    <x v="12"/>
    <x v="1"/>
    <x v="8"/>
    <s v="Howard Miller 13&quot; Diameter Pewter Finish Round Wall Clock"/>
    <x v="2816"/>
    <n v="6"/>
    <n v="48.95"/>
    <x v="11"/>
    <x v="1"/>
  </r>
  <r>
    <n v="44901"/>
    <x v="258"/>
    <x v="12"/>
    <x v="0"/>
    <x v="0"/>
    <s v="Xerox 1970"/>
    <x v="611"/>
    <n v="5"/>
    <n v="6.72"/>
    <x v="11"/>
    <x v="1"/>
  </r>
  <r>
    <n v="44901"/>
    <x v="258"/>
    <x v="12"/>
    <x v="0"/>
    <x v="0"/>
    <s v="Xerox 1960"/>
    <x v="1967"/>
    <n v="8"/>
    <n v="61.96"/>
    <x v="11"/>
    <x v="1"/>
  </r>
  <r>
    <n v="44901"/>
    <x v="258"/>
    <x v="12"/>
    <x v="0"/>
    <x v="2"/>
    <s v="Belkin 19&quot; Vented Equipment Shelf, Black"/>
    <x v="2817"/>
    <n v="6"/>
    <n v="-58.69"/>
    <x v="11"/>
    <x v="1"/>
  </r>
  <r>
    <n v="44901"/>
    <x v="258"/>
    <x v="12"/>
    <x v="0"/>
    <x v="4"/>
    <s v="BOSTON Model 1800 Electric Pencil Sharpeners, Putty/Woodgrain"/>
    <x v="2394"/>
    <n v="6"/>
    <n v="9.7100000000000009"/>
    <x v="11"/>
    <x v="1"/>
  </r>
  <r>
    <n v="44901"/>
    <x v="380"/>
    <x v="10"/>
    <x v="2"/>
    <x v="6"/>
    <s v="Polycom SoundStation2 EX ConferenceÂ phone"/>
    <x v="2818"/>
    <n v="2"/>
    <n v="-89.09"/>
    <x v="11"/>
    <x v="1"/>
  </r>
  <r>
    <n v="44901"/>
    <x v="380"/>
    <x v="10"/>
    <x v="0"/>
    <x v="4"/>
    <s v="Newell 312"/>
    <x v="2515"/>
    <n v="8"/>
    <n v="4.67"/>
    <x v="11"/>
    <x v="1"/>
  </r>
  <r>
    <n v="44901"/>
    <x v="380"/>
    <x v="10"/>
    <x v="1"/>
    <x v="5"/>
    <s v="Global Low Back Tilter Chair"/>
    <x v="2819"/>
    <n v="1"/>
    <n v="-24.24"/>
    <x v="11"/>
    <x v="1"/>
  </r>
  <r>
    <n v="44901"/>
    <x v="307"/>
    <x v="3"/>
    <x v="0"/>
    <x v="0"/>
    <s v="Message Book, Phone, Wirebound Standard Line Memo, 2 3/4&quot; X 5&quot;"/>
    <x v="2820"/>
    <n v="5"/>
    <n v="15.07"/>
    <x v="11"/>
    <x v="1"/>
  </r>
  <r>
    <n v="44901"/>
    <x v="25"/>
    <x v="20"/>
    <x v="0"/>
    <x v="0"/>
    <s v="Xerox 219"/>
    <x v="710"/>
    <n v="1"/>
    <n v="3.11"/>
    <x v="11"/>
    <x v="1"/>
  </r>
  <r>
    <n v="44901"/>
    <x v="25"/>
    <x v="20"/>
    <x v="0"/>
    <x v="0"/>
    <s v="Xerox 1903"/>
    <x v="2821"/>
    <n v="7"/>
    <n v="20.51"/>
    <x v="11"/>
    <x v="1"/>
  </r>
  <r>
    <n v="44901"/>
    <x v="25"/>
    <x v="20"/>
    <x v="2"/>
    <x v="9"/>
    <s v="LogitechÂ VX Revolution Cordless Laser Mouse for Notebooks (Black)"/>
    <x v="2822"/>
    <n v="9"/>
    <n v="97.19"/>
    <x v="11"/>
    <x v="1"/>
  </r>
  <r>
    <n v="44901"/>
    <x v="25"/>
    <x v="20"/>
    <x v="1"/>
    <x v="8"/>
    <s v="Seth Thomas 14&quot; Day/Date Wall Clock"/>
    <x v="2231"/>
    <n v="4"/>
    <n v="42.15"/>
    <x v="11"/>
    <x v="1"/>
  </r>
  <r>
    <n v="44901"/>
    <x v="70"/>
    <x v="18"/>
    <x v="2"/>
    <x v="16"/>
    <s v="Hewlett Packard 610 Color Digital Copier / Printer"/>
    <x v="2823"/>
    <n v="2"/>
    <n v="449.99"/>
    <x v="11"/>
    <x v="1"/>
  </r>
  <r>
    <n v="44901"/>
    <x v="325"/>
    <x v="17"/>
    <x v="0"/>
    <x v="0"/>
    <s v="Xerox 20"/>
    <x v="710"/>
    <n v="1"/>
    <n v="3.11"/>
    <x v="11"/>
    <x v="1"/>
  </r>
  <r>
    <n v="44901"/>
    <x v="325"/>
    <x v="17"/>
    <x v="0"/>
    <x v="2"/>
    <s v="Tennsco 6- and 18-Compartment Lockers"/>
    <x v="27"/>
    <n v="5"/>
    <n v="238.65"/>
    <x v="11"/>
    <x v="1"/>
  </r>
  <r>
    <n v="44901"/>
    <x v="325"/>
    <x v="17"/>
    <x v="0"/>
    <x v="1"/>
    <s v="Avery 483"/>
    <x v="98"/>
    <n v="3"/>
    <n v="6.87"/>
    <x v="11"/>
    <x v="1"/>
  </r>
  <r>
    <n v="44901"/>
    <x v="721"/>
    <x v="3"/>
    <x v="0"/>
    <x v="12"/>
    <s v="Commercial WindTunnel Clean Air Upright Vacuum, Replacement Belts, Filtration Bags"/>
    <x v="1296"/>
    <n v="2"/>
    <n v="2.02"/>
    <x v="11"/>
    <x v="1"/>
  </r>
  <r>
    <n v="44901"/>
    <x v="644"/>
    <x v="6"/>
    <x v="2"/>
    <x v="6"/>
    <s v="AT&amp;T CL82213"/>
    <x v="2824"/>
    <n v="6"/>
    <n v="50.44"/>
    <x v="11"/>
    <x v="1"/>
  </r>
  <r>
    <n v="44901"/>
    <x v="109"/>
    <x v="10"/>
    <x v="0"/>
    <x v="3"/>
    <s v="Ibico Standard Transparent Covers"/>
    <x v="2825"/>
    <n v="3"/>
    <n v="-10.38"/>
    <x v="11"/>
    <x v="1"/>
  </r>
  <r>
    <n v="44901"/>
    <x v="639"/>
    <x v="3"/>
    <x v="0"/>
    <x v="0"/>
    <s v="Spiral Phone Message Books with Labels by Adams"/>
    <x v="307"/>
    <n v="2"/>
    <n v="4.3899999999999997"/>
    <x v="11"/>
    <x v="1"/>
  </r>
  <r>
    <n v="44902"/>
    <x v="536"/>
    <x v="5"/>
    <x v="0"/>
    <x v="12"/>
    <s v="Eureka The Boss Cordless Rechargeable Stick Vac"/>
    <x v="2826"/>
    <n v="3"/>
    <n v="41.29"/>
    <x v="11"/>
    <x v="1"/>
  </r>
  <r>
    <n v="44902"/>
    <x v="536"/>
    <x v="5"/>
    <x v="1"/>
    <x v="5"/>
    <s v="Situations Contoured Folding Chairs, 4/Set"/>
    <x v="1687"/>
    <n v="4"/>
    <n v="70.98"/>
    <x v="11"/>
    <x v="1"/>
  </r>
  <r>
    <n v="44902"/>
    <x v="467"/>
    <x v="22"/>
    <x v="0"/>
    <x v="7"/>
    <s v="Alliance Big Bands Rubber Bands, 12/Pack"/>
    <x v="2530"/>
    <n v="2"/>
    <n v="0"/>
    <x v="11"/>
    <x v="1"/>
  </r>
  <r>
    <n v="44902"/>
    <x v="467"/>
    <x v="22"/>
    <x v="0"/>
    <x v="1"/>
    <s v="Avery 509"/>
    <x v="2827"/>
    <n v="1"/>
    <n v="1.2"/>
    <x v="11"/>
    <x v="1"/>
  </r>
  <r>
    <n v="44902"/>
    <x v="7"/>
    <x v="3"/>
    <x v="1"/>
    <x v="8"/>
    <s v="12-1/2 Diameter Round Wall Clock"/>
    <x v="2828"/>
    <n v="4"/>
    <n v="28.77"/>
    <x v="11"/>
    <x v="1"/>
  </r>
  <r>
    <n v="44902"/>
    <x v="545"/>
    <x v="20"/>
    <x v="0"/>
    <x v="3"/>
    <s v="Pressboard Data Binders by Wilson Jones"/>
    <x v="107"/>
    <n v="5"/>
    <n v="7.21"/>
    <x v="11"/>
    <x v="1"/>
  </r>
  <r>
    <n v="44902"/>
    <x v="545"/>
    <x v="20"/>
    <x v="0"/>
    <x v="3"/>
    <s v="Avery Durable Slant Ring Binders With Label Holder"/>
    <x v="2784"/>
    <n v="2"/>
    <n v="2.34"/>
    <x v="11"/>
    <x v="1"/>
  </r>
  <r>
    <n v="44902"/>
    <x v="545"/>
    <x v="20"/>
    <x v="2"/>
    <x v="6"/>
    <s v="Digium D40 VoIP phone"/>
    <x v="2829"/>
    <n v="6"/>
    <n v="224.44"/>
    <x v="11"/>
    <x v="1"/>
  </r>
  <r>
    <n v="44902"/>
    <x v="94"/>
    <x v="3"/>
    <x v="0"/>
    <x v="0"/>
    <s v="Xerox 218"/>
    <x v="115"/>
    <n v="2"/>
    <n v="6.22"/>
    <x v="11"/>
    <x v="1"/>
  </r>
  <r>
    <n v="44903"/>
    <x v="722"/>
    <x v="0"/>
    <x v="0"/>
    <x v="0"/>
    <s v="Xerox 1945"/>
    <x v="2830"/>
    <n v="11"/>
    <n v="130.76"/>
    <x v="11"/>
    <x v="1"/>
  </r>
  <r>
    <n v="44903"/>
    <x v="722"/>
    <x v="0"/>
    <x v="2"/>
    <x v="6"/>
    <s v="Wilson Electronics DB Pro Signal Booster"/>
    <x v="2831"/>
    <n v="6"/>
    <n v="150.36000000000001"/>
    <x v="11"/>
    <x v="1"/>
  </r>
  <r>
    <n v="44903"/>
    <x v="701"/>
    <x v="0"/>
    <x v="2"/>
    <x v="6"/>
    <s v="Nokia Lumia 521 (T-Mobile)"/>
    <x v="1446"/>
    <n v="5"/>
    <n v="12"/>
    <x v="11"/>
    <x v="1"/>
  </r>
  <r>
    <n v="44903"/>
    <x v="598"/>
    <x v="3"/>
    <x v="0"/>
    <x v="2"/>
    <s v="Stur-D-Stor Shelving, Vertical 5-Shelf: 72&quot;H x 36&quot;W x 18 1/2&quot;D"/>
    <x v="2832"/>
    <n v="2"/>
    <n v="4.4400000000000004"/>
    <x v="11"/>
    <x v="1"/>
  </r>
  <r>
    <n v="44903"/>
    <x v="598"/>
    <x v="3"/>
    <x v="2"/>
    <x v="9"/>
    <s v="WD My Passport Ultra 500GB Portable External Hard Drive"/>
    <x v="2833"/>
    <n v="4"/>
    <n v="40.119999999999997"/>
    <x v="11"/>
    <x v="1"/>
  </r>
  <r>
    <n v="44903"/>
    <x v="418"/>
    <x v="26"/>
    <x v="0"/>
    <x v="0"/>
    <s v="Southworth Parchment Paper &amp; Envelopes"/>
    <x v="1210"/>
    <n v="3"/>
    <n v="5.0999999999999996"/>
    <x v="11"/>
    <x v="1"/>
  </r>
  <r>
    <n v="44904"/>
    <x v="590"/>
    <x v="18"/>
    <x v="0"/>
    <x v="0"/>
    <s v="Xerox 188"/>
    <x v="2834"/>
    <n v="3"/>
    <n v="16.670000000000002"/>
    <x v="11"/>
    <x v="1"/>
  </r>
  <r>
    <n v="44905"/>
    <x v="435"/>
    <x v="14"/>
    <x v="0"/>
    <x v="4"/>
    <s v="Avery Hi-Liter Comfort Grip Fluorescent Highlighter, Yellow Ink"/>
    <x v="1281"/>
    <n v="2"/>
    <n v="1.52"/>
    <x v="11"/>
    <x v="1"/>
  </r>
  <r>
    <n v="44905"/>
    <x v="435"/>
    <x v="14"/>
    <x v="1"/>
    <x v="13"/>
    <s v="Bretford CR8500 Series Meeting Room Furniture"/>
    <x v="2387"/>
    <n v="2"/>
    <n v="200.49"/>
    <x v="11"/>
    <x v="1"/>
  </r>
  <r>
    <n v="44905"/>
    <x v="435"/>
    <x v="14"/>
    <x v="1"/>
    <x v="5"/>
    <s v="Global Super Steno Chair"/>
    <x v="1900"/>
    <n v="2"/>
    <n v="32.630000000000003"/>
    <x v="11"/>
    <x v="1"/>
  </r>
  <r>
    <n v="44905"/>
    <x v="435"/>
    <x v="14"/>
    <x v="0"/>
    <x v="1"/>
    <s v="Permanent Self-Adhesive File Folder Labels for Typewriters by Universal"/>
    <x v="2827"/>
    <n v="1"/>
    <n v="1.2"/>
    <x v="11"/>
    <x v="1"/>
  </r>
  <r>
    <n v="44905"/>
    <x v="580"/>
    <x v="4"/>
    <x v="0"/>
    <x v="4"/>
    <s v="Staples in misc. colors"/>
    <x v="2835"/>
    <n v="1"/>
    <n v="0.5"/>
    <x v="11"/>
    <x v="1"/>
  </r>
  <r>
    <n v="44905"/>
    <x v="580"/>
    <x v="4"/>
    <x v="0"/>
    <x v="0"/>
    <s v="Xerox 201"/>
    <x v="499"/>
    <n v="4"/>
    <n v="12.44"/>
    <x v="11"/>
    <x v="1"/>
  </r>
  <r>
    <n v="44905"/>
    <x v="580"/>
    <x v="4"/>
    <x v="2"/>
    <x v="9"/>
    <s v="Memorex 25GB 6X Branded Blu-Ray Recordable Disc, 15/Pack"/>
    <x v="2836"/>
    <n v="6"/>
    <n v="21.41"/>
    <x v="11"/>
    <x v="1"/>
  </r>
  <r>
    <n v="44905"/>
    <x v="338"/>
    <x v="20"/>
    <x v="0"/>
    <x v="1"/>
    <s v="Avery 486"/>
    <x v="1117"/>
    <n v="1"/>
    <n v="3.44"/>
    <x v="11"/>
    <x v="1"/>
  </r>
  <r>
    <n v="44905"/>
    <x v="338"/>
    <x v="20"/>
    <x v="2"/>
    <x v="16"/>
    <s v="Hewlett Packard 610 Color Digital Copier / Printer"/>
    <x v="2837"/>
    <n v="2"/>
    <n v="250"/>
    <x v="11"/>
    <x v="1"/>
  </r>
  <r>
    <n v="44905"/>
    <x v="338"/>
    <x v="20"/>
    <x v="0"/>
    <x v="0"/>
    <s v="Adams Phone Message Book, 200 Message Capacity, 8 1/16Â” x 11Â”"/>
    <x v="2838"/>
    <n v="6"/>
    <n v="18.989999999999998"/>
    <x v="11"/>
    <x v="1"/>
  </r>
  <r>
    <n v="44905"/>
    <x v="338"/>
    <x v="20"/>
    <x v="0"/>
    <x v="0"/>
    <s v="Xerox 1883"/>
    <x v="2794"/>
    <n v="7"/>
    <n v="84.94"/>
    <x v="11"/>
    <x v="1"/>
  </r>
  <r>
    <n v="44905"/>
    <x v="666"/>
    <x v="36"/>
    <x v="0"/>
    <x v="4"/>
    <s v="Manco Dry-Lighter Erasable Highlighter"/>
    <x v="680"/>
    <n v="9"/>
    <n v="9.3000000000000007"/>
    <x v="11"/>
    <x v="1"/>
  </r>
  <r>
    <n v="44905"/>
    <x v="666"/>
    <x v="36"/>
    <x v="0"/>
    <x v="0"/>
    <s v="Recycled Desk Saver Line &quot;While You Were Out&quot; Book, 5 1/2&quot; X 4&quot;"/>
    <x v="2839"/>
    <n v="5"/>
    <n v="20.59"/>
    <x v="11"/>
    <x v="1"/>
  </r>
  <r>
    <n v="44905"/>
    <x v="666"/>
    <x v="36"/>
    <x v="2"/>
    <x v="6"/>
    <s v="Cisco 8x8 Inc. 6753i IP Business Phone System"/>
    <x v="2840"/>
    <n v="1"/>
    <n v="36.450000000000003"/>
    <x v="11"/>
    <x v="1"/>
  </r>
  <r>
    <n v="44905"/>
    <x v="666"/>
    <x v="36"/>
    <x v="0"/>
    <x v="0"/>
    <s v="Astroparche Fine Business Paper"/>
    <x v="2183"/>
    <n v="5"/>
    <n v="12.67"/>
    <x v="11"/>
    <x v="1"/>
  </r>
  <r>
    <n v="44905"/>
    <x v="666"/>
    <x v="36"/>
    <x v="1"/>
    <x v="5"/>
    <s v="Global Ergonomic Managers Chair"/>
    <x v="2277"/>
    <n v="3"/>
    <n v="141.16"/>
    <x v="11"/>
    <x v="1"/>
  </r>
  <r>
    <n v="44905"/>
    <x v="658"/>
    <x v="3"/>
    <x v="0"/>
    <x v="4"/>
    <s v="Boston Electric Pencil Sharpener, Model 1818, Charcoal Black"/>
    <x v="2051"/>
    <n v="2"/>
    <n v="15.76"/>
    <x v="11"/>
    <x v="1"/>
  </r>
  <r>
    <n v="44905"/>
    <x v="621"/>
    <x v="1"/>
    <x v="0"/>
    <x v="12"/>
    <s v="3M Replacement Filter for Office Air Cleaner for 20' x 33' Room"/>
    <x v="2841"/>
    <n v="7"/>
    <n v="-108.83"/>
    <x v="11"/>
    <x v="1"/>
  </r>
  <r>
    <n v="44905"/>
    <x v="711"/>
    <x v="3"/>
    <x v="0"/>
    <x v="1"/>
    <s v="Avery File Folder Labels"/>
    <x v="1235"/>
    <n v="2"/>
    <n v="2.82"/>
    <x v="11"/>
    <x v="1"/>
  </r>
  <r>
    <n v="44905"/>
    <x v="371"/>
    <x v="10"/>
    <x v="2"/>
    <x v="9"/>
    <s v="Maxell 4.7GB DVD-RW 3/Pack"/>
    <x v="1836"/>
    <n v="2"/>
    <n v="4.46"/>
    <x v="11"/>
    <x v="1"/>
  </r>
  <r>
    <n v="44906"/>
    <x v="661"/>
    <x v="6"/>
    <x v="0"/>
    <x v="1"/>
    <s v="Dot Matrix Printer Tape Reel Labels, White, 5000/Box"/>
    <x v="1398"/>
    <n v="2"/>
    <n v="96.34"/>
    <x v="11"/>
    <x v="1"/>
  </r>
  <r>
    <n v="44906"/>
    <x v="723"/>
    <x v="0"/>
    <x v="2"/>
    <x v="9"/>
    <s v="Logitech Wireless Performance Mouse MX for PC and Mac"/>
    <x v="281"/>
    <n v="2"/>
    <n v="36"/>
    <x v="11"/>
    <x v="1"/>
  </r>
  <r>
    <n v="44906"/>
    <x v="723"/>
    <x v="0"/>
    <x v="0"/>
    <x v="2"/>
    <s v="Eldon ProFile File 'N Store Portable File Tub Letter/Legal Size Black"/>
    <x v="2842"/>
    <n v="3"/>
    <n v="4.63"/>
    <x v="11"/>
    <x v="1"/>
  </r>
  <r>
    <n v="44906"/>
    <x v="258"/>
    <x v="16"/>
    <x v="0"/>
    <x v="3"/>
    <s v="Acco D-Ring Binder w/DublLock"/>
    <x v="1845"/>
    <n v="2"/>
    <n v="-8.98"/>
    <x v="11"/>
    <x v="1"/>
  </r>
  <r>
    <n v="44906"/>
    <x v="576"/>
    <x v="26"/>
    <x v="0"/>
    <x v="4"/>
    <s v="Newell 313"/>
    <x v="342"/>
    <n v="5"/>
    <n v="1.1499999999999999"/>
    <x v="11"/>
    <x v="1"/>
  </r>
  <r>
    <n v="44906"/>
    <x v="576"/>
    <x v="26"/>
    <x v="1"/>
    <x v="11"/>
    <s v="Bush Westfield Collection Bookcases, Dark Cherry Finish"/>
    <x v="2843"/>
    <n v="4"/>
    <n v="-143.79"/>
    <x v="11"/>
    <x v="1"/>
  </r>
  <r>
    <n v="44906"/>
    <x v="576"/>
    <x v="26"/>
    <x v="0"/>
    <x v="4"/>
    <s v="Newell 326"/>
    <x v="829"/>
    <n v="3"/>
    <n v="0.48"/>
    <x v="11"/>
    <x v="1"/>
  </r>
  <r>
    <n v="44906"/>
    <x v="576"/>
    <x v="26"/>
    <x v="2"/>
    <x v="9"/>
    <s v="Logitech Keyboard K120"/>
    <x v="2844"/>
    <n v="4"/>
    <n v="-6.53"/>
    <x v="11"/>
    <x v="1"/>
  </r>
  <r>
    <n v="44906"/>
    <x v="576"/>
    <x v="26"/>
    <x v="1"/>
    <x v="8"/>
    <s v="Master Caster Door Stop, Large Neon Orange"/>
    <x v="2845"/>
    <n v="9"/>
    <n v="15.07"/>
    <x v="11"/>
    <x v="1"/>
  </r>
  <r>
    <n v="44906"/>
    <x v="576"/>
    <x v="26"/>
    <x v="1"/>
    <x v="8"/>
    <s v="DAX Wood Document Frame"/>
    <x v="2846"/>
    <n v="5"/>
    <n v="10.98"/>
    <x v="11"/>
    <x v="1"/>
  </r>
  <r>
    <n v="44906"/>
    <x v="576"/>
    <x v="26"/>
    <x v="1"/>
    <x v="13"/>
    <s v="Bevis Rectangular Conference Tables"/>
    <x v="2847"/>
    <n v="5"/>
    <n v="-248.17"/>
    <x v="11"/>
    <x v="1"/>
  </r>
  <r>
    <n v="44906"/>
    <x v="576"/>
    <x v="26"/>
    <x v="0"/>
    <x v="0"/>
    <s v="Xerox 1932"/>
    <x v="2016"/>
    <n v="3"/>
    <n v="28.71"/>
    <x v="11"/>
    <x v="1"/>
  </r>
  <r>
    <n v="44906"/>
    <x v="576"/>
    <x v="26"/>
    <x v="0"/>
    <x v="0"/>
    <s v="Avery Personal Creations Heavyweight Cards"/>
    <x v="2533"/>
    <n v="3"/>
    <n v="9.69"/>
    <x v="11"/>
    <x v="1"/>
  </r>
  <r>
    <n v="44906"/>
    <x v="164"/>
    <x v="10"/>
    <x v="0"/>
    <x v="3"/>
    <s v="GBC Plasticlear Binding Covers"/>
    <x v="450"/>
    <n v="3"/>
    <n v="-7.58"/>
    <x v="11"/>
    <x v="1"/>
  </r>
  <r>
    <n v="44906"/>
    <x v="412"/>
    <x v="3"/>
    <x v="0"/>
    <x v="3"/>
    <s v="GBC Recycled Grain Textured Covers"/>
    <x v="2848"/>
    <n v="4"/>
    <n v="38.68"/>
    <x v="11"/>
    <x v="1"/>
  </r>
  <r>
    <n v="44906"/>
    <x v="273"/>
    <x v="14"/>
    <x v="2"/>
    <x v="9"/>
    <s v="Maxell 4.7GB DVD+RW 3/Pack"/>
    <x v="2849"/>
    <n v="11"/>
    <n v="61.33"/>
    <x v="11"/>
    <x v="1"/>
  </r>
  <r>
    <n v="44906"/>
    <x v="273"/>
    <x v="14"/>
    <x v="2"/>
    <x v="6"/>
    <s v="BlackBerry Q10"/>
    <x v="2850"/>
    <n v="1"/>
    <n v="31.5"/>
    <x v="11"/>
    <x v="1"/>
  </r>
  <r>
    <n v="44906"/>
    <x v="273"/>
    <x v="14"/>
    <x v="0"/>
    <x v="3"/>
    <s v="Ibico Covers for Plastic or Wire Binding Elements"/>
    <x v="2851"/>
    <n v="2"/>
    <n v="10.35"/>
    <x v="11"/>
    <x v="1"/>
  </r>
  <r>
    <n v="44907"/>
    <x v="235"/>
    <x v="3"/>
    <x v="1"/>
    <x v="5"/>
    <s v="Lifetime Advantage Folding Chairs, 4/Carton"/>
    <x v="2852"/>
    <n v="2"/>
    <n v="34.89"/>
    <x v="11"/>
    <x v="1"/>
  </r>
  <r>
    <n v="44907"/>
    <x v="380"/>
    <x v="3"/>
    <x v="0"/>
    <x v="7"/>
    <s v="Staples"/>
    <x v="1230"/>
    <n v="2"/>
    <n v="3.62"/>
    <x v="11"/>
    <x v="1"/>
  </r>
  <r>
    <n v="44907"/>
    <x v="380"/>
    <x v="3"/>
    <x v="0"/>
    <x v="3"/>
    <s v="Recycled Premium Regency Composition Covers"/>
    <x v="2417"/>
    <n v="2"/>
    <n v="8.86"/>
    <x v="11"/>
    <x v="1"/>
  </r>
  <r>
    <n v="44907"/>
    <x v="699"/>
    <x v="36"/>
    <x v="0"/>
    <x v="4"/>
    <s v="Rogers Handheld Barrel Pencil Sharpener"/>
    <x v="2853"/>
    <n v="3"/>
    <n v="2.2200000000000002"/>
    <x v="11"/>
    <x v="1"/>
  </r>
  <r>
    <n v="44907"/>
    <x v="557"/>
    <x v="0"/>
    <x v="2"/>
    <x v="9"/>
    <s v="AmazonBasics 3-Button USB Wired Mouse"/>
    <x v="1998"/>
    <n v="4"/>
    <n v="6.43"/>
    <x v="11"/>
    <x v="1"/>
  </r>
  <r>
    <n v="44907"/>
    <x v="21"/>
    <x v="3"/>
    <x v="0"/>
    <x v="4"/>
    <s v="Newell 311"/>
    <x v="2854"/>
    <n v="1"/>
    <n v="0.6"/>
    <x v="11"/>
    <x v="1"/>
  </r>
  <r>
    <n v="44907"/>
    <x v="21"/>
    <x v="3"/>
    <x v="0"/>
    <x v="10"/>
    <s v="Peel &amp; Seel Envelopes"/>
    <x v="711"/>
    <n v="4"/>
    <n v="7.45"/>
    <x v="11"/>
    <x v="1"/>
  </r>
  <r>
    <n v="44907"/>
    <x v="21"/>
    <x v="3"/>
    <x v="0"/>
    <x v="0"/>
    <s v="Black Print Carbonless Snap-Off Rapid Letter, 8 1/2&quot; x 7&quot;"/>
    <x v="73"/>
    <n v="4"/>
    <n v="16.399999999999999"/>
    <x v="11"/>
    <x v="1"/>
  </r>
  <r>
    <n v="44907"/>
    <x v="276"/>
    <x v="3"/>
    <x v="1"/>
    <x v="8"/>
    <s v="Eldon Cleatmat Chair Mats for Medium Pile Carpets"/>
    <x v="2855"/>
    <n v="3"/>
    <n v="21.65"/>
    <x v="11"/>
    <x v="1"/>
  </r>
  <r>
    <n v="44907"/>
    <x v="276"/>
    <x v="3"/>
    <x v="0"/>
    <x v="2"/>
    <s v="Standard Rollaway File with Lock"/>
    <x v="2856"/>
    <n v="2"/>
    <n v="93.7"/>
    <x v="11"/>
    <x v="1"/>
  </r>
  <r>
    <n v="44907"/>
    <x v="104"/>
    <x v="17"/>
    <x v="0"/>
    <x v="0"/>
    <s v="Xerox 1930"/>
    <x v="331"/>
    <n v="5"/>
    <n v="15.88"/>
    <x v="11"/>
    <x v="1"/>
  </r>
  <r>
    <n v="44907"/>
    <x v="104"/>
    <x v="17"/>
    <x v="0"/>
    <x v="0"/>
    <s v="Xerox 1916"/>
    <x v="2279"/>
    <n v="2"/>
    <n v="48.94"/>
    <x v="11"/>
    <x v="1"/>
  </r>
  <r>
    <n v="44907"/>
    <x v="502"/>
    <x v="3"/>
    <x v="2"/>
    <x v="9"/>
    <s v="Logitech Wireless Marathon Mouse M705"/>
    <x v="2857"/>
    <n v="6"/>
    <n v="128.97"/>
    <x v="11"/>
    <x v="1"/>
  </r>
  <r>
    <n v="44907"/>
    <x v="502"/>
    <x v="3"/>
    <x v="0"/>
    <x v="14"/>
    <s v="Staple remover"/>
    <x v="2858"/>
    <n v="7"/>
    <n v="0.52"/>
    <x v="11"/>
    <x v="1"/>
  </r>
  <r>
    <n v="44908"/>
    <x v="468"/>
    <x v="3"/>
    <x v="0"/>
    <x v="0"/>
    <s v="Xerox 213"/>
    <x v="115"/>
    <n v="2"/>
    <n v="6.22"/>
    <x v="11"/>
    <x v="1"/>
  </r>
  <r>
    <n v="44908"/>
    <x v="468"/>
    <x v="3"/>
    <x v="0"/>
    <x v="12"/>
    <s v="Fellowes 8 Outlet Superior Workstation Surge Protector w/o Phone/Fax/Modem Protection"/>
    <x v="2859"/>
    <n v="4"/>
    <n v="34.96"/>
    <x v="11"/>
    <x v="1"/>
  </r>
  <r>
    <n v="44908"/>
    <x v="550"/>
    <x v="3"/>
    <x v="0"/>
    <x v="1"/>
    <s v="Avery 513"/>
    <x v="967"/>
    <n v="2"/>
    <n v="4.58"/>
    <x v="11"/>
    <x v="1"/>
  </r>
  <r>
    <n v="44908"/>
    <x v="122"/>
    <x v="3"/>
    <x v="2"/>
    <x v="6"/>
    <s v="Plantronics Voyager Pro Legend"/>
    <x v="2860"/>
    <n v="3"/>
    <n v="49.44"/>
    <x v="11"/>
    <x v="1"/>
  </r>
  <r>
    <n v="44908"/>
    <x v="122"/>
    <x v="3"/>
    <x v="0"/>
    <x v="3"/>
    <s v="Angle-D Binders with Locking Rings, Label Holders"/>
    <x v="2861"/>
    <n v="5"/>
    <n v="9.86"/>
    <x v="11"/>
    <x v="1"/>
  </r>
  <r>
    <n v="44908"/>
    <x v="122"/>
    <x v="3"/>
    <x v="2"/>
    <x v="9"/>
    <s v="Logitech K350 2.4Ghz Wireless Keyboard"/>
    <x v="2862"/>
    <n v="5"/>
    <n v="27.37"/>
    <x v="11"/>
    <x v="1"/>
  </r>
  <r>
    <n v="44908"/>
    <x v="122"/>
    <x v="3"/>
    <x v="2"/>
    <x v="9"/>
    <s v="Memorex Mini Travel Drive 64 GB USB 2.0 Flash Drive"/>
    <x v="2863"/>
    <n v="1"/>
    <n v="15.22"/>
    <x v="11"/>
    <x v="1"/>
  </r>
  <r>
    <n v="44908"/>
    <x v="222"/>
    <x v="32"/>
    <x v="0"/>
    <x v="0"/>
    <s v="Xerox 222"/>
    <x v="5"/>
    <n v="3"/>
    <n v="9.33"/>
    <x v="11"/>
    <x v="1"/>
  </r>
  <r>
    <n v="44908"/>
    <x v="222"/>
    <x v="32"/>
    <x v="0"/>
    <x v="3"/>
    <s v="Flexible Leather- Look Classic Collection Ring Binder"/>
    <x v="2864"/>
    <n v="2"/>
    <n v="18.940000000000001"/>
    <x v="11"/>
    <x v="1"/>
  </r>
  <r>
    <n v="44909"/>
    <x v="22"/>
    <x v="4"/>
    <x v="0"/>
    <x v="3"/>
    <s v="3-ring staple pack"/>
    <x v="572"/>
    <n v="2"/>
    <n v="1.8"/>
    <x v="11"/>
    <x v="1"/>
  </r>
  <r>
    <n v="44909"/>
    <x v="724"/>
    <x v="11"/>
    <x v="2"/>
    <x v="6"/>
    <s v="HTC One"/>
    <x v="1160"/>
    <n v="4"/>
    <n v="36"/>
    <x v="11"/>
    <x v="1"/>
  </r>
  <r>
    <n v="44909"/>
    <x v="247"/>
    <x v="3"/>
    <x v="0"/>
    <x v="3"/>
    <s v="Wilson Jones Standard D-Ring Binders"/>
    <x v="2865"/>
    <n v="2"/>
    <n v="2.73"/>
    <x v="11"/>
    <x v="1"/>
  </r>
  <r>
    <n v="44909"/>
    <x v="435"/>
    <x v="29"/>
    <x v="1"/>
    <x v="8"/>
    <s v="Stackable Trays"/>
    <x v="1059"/>
    <n v="2"/>
    <n v="1.97"/>
    <x v="11"/>
    <x v="1"/>
  </r>
  <r>
    <n v="44909"/>
    <x v="435"/>
    <x v="29"/>
    <x v="0"/>
    <x v="4"/>
    <s v="Boston Electric Pencil Sharpener, Model 1818, Charcoal Black"/>
    <x v="2051"/>
    <n v="2"/>
    <n v="15.76"/>
    <x v="11"/>
    <x v="1"/>
  </r>
  <r>
    <n v="44909"/>
    <x v="367"/>
    <x v="3"/>
    <x v="1"/>
    <x v="8"/>
    <s v="Master Caster Door Stop, Gray"/>
    <x v="1068"/>
    <n v="3"/>
    <n v="5.18"/>
    <x v="11"/>
    <x v="1"/>
  </r>
  <r>
    <n v="44909"/>
    <x v="281"/>
    <x v="3"/>
    <x v="1"/>
    <x v="8"/>
    <s v="Staple-based wall hangings"/>
    <x v="2644"/>
    <n v="3"/>
    <n v="12.86"/>
    <x v="11"/>
    <x v="1"/>
  </r>
  <r>
    <n v="44909"/>
    <x v="63"/>
    <x v="3"/>
    <x v="2"/>
    <x v="9"/>
    <s v="Micro Innovations USB RF Wireless Keyboard with Mouse"/>
    <x v="2473"/>
    <n v="2"/>
    <n v="10.5"/>
    <x v="11"/>
    <x v="1"/>
  </r>
  <r>
    <n v="44909"/>
    <x v="504"/>
    <x v="3"/>
    <x v="0"/>
    <x v="3"/>
    <s v="Ibico Recycled Grain-Textured Covers"/>
    <x v="2866"/>
    <n v="2"/>
    <n v="20.72"/>
    <x v="11"/>
    <x v="1"/>
  </r>
  <r>
    <n v="44909"/>
    <x v="504"/>
    <x v="3"/>
    <x v="0"/>
    <x v="0"/>
    <s v="Xerox 23"/>
    <x v="710"/>
    <n v="1"/>
    <n v="3.11"/>
    <x v="11"/>
    <x v="1"/>
  </r>
  <r>
    <n v="44909"/>
    <x v="504"/>
    <x v="3"/>
    <x v="0"/>
    <x v="3"/>
    <s v="GBC Laser Imprintable Binding System Covers, Desert Sand"/>
    <x v="2867"/>
    <n v="3"/>
    <n v="11.56"/>
    <x v="11"/>
    <x v="1"/>
  </r>
  <r>
    <n v="44909"/>
    <x v="504"/>
    <x v="3"/>
    <x v="1"/>
    <x v="13"/>
    <s v="Bush Andora Conference Table, Maple/Graphite Gray Finish"/>
    <x v="1252"/>
    <n v="2"/>
    <n v="10.26"/>
    <x v="11"/>
    <x v="1"/>
  </r>
  <r>
    <n v="44910"/>
    <x v="412"/>
    <x v="20"/>
    <x v="0"/>
    <x v="4"/>
    <s v="Sanford Colorific Eraseable Coloring Pencils, 12 Count"/>
    <x v="462"/>
    <n v="1"/>
    <n v="1.41"/>
    <x v="11"/>
    <x v="1"/>
  </r>
  <r>
    <n v="44910"/>
    <x v="343"/>
    <x v="22"/>
    <x v="0"/>
    <x v="12"/>
    <s v="3M Office Air Cleaner"/>
    <x v="1487"/>
    <n v="4"/>
    <n v="36.369999999999997"/>
    <x v="11"/>
    <x v="1"/>
  </r>
  <r>
    <n v="44910"/>
    <x v="343"/>
    <x v="22"/>
    <x v="2"/>
    <x v="9"/>
    <s v="Logitech G700s Rechargeable Gaming Mouse"/>
    <x v="2452"/>
    <n v="9"/>
    <n v="377.96"/>
    <x v="11"/>
    <x v="1"/>
  </r>
  <r>
    <n v="44910"/>
    <x v="343"/>
    <x v="22"/>
    <x v="0"/>
    <x v="3"/>
    <s v="Acco D-Ring Binder w/DublLock"/>
    <x v="2868"/>
    <n v="3"/>
    <n v="18.600000000000001"/>
    <x v="11"/>
    <x v="1"/>
  </r>
  <r>
    <n v="44910"/>
    <x v="40"/>
    <x v="10"/>
    <x v="2"/>
    <x v="9"/>
    <s v="Plantronics Savi W720 Multi-Device Wireless Headset System"/>
    <x v="2869"/>
    <n v="6"/>
    <n v="607.61"/>
    <x v="11"/>
    <x v="1"/>
  </r>
  <r>
    <n v="44910"/>
    <x v="40"/>
    <x v="10"/>
    <x v="2"/>
    <x v="15"/>
    <s v="Cubify CubeX 3D Printer Double Head Print"/>
    <x v="2870"/>
    <n v="2"/>
    <n v="-2639.99"/>
    <x v="11"/>
    <x v="1"/>
  </r>
  <r>
    <n v="44910"/>
    <x v="40"/>
    <x v="10"/>
    <x v="2"/>
    <x v="6"/>
    <s v="Panasonic KX TS3282W Corded phone"/>
    <x v="1108"/>
    <n v="2"/>
    <n v="-17"/>
    <x v="11"/>
    <x v="1"/>
  </r>
  <r>
    <n v="44910"/>
    <x v="40"/>
    <x v="10"/>
    <x v="1"/>
    <x v="8"/>
    <s v="Howard Miller 13&quot; Diameter Goldtone Round Wall Clock"/>
    <x v="2871"/>
    <n v="7"/>
    <n v="69"/>
    <x v="11"/>
    <x v="1"/>
  </r>
  <r>
    <n v="44910"/>
    <x v="390"/>
    <x v="25"/>
    <x v="2"/>
    <x v="6"/>
    <s v="Cisco Small Business SPA 502G VoIP phone"/>
    <x v="2872"/>
    <n v="3"/>
    <n v="21.54"/>
    <x v="11"/>
    <x v="1"/>
  </r>
  <r>
    <n v="44911"/>
    <x v="707"/>
    <x v="22"/>
    <x v="0"/>
    <x v="0"/>
    <s v="Xerox 190"/>
    <x v="1599"/>
    <n v="1"/>
    <n v="2.34"/>
    <x v="11"/>
    <x v="1"/>
  </r>
  <r>
    <n v="44912"/>
    <x v="154"/>
    <x v="14"/>
    <x v="0"/>
    <x v="3"/>
    <s v="GBC Plastic Binding Combs"/>
    <x v="2873"/>
    <n v="4"/>
    <n v="14.46"/>
    <x v="11"/>
    <x v="1"/>
  </r>
  <r>
    <n v="44912"/>
    <x v="154"/>
    <x v="14"/>
    <x v="1"/>
    <x v="5"/>
    <s v="Hon Valutask Swivel Chairs"/>
    <x v="2874"/>
    <n v="3"/>
    <n v="48.47"/>
    <x v="11"/>
    <x v="1"/>
  </r>
  <r>
    <n v="44912"/>
    <x v="154"/>
    <x v="14"/>
    <x v="1"/>
    <x v="5"/>
    <s v="Harbour Creations 67200 Series Stacking Chairs"/>
    <x v="2875"/>
    <n v="2"/>
    <n v="38.44"/>
    <x v="11"/>
    <x v="1"/>
  </r>
  <r>
    <n v="44912"/>
    <x v="154"/>
    <x v="14"/>
    <x v="1"/>
    <x v="5"/>
    <s v="Global Value Steno Chair, Gray"/>
    <x v="2876"/>
    <n v="9"/>
    <n v="136.66999999999999"/>
    <x v="11"/>
    <x v="1"/>
  </r>
  <r>
    <n v="44912"/>
    <x v="154"/>
    <x v="14"/>
    <x v="1"/>
    <x v="8"/>
    <s v="Tenex Carpeted, Granite-Look or Clear Contemporary Contour Shape Chair Mats"/>
    <x v="2877"/>
    <n v="3"/>
    <n v="14.85"/>
    <x v="11"/>
    <x v="1"/>
  </r>
  <r>
    <n v="44912"/>
    <x v="260"/>
    <x v="1"/>
    <x v="0"/>
    <x v="2"/>
    <s v="Tennsco Double-Tier Lockers"/>
    <x v="2878"/>
    <n v="1"/>
    <n v="-15.75"/>
    <x v="11"/>
    <x v="1"/>
  </r>
  <r>
    <n v="44912"/>
    <x v="260"/>
    <x v="1"/>
    <x v="1"/>
    <x v="8"/>
    <s v="Howard Miller 11-1/2&quot; Diameter Ridgewood Wall Clock"/>
    <x v="2879"/>
    <n v="2"/>
    <n v="-19.739999999999998"/>
    <x v="11"/>
    <x v="1"/>
  </r>
  <r>
    <n v="44912"/>
    <x v="260"/>
    <x v="1"/>
    <x v="0"/>
    <x v="4"/>
    <s v="Newell 35"/>
    <x v="342"/>
    <n v="5"/>
    <n v="1.48"/>
    <x v="11"/>
    <x v="1"/>
  </r>
  <r>
    <n v="44912"/>
    <x v="194"/>
    <x v="3"/>
    <x v="0"/>
    <x v="4"/>
    <s v="Sanford 52201 APSCO Electric Pencil Sharpener"/>
    <x v="2104"/>
    <n v="5"/>
    <n v="53.26"/>
    <x v="11"/>
    <x v="1"/>
  </r>
  <r>
    <n v="44912"/>
    <x v="194"/>
    <x v="3"/>
    <x v="2"/>
    <x v="6"/>
    <s v="Panasonic KX TS3282W Corded phone"/>
    <x v="460"/>
    <n v="2"/>
    <n v="17"/>
    <x v="11"/>
    <x v="1"/>
  </r>
  <r>
    <n v="44912"/>
    <x v="194"/>
    <x v="3"/>
    <x v="0"/>
    <x v="4"/>
    <s v="Sanford Colorific Eraseable Coloring Pencils, 12 Count"/>
    <x v="747"/>
    <n v="5"/>
    <n v="7.05"/>
    <x v="11"/>
    <x v="1"/>
  </r>
  <r>
    <n v="44912"/>
    <x v="194"/>
    <x v="3"/>
    <x v="0"/>
    <x v="3"/>
    <s v="Avery Arch Ring Binders"/>
    <x v="2880"/>
    <n v="2"/>
    <n v="31.37"/>
    <x v="11"/>
    <x v="1"/>
  </r>
  <r>
    <n v="44913"/>
    <x v="272"/>
    <x v="10"/>
    <x v="0"/>
    <x v="2"/>
    <s v="Fellowes Officeware Wire Shelving"/>
    <x v="2881"/>
    <n v="9"/>
    <n v="-145.52000000000001"/>
    <x v="11"/>
    <x v="1"/>
  </r>
  <r>
    <n v="44913"/>
    <x v="363"/>
    <x v="20"/>
    <x v="2"/>
    <x v="9"/>
    <s v="Imation Bio 8GB USBÂ Flash Drive ImationÂ Corp"/>
    <x v="1802"/>
    <n v="1"/>
    <n v="24.94"/>
    <x v="11"/>
    <x v="1"/>
  </r>
  <r>
    <n v="44913"/>
    <x v="521"/>
    <x v="26"/>
    <x v="0"/>
    <x v="4"/>
    <s v="Newell 320"/>
    <x v="966"/>
    <n v="2"/>
    <n v="0.6"/>
    <x v="11"/>
    <x v="1"/>
  </r>
  <r>
    <n v="44913"/>
    <x v="357"/>
    <x v="15"/>
    <x v="0"/>
    <x v="10"/>
    <s v="#10- 4 1/8&quot; x 9 1/2&quot; Recycled Envelopes"/>
    <x v="2547"/>
    <n v="8"/>
    <n v="18.88"/>
    <x v="11"/>
    <x v="1"/>
  </r>
  <r>
    <n v="44913"/>
    <x v="357"/>
    <x v="15"/>
    <x v="0"/>
    <x v="1"/>
    <s v="Avery 507"/>
    <x v="2882"/>
    <n v="8"/>
    <n v="5.99"/>
    <x v="11"/>
    <x v="1"/>
  </r>
  <r>
    <n v="44913"/>
    <x v="357"/>
    <x v="15"/>
    <x v="1"/>
    <x v="8"/>
    <s v="Master Caster Door Stop, Brown"/>
    <x v="114"/>
    <n v="5"/>
    <n v="3.56"/>
    <x v="11"/>
    <x v="1"/>
  </r>
  <r>
    <n v="44913"/>
    <x v="412"/>
    <x v="10"/>
    <x v="0"/>
    <x v="0"/>
    <s v="Xerox 226"/>
    <x v="1315"/>
    <n v="4"/>
    <n v="7.26"/>
    <x v="11"/>
    <x v="1"/>
  </r>
  <r>
    <n v="44914"/>
    <x v="229"/>
    <x v="3"/>
    <x v="2"/>
    <x v="6"/>
    <s v="ShoreTel ShorePhone IP 230 VoIP phone"/>
    <x v="2883"/>
    <n v="5"/>
    <n v="84.5"/>
    <x v="11"/>
    <x v="1"/>
  </r>
  <r>
    <n v="44914"/>
    <x v="229"/>
    <x v="3"/>
    <x v="2"/>
    <x v="9"/>
    <s v="Plantronics Savi W720 Multi-Device Wireless Headset System"/>
    <x v="2884"/>
    <n v="3"/>
    <n v="556.97"/>
    <x v="11"/>
    <x v="1"/>
  </r>
  <r>
    <n v="44914"/>
    <x v="144"/>
    <x v="2"/>
    <x v="0"/>
    <x v="12"/>
    <s v="Avanti 4.4 Cu. Ft. Refrigerator"/>
    <x v="2885"/>
    <n v="3"/>
    <n v="43.44"/>
    <x v="11"/>
    <x v="1"/>
  </r>
  <r>
    <n v="44914"/>
    <x v="144"/>
    <x v="2"/>
    <x v="0"/>
    <x v="12"/>
    <s v="Hoover Replacement Belt for Commercial Guardsman Heavy-Duty Upright Vacuum"/>
    <x v="1723"/>
    <n v="2"/>
    <n v="0.44"/>
    <x v="11"/>
    <x v="1"/>
  </r>
  <r>
    <n v="44914"/>
    <x v="144"/>
    <x v="2"/>
    <x v="0"/>
    <x v="12"/>
    <s v="Fellowes Advanced 8 Outlet Surge Suppressor with Phone/Fax Protection"/>
    <x v="2886"/>
    <n v="4"/>
    <n v="7.77"/>
    <x v="11"/>
    <x v="1"/>
  </r>
  <r>
    <n v="44914"/>
    <x v="436"/>
    <x v="40"/>
    <x v="0"/>
    <x v="3"/>
    <s v="Self-Adhesive Ring Binder Labels"/>
    <x v="2887"/>
    <n v="2"/>
    <n v="3.31"/>
    <x v="11"/>
    <x v="1"/>
  </r>
  <r>
    <n v="44914"/>
    <x v="436"/>
    <x v="40"/>
    <x v="0"/>
    <x v="7"/>
    <s v="Bagged Rubber Bands"/>
    <x v="466"/>
    <n v="4"/>
    <n v="0.2"/>
    <x v="11"/>
    <x v="1"/>
  </r>
  <r>
    <n v="44914"/>
    <x v="436"/>
    <x v="40"/>
    <x v="0"/>
    <x v="0"/>
    <s v="White Computer Printout Paper by Universal"/>
    <x v="468"/>
    <n v="3"/>
    <n v="56.98"/>
    <x v="11"/>
    <x v="1"/>
  </r>
  <r>
    <n v="44914"/>
    <x v="378"/>
    <x v="1"/>
    <x v="2"/>
    <x v="6"/>
    <s v="Samsung Rugby III"/>
    <x v="1940"/>
    <n v="3"/>
    <n v="13.86"/>
    <x v="11"/>
    <x v="1"/>
  </r>
  <r>
    <n v="44914"/>
    <x v="725"/>
    <x v="38"/>
    <x v="0"/>
    <x v="0"/>
    <s v="Xerox 1903"/>
    <x v="1691"/>
    <n v="5"/>
    <n v="14.65"/>
    <x v="11"/>
    <x v="1"/>
  </r>
  <r>
    <n v="44914"/>
    <x v="725"/>
    <x v="38"/>
    <x v="2"/>
    <x v="9"/>
    <s v="Logitech diNovo Edge Keyboard"/>
    <x v="2888"/>
    <n v="9"/>
    <n v="517.48"/>
    <x v="11"/>
    <x v="1"/>
  </r>
  <r>
    <n v="44914"/>
    <x v="725"/>
    <x v="38"/>
    <x v="1"/>
    <x v="13"/>
    <s v="Bretford Rectangular Conference Table Tops"/>
    <x v="2889"/>
    <n v="4"/>
    <n v="-105.32"/>
    <x v="11"/>
    <x v="1"/>
  </r>
  <r>
    <n v="44914"/>
    <x v="89"/>
    <x v="1"/>
    <x v="2"/>
    <x v="9"/>
    <s v="Maxell 4.7GB DVD+RW 3/Pack"/>
    <x v="1836"/>
    <n v="2"/>
    <n v="4.78"/>
    <x v="11"/>
    <x v="1"/>
  </r>
  <r>
    <n v="44914"/>
    <x v="316"/>
    <x v="2"/>
    <x v="0"/>
    <x v="1"/>
    <s v="Avery 474"/>
    <x v="318"/>
    <n v="3"/>
    <n v="2.5099999999999998"/>
    <x v="11"/>
    <x v="1"/>
  </r>
  <r>
    <n v="44915"/>
    <x v="330"/>
    <x v="0"/>
    <x v="0"/>
    <x v="2"/>
    <s v="Fellowes Super Stor/Drawer"/>
    <x v="1616"/>
    <n v="4"/>
    <n v="-2.2200000000000002"/>
    <x v="11"/>
    <x v="1"/>
  </r>
  <r>
    <n v="44915"/>
    <x v="223"/>
    <x v="20"/>
    <x v="0"/>
    <x v="0"/>
    <s v="Eaton Premium Continuous-Feed Paper, 25% Cotton, Letter Size, White, 1000 Shts/Box"/>
    <x v="288"/>
    <n v="1"/>
    <n v="26.63"/>
    <x v="11"/>
    <x v="1"/>
  </r>
  <r>
    <n v="44915"/>
    <x v="375"/>
    <x v="1"/>
    <x v="2"/>
    <x v="6"/>
    <s v="Apple iPhone 5C"/>
    <x v="281"/>
    <n v="2"/>
    <n v="12"/>
    <x v="11"/>
    <x v="1"/>
  </r>
  <r>
    <n v="44915"/>
    <x v="375"/>
    <x v="1"/>
    <x v="2"/>
    <x v="9"/>
    <s v="Logitech G600 MMO Gaming Mouse"/>
    <x v="1977"/>
    <n v="4"/>
    <n v="51.19"/>
    <x v="11"/>
    <x v="1"/>
  </r>
  <r>
    <n v="44915"/>
    <x v="375"/>
    <x v="1"/>
    <x v="1"/>
    <x v="11"/>
    <s v="Sauder Facets Collection Library, Sky Alder Finish"/>
    <x v="1794"/>
    <n v="3"/>
    <n v="-71.81"/>
    <x v="11"/>
    <x v="1"/>
  </r>
  <r>
    <n v="44915"/>
    <x v="333"/>
    <x v="12"/>
    <x v="0"/>
    <x v="10"/>
    <s v="#6 3/4 Gummed Flap White Envelopes"/>
    <x v="2890"/>
    <n v="1"/>
    <n v="2.77"/>
    <x v="11"/>
    <x v="1"/>
  </r>
  <r>
    <n v="44915"/>
    <x v="333"/>
    <x v="12"/>
    <x v="1"/>
    <x v="8"/>
    <s v="Nu-Dell Float Frame 11 x 14 1/2"/>
    <x v="2309"/>
    <n v="2"/>
    <n v="3.95"/>
    <x v="11"/>
    <x v="1"/>
  </r>
  <r>
    <n v="44915"/>
    <x v="726"/>
    <x v="16"/>
    <x v="0"/>
    <x v="1"/>
    <s v="Avery 486"/>
    <x v="2717"/>
    <n v="2"/>
    <n v="3.95"/>
    <x v="11"/>
    <x v="1"/>
  </r>
  <r>
    <n v="44915"/>
    <x v="170"/>
    <x v="3"/>
    <x v="0"/>
    <x v="0"/>
    <s v="Easy-staple paper"/>
    <x v="2446"/>
    <n v="4"/>
    <n v="7.7"/>
    <x v="11"/>
    <x v="1"/>
  </r>
  <r>
    <n v="44915"/>
    <x v="522"/>
    <x v="6"/>
    <x v="0"/>
    <x v="12"/>
    <s v="Acco 6 Outlet Guardian Standard Surge Suppressor"/>
    <x v="1004"/>
    <n v="3"/>
    <n v="10.88"/>
    <x v="11"/>
    <x v="1"/>
  </r>
  <r>
    <n v="44915"/>
    <x v="341"/>
    <x v="0"/>
    <x v="2"/>
    <x v="9"/>
    <s v="Hypercom P1300 Pinpad"/>
    <x v="2891"/>
    <n v="2"/>
    <n v="21.42"/>
    <x v="11"/>
    <x v="1"/>
  </r>
  <r>
    <n v="44916"/>
    <x v="143"/>
    <x v="22"/>
    <x v="1"/>
    <x v="13"/>
    <s v="Bevis 36 x 72 Conference Tables"/>
    <x v="2892"/>
    <n v="13"/>
    <n v="356.04"/>
    <x v="11"/>
    <x v="1"/>
  </r>
  <r>
    <n v="44916"/>
    <x v="143"/>
    <x v="22"/>
    <x v="2"/>
    <x v="9"/>
    <s v="Enermax Acrylux Wireless Keyboard"/>
    <x v="1882"/>
    <n v="1"/>
    <n v="36.85"/>
    <x v="11"/>
    <x v="1"/>
  </r>
  <r>
    <n v="44916"/>
    <x v="727"/>
    <x v="26"/>
    <x v="0"/>
    <x v="12"/>
    <s v="Belkin 6 Outlet Metallic Surge Strip"/>
    <x v="2893"/>
    <n v="7"/>
    <n v="4.57"/>
    <x v="11"/>
    <x v="1"/>
  </r>
  <r>
    <n v="44916"/>
    <x v="462"/>
    <x v="25"/>
    <x v="2"/>
    <x v="6"/>
    <s v="Anker 36W 4-Port USB Wall Charger Travel Power Adapter for iPhone 5s 5c 5"/>
    <x v="972"/>
    <n v="3"/>
    <n v="4.8"/>
    <x v="11"/>
    <x v="1"/>
  </r>
  <r>
    <n v="44916"/>
    <x v="310"/>
    <x v="16"/>
    <x v="2"/>
    <x v="9"/>
    <s v="Memorex Micro Travel Drive 4 GB"/>
    <x v="2894"/>
    <n v="6"/>
    <n v="14.63"/>
    <x v="11"/>
    <x v="1"/>
  </r>
  <r>
    <n v="44916"/>
    <x v="310"/>
    <x v="16"/>
    <x v="0"/>
    <x v="10"/>
    <s v="Recycled Interoffice Envelopes with Re-Use-A-Seal Closure, 10 x 13"/>
    <x v="2895"/>
    <n v="2"/>
    <n v="9.2200000000000006"/>
    <x v="11"/>
    <x v="1"/>
  </r>
  <r>
    <n v="44916"/>
    <x v="512"/>
    <x v="10"/>
    <x v="0"/>
    <x v="4"/>
    <s v="OIC #2 Pencils, Medium Soft"/>
    <x v="2766"/>
    <n v="2"/>
    <n v="0.34"/>
    <x v="11"/>
    <x v="1"/>
  </r>
  <r>
    <n v="44916"/>
    <x v="381"/>
    <x v="1"/>
    <x v="2"/>
    <x v="15"/>
    <s v="Star Micronics TSP800 TSP847IIU Receipt Printer"/>
    <x v="2896"/>
    <n v="2"/>
    <n v="137.26"/>
    <x v="11"/>
    <x v="1"/>
  </r>
  <r>
    <n v="44916"/>
    <x v="381"/>
    <x v="1"/>
    <x v="0"/>
    <x v="4"/>
    <s v="Sanford Prismacolor Professional Thick Lead Art Pencils, 36-Color Set"/>
    <x v="1941"/>
    <n v="2"/>
    <n v="14.23"/>
    <x v="11"/>
    <x v="1"/>
  </r>
  <r>
    <n v="44916"/>
    <x v="381"/>
    <x v="1"/>
    <x v="2"/>
    <x v="9"/>
    <s v="Enermax Acrylux Wireless Keyboard"/>
    <x v="2897"/>
    <n v="8"/>
    <n v="135.46"/>
    <x v="11"/>
    <x v="1"/>
  </r>
  <r>
    <n v="44916"/>
    <x v="381"/>
    <x v="1"/>
    <x v="1"/>
    <x v="8"/>
    <s v="Howard Miller 11-1/2&quot; Diameter Grantwood Wall Clock"/>
    <x v="2898"/>
    <n v="3"/>
    <n v="-33.64"/>
    <x v="11"/>
    <x v="1"/>
  </r>
  <r>
    <n v="44917"/>
    <x v="165"/>
    <x v="21"/>
    <x v="0"/>
    <x v="4"/>
    <s v="Newell 336"/>
    <x v="2446"/>
    <n v="4"/>
    <n v="4.96"/>
    <x v="11"/>
    <x v="1"/>
  </r>
  <r>
    <n v="44917"/>
    <x v="535"/>
    <x v="2"/>
    <x v="0"/>
    <x v="2"/>
    <s v="Tennsco Lockers, Sand"/>
    <x v="213"/>
    <n v="2"/>
    <n v="1.68"/>
    <x v="11"/>
    <x v="1"/>
  </r>
  <r>
    <n v="44917"/>
    <x v="535"/>
    <x v="2"/>
    <x v="1"/>
    <x v="5"/>
    <s v="Harbour Creations Steel Folding Chair"/>
    <x v="2899"/>
    <n v="7"/>
    <n v="0"/>
    <x v="11"/>
    <x v="1"/>
  </r>
  <r>
    <n v="44918"/>
    <x v="32"/>
    <x v="6"/>
    <x v="0"/>
    <x v="12"/>
    <s v="Belkin Premiere Surge Master II 8-outlet surge protector"/>
    <x v="2424"/>
    <n v="4"/>
    <n v="56.35"/>
    <x v="11"/>
    <x v="1"/>
  </r>
  <r>
    <n v="44919"/>
    <x v="557"/>
    <x v="10"/>
    <x v="0"/>
    <x v="7"/>
    <s v="OIC Bulk Pack Metal Binder Clips"/>
    <x v="614"/>
    <n v="2"/>
    <n v="1.81"/>
    <x v="11"/>
    <x v="1"/>
  </r>
  <r>
    <n v="44919"/>
    <x v="557"/>
    <x v="10"/>
    <x v="0"/>
    <x v="0"/>
    <s v="While You Were Out Pads, 50 per Pad, 4 x 5 1/4, Green Cycle"/>
    <x v="2900"/>
    <n v="6"/>
    <n v="8.23"/>
    <x v="11"/>
    <x v="1"/>
  </r>
  <r>
    <n v="44919"/>
    <x v="557"/>
    <x v="10"/>
    <x v="0"/>
    <x v="3"/>
    <s v="Ibico Standard Transparent Covers"/>
    <x v="2901"/>
    <n v="4"/>
    <n v="-13.84"/>
    <x v="11"/>
    <x v="1"/>
  </r>
  <r>
    <n v="44919"/>
    <x v="557"/>
    <x v="10"/>
    <x v="1"/>
    <x v="8"/>
    <s v="Executive Impressions 14&quot; Two-Color Numerals Wall Clock"/>
    <x v="2902"/>
    <n v="4"/>
    <n v="19.079999999999998"/>
    <x v="11"/>
    <x v="1"/>
  </r>
  <r>
    <n v="44919"/>
    <x v="557"/>
    <x v="10"/>
    <x v="2"/>
    <x v="15"/>
    <s v="Swingline SM12-08 MicroCut Jam Free Shredder"/>
    <x v="2704"/>
    <n v="4"/>
    <n v="-383.99"/>
    <x v="11"/>
    <x v="1"/>
  </r>
  <r>
    <n v="44919"/>
    <x v="557"/>
    <x v="10"/>
    <x v="0"/>
    <x v="4"/>
    <s v="Stanley Bostitch Contemporary Electric Pencil Sharpeners"/>
    <x v="2729"/>
    <n v="2"/>
    <n v="2.72"/>
    <x v="11"/>
    <x v="1"/>
  </r>
  <r>
    <n v="44919"/>
    <x v="639"/>
    <x v="20"/>
    <x v="0"/>
    <x v="0"/>
    <s v="Xerox 1887"/>
    <x v="2903"/>
    <n v="7"/>
    <n v="63.74"/>
    <x v="11"/>
    <x v="1"/>
  </r>
  <r>
    <n v="44919"/>
    <x v="639"/>
    <x v="20"/>
    <x v="0"/>
    <x v="0"/>
    <s v="Xerox 1967"/>
    <x v="115"/>
    <n v="2"/>
    <n v="6.22"/>
    <x v="11"/>
    <x v="1"/>
  </r>
  <r>
    <n v="44919"/>
    <x v="639"/>
    <x v="20"/>
    <x v="0"/>
    <x v="1"/>
    <s v="Smead Alpha-Z Color-Coded Second Alphabetical Labels and Starter Set"/>
    <x v="387"/>
    <n v="7"/>
    <n v="10.35"/>
    <x v="11"/>
    <x v="1"/>
  </r>
  <r>
    <n v="44919"/>
    <x v="728"/>
    <x v="26"/>
    <x v="1"/>
    <x v="11"/>
    <s v="Atlantic Metals Mobile 4-Shelf Bookcases, Custom Colors"/>
    <x v="2904"/>
    <n v="7"/>
    <n v="-786.74"/>
    <x v="11"/>
    <x v="1"/>
  </r>
  <r>
    <n v="44919"/>
    <x v="728"/>
    <x v="26"/>
    <x v="0"/>
    <x v="4"/>
    <s v="Dixon My First Ticonderoga Pencil, #2"/>
    <x v="798"/>
    <n v="3"/>
    <n v="1.58"/>
    <x v="11"/>
    <x v="1"/>
  </r>
  <r>
    <n v="44919"/>
    <x v="389"/>
    <x v="12"/>
    <x v="0"/>
    <x v="0"/>
    <s v="Computer Printout Paper with Letter-Trim Perforations"/>
    <x v="2905"/>
    <n v="7"/>
    <n v="37.18"/>
    <x v="11"/>
    <x v="1"/>
  </r>
  <r>
    <n v="44919"/>
    <x v="389"/>
    <x v="12"/>
    <x v="2"/>
    <x v="6"/>
    <s v="ClearSounds CSC500 Amplified Spirit Phone Corded phone"/>
    <x v="2906"/>
    <n v="2"/>
    <n v="11.2"/>
    <x v="11"/>
    <x v="1"/>
  </r>
  <r>
    <n v="44919"/>
    <x v="389"/>
    <x v="12"/>
    <x v="1"/>
    <x v="8"/>
    <s v="Magna Visual Magnetic Picture Hangers"/>
    <x v="647"/>
    <n v="2"/>
    <n v="1.74"/>
    <x v="11"/>
    <x v="1"/>
  </r>
  <r>
    <n v="44919"/>
    <x v="535"/>
    <x v="12"/>
    <x v="1"/>
    <x v="5"/>
    <s v="SAFCO Arco Folding Chair"/>
    <x v="2674"/>
    <n v="4"/>
    <n v="99.43"/>
    <x v="11"/>
    <x v="1"/>
  </r>
  <r>
    <n v="44919"/>
    <x v="388"/>
    <x v="3"/>
    <x v="0"/>
    <x v="3"/>
    <s v="Avery Hole Reinforcements"/>
    <x v="2907"/>
    <n v="4"/>
    <n v="7.23"/>
    <x v="11"/>
    <x v="1"/>
  </r>
  <r>
    <n v="44919"/>
    <x v="388"/>
    <x v="3"/>
    <x v="0"/>
    <x v="7"/>
    <s v="Vinyl Coated Wire Paper Clips in Organizer Box, 800/Box"/>
    <x v="826"/>
    <n v="4"/>
    <n v="21.58"/>
    <x v="11"/>
    <x v="1"/>
  </r>
  <r>
    <n v="44919"/>
    <x v="312"/>
    <x v="24"/>
    <x v="1"/>
    <x v="8"/>
    <s v="Eldon Regeneration Recycled Desk Accessories, Black"/>
    <x v="2908"/>
    <n v="2"/>
    <n v="3.78"/>
    <x v="11"/>
    <x v="1"/>
  </r>
  <r>
    <n v="44919"/>
    <x v="312"/>
    <x v="24"/>
    <x v="2"/>
    <x v="16"/>
    <s v="Canon PC1060 Personal Laser Copier"/>
    <x v="2909"/>
    <n v="7"/>
    <n v="2302.9699999999998"/>
    <x v="11"/>
    <x v="1"/>
  </r>
  <r>
    <n v="44920"/>
    <x v="514"/>
    <x v="2"/>
    <x v="1"/>
    <x v="8"/>
    <s v="Tenex Antistatic Computer Chair Mats"/>
    <x v="1827"/>
    <n v="4"/>
    <n v="-68.39"/>
    <x v="11"/>
    <x v="1"/>
  </r>
  <r>
    <n v="44920"/>
    <x v="337"/>
    <x v="15"/>
    <x v="0"/>
    <x v="1"/>
    <s v="Avery 474"/>
    <x v="2910"/>
    <n v="4"/>
    <n v="3.34"/>
    <x v="11"/>
    <x v="1"/>
  </r>
  <r>
    <n v="44920"/>
    <x v="337"/>
    <x v="15"/>
    <x v="0"/>
    <x v="0"/>
    <s v="Xerox 227"/>
    <x v="320"/>
    <n v="2"/>
    <n v="3.63"/>
    <x v="11"/>
    <x v="1"/>
  </r>
  <r>
    <n v="44920"/>
    <x v="729"/>
    <x v="14"/>
    <x v="2"/>
    <x v="6"/>
    <s v="Logitech B530 USBÂ HeadsetÂ -Â headsetÂ - Full size, Binaural"/>
    <x v="613"/>
    <n v="2"/>
    <n v="19.97"/>
    <x v="11"/>
    <x v="1"/>
  </r>
  <r>
    <n v="44920"/>
    <x v="729"/>
    <x v="14"/>
    <x v="1"/>
    <x v="11"/>
    <s v="Rush Hierlooms Collection Rich Wood Bookcases"/>
    <x v="2911"/>
    <n v="1"/>
    <n v="20.93"/>
    <x v="11"/>
    <x v="1"/>
  </r>
  <r>
    <n v="44920"/>
    <x v="729"/>
    <x v="14"/>
    <x v="0"/>
    <x v="0"/>
    <s v="Xerox 1978"/>
    <x v="848"/>
    <n v="3"/>
    <n v="8.5"/>
    <x v="11"/>
    <x v="1"/>
  </r>
  <r>
    <n v="44920"/>
    <x v="729"/>
    <x v="14"/>
    <x v="0"/>
    <x v="4"/>
    <s v="Newell 351"/>
    <x v="462"/>
    <n v="1"/>
    <n v="0.95"/>
    <x v="11"/>
    <x v="1"/>
  </r>
  <r>
    <n v="44920"/>
    <x v="412"/>
    <x v="20"/>
    <x v="0"/>
    <x v="12"/>
    <s v="Kensington 7 Outlet MasterPiece Power Center with Fax/Phone Line Protection"/>
    <x v="2912"/>
    <n v="2"/>
    <n v="124.49"/>
    <x v="11"/>
    <x v="1"/>
  </r>
  <r>
    <n v="44920"/>
    <x v="565"/>
    <x v="3"/>
    <x v="2"/>
    <x v="16"/>
    <s v="Brother DCP1000 Digital 3 in 1 Multifunction Machine"/>
    <x v="2913"/>
    <n v="5"/>
    <n v="224.99"/>
    <x v="11"/>
    <x v="1"/>
  </r>
  <r>
    <n v="44920"/>
    <x v="565"/>
    <x v="3"/>
    <x v="0"/>
    <x v="0"/>
    <s v="Important Message Pads, 50 4-1/4 x 5-1/2 Forms per Pad"/>
    <x v="370"/>
    <n v="3"/>
    <n v="6.17"/>
    <x v="11"/>
    <x v="1"/>
  </r>
  <r>
    <n v="44920"/>
    <x v="565"/>
    <x v="3"/>
    <x v="0"/>
    <x v="0"/>
    <s v="Great White Multi-Use Recycled Paper (20Lb. and 84 Bright)"/>
    <x v="150"/>
    <n v="3"/>
    <n v="8.07"/>
    <x v="11"/>
    <x v="1"/>
  </r>
  <r>
    <n v="44920"/>
    <x v="352"/>
    <x v="4"/>
    <x v="1"/>
    <x v="8"/>
    <s v="Tenex B1-RE Series Chair Mats for Low Pile Carpets"/>
    <x v="2914"/>
    <n v="6"/>
    <n v="46.9"/>
    <x v="11"/>
    <x v="1"/>
  </r>
  <r>
    <n v="44920"/>
    <x v="352"/>
    <x v="4"/>
    <x v="0"/>
    <x v="3"/>
    <s v="Tuf-Vin Binders"/>
    <x v="2915"/>
    <n v="5"/>
    <n v="74.209999999999994"/>
    <x v="11"/>
    <x v="1"/>
  </r>
  <r>
    <n v="44920"/>
    <x v="232"/>
    <x v="20"/>
    <x v="2"/>
    <x v="9"/>
    <s v="Plantronics Savi W720 Multi-Device Wireless Headset System"/>
    <x v="2916"/>
    <n v="2"/>
    <n v="371.32"/>
    <x v="11"/>
    <x v="1"/>
  </r>
  <r>
    <n v="44920"/>
    <x v="232"/>
    <x v="20"/>
    <x v="1"/>
    <x v="11"/>
    <s v="Atlantic Metals Mobile 4-Shelf Bookcases, Custom Colors"/>
    <x v="2917"/>
    <n v="2"/>
    <n v="56.2"/>
    <x v="11"/>
    <x v="1"/>
  </r>
  <r>
    <n v="44920"/>
    <x v="88"/>
    <x v="3"/>
    <x v="0"/>
    <x v="0"/>
    <s v="Xerox 1949"/>
    <x v="967"/>
    <n v="2"/>
    <n v="4.88"/>
    <x v="11"/>
    <x v="1"/>
  </r>
  <r>
    <n v="44921"/>
    <x v="12"/>
    <x v="32"/>
    <x v="0"/>
    <x v="7"/>
    <s v="Staples"/>
    <x v="501"/>
    <n v="5"/>
    <n v="10.43"/>
    <x v="11"/>
    <x v="1"/>
  </r>
  <r>
    <n v="44921"/>
    <x v="260"/>
    <x v="10"/>
    <x v="1"/>
    <x v="13"/>
    <s v="KI Adjustable-Height Table"/>
    <x v="2918"/>
    <n v="1"/>
    <n v="-15.48"/>
    <x v="11"/>
    <x v="1"/>
  </r>
  <r>
    <n v="44921"/>
    <x v="680"/>
    <x v="0"/>
    <x v="1"/>
    <x v="5"/>
    <s v="Office Star - Contemporary Task Swivel chair with 2-way adjustable arms, Plum"/>
    <x v="2919"/>
    <n v="3"/>
    <n v="-90.38"/>
    <x v="11"/>
    <x v="1"/>
  </r>
  <r>
    <n v="44921"/>
    <x v="447"/>
    <x v="20"/>
    <x v="0"/>
    <x v="0"/>
    <s v="Xerox 1906"/>
    <x v="1807"/>
    <n v="6"/>
    <n v="99.94"/>
    <x v="11"/>
    <x v="1"/>
  </r>
  <r>
    <n v="44922"/>
    <x v="188"/>
    <x v="0"/>
    <x v="0"/>
    <x v="10"/>
    <s v="#10-4 1/8&quot; x 9 1/2&quot; Premium Diagonal Seam Envelopes"/>
    <x v="2920"/>
    <n v="9"/>
    <n v="35.42"/>
    <x v="11"/>
    <x v="1"/>
  </r>
  <r>
    <n v="44922"/>
    <x v="188"/>
    <x v="0"/>
    <x v="1"/>
    <x v="11"/>
    <s v="Atlantic Metals Mobile 3-Shelf Bookcases, Custom Colors"/>
    <x v="2921"/>
    <n v="3"/>
    <n v="-46.98"/>
    <x v="11"/>
    <x v="1"/>
  </r>
  <r>
    <n v="44922"/>
    <x v="188"/>
    <x v="0"/>
    <x v="1"/>
    <x v="5"/>
    <s v="Global Fabric Manager's Chair, Dark Gray"/>
    <x v="2922"/>
    <n v="3"/>
    <n v="-15.15"/>
    <x v="11"/>
    <x v="1"/>
  </r>
  <r>
    <n v="44922"/>
    <x v="188"/>
    <x v="0"/>
    <x v="2"/>
    <x v="6"/>
    <s v="Plantronics HL10 Handset Lifter"/>
    <x v="2923"/>
    <n v="4"/>
    <n v="41.76"/>
    <x v="11"/>
    <x v="1"/>
  </r>
  <r>
    <n v="44922"/>
    <x v="496"/>
    <x v="13"/>
    <x v="0"/>
    <x v="10"/>
    <s v="Strathmore #10 Envelopes, Ultimate White"/>
    <x v="2924"/>
    <n v="2"/>
    <n v="51.66"/>
    <x v="11"/>
    <x v="1"/>
  </r>
  <r>
    <n v="44922"/>
    <x v="730"/>
    <x v="36"/>
    <x v="0"/>
    <x v="0"/>
    <s v="Xerox 1950"/>
    <x v="2364"/>
    <n v="5"/>
    <n v="14.16"/>
    <x v="11"/>
    <x v="1"/>
  </r>
  <r>
    <n v="44922"/>
    <x v="730"/>
    <x v="36"/>
    <x v="0"/>
    <x v="12"/>
    <s v="Kensington 7 Outlet MasterPiece Power Center"/>
    <x v="2925"/>
    <n v="2"/>
    <n v="103.23"/>
    <x v="11"/>
    <x v="1"/>
  </r>
  <r>
    <n v="44922"/>
    <x v="316"/>
    <x v="3"/>
    <x v="0"/>
    <x v="12"/>
    <s v="Belkin F9G930V10-GRY 9 Outlet Surge"/>
    <x v="338"/>
    <n v="2"/>
    <n v="31.02"/>
    <x v="11"/>
    <x v="1"/>
  </r>
  <r>
    <n v="44922"/>
    <x v="316"/>
    <x v="3"/>
    <x v="0"/>
    <x v="1"/>
    <s v="Avery 497"/>
    <x v="387"/>
    <n v="7"/>
    <n v="10.35"/>
    <x v="11"/>
    <x v="1"/>
  </r>
  <r>
    <n v="44922"/>
    <x v="108"/>
    <x v="1"/>
    <x v="0"/>
    <x v="2"/>
    <s v="Sterilite Show Offs Storage Containers"/>
    <x v="810"/>
    <n v="3"/>
    <n v="-3.17"/>
    <x v="11"/>
    <x v="1"/>
  </r>
  <r>
    <n v="44922"/>
    <x v="148"/>
    <x v="3"/>
    <x v="2"/>
    <x v="9"/>
    <s v="Maxell 4.7GB DVD-R 5/Pack"/>
    <x v="2890"/>
    <n v="8"/>
    <n v="3.48"/>
    <x v="11"/>
    <x v="1"/>
  </r>
  <r>
    <n v="44922"/>
    <x v="238"/>
    <x v="21"/>
    <x v="0"/>
    <x v="0"/>
    <s v="Xerox 1917"/>
    <x v="1633"/>
    <n v="4"/>
    <n v="91.95"/>
    <x v="11"/>
    <x v="1"/>
  </r>
  <r>
    <n v="44922"/>
    <x v="238"/>
    <x v="21"/>
    <x v="2"/>
    <x v="6"/>
    <s v="Cisco SPA 502G IP Phone"/>
    <x v="2926"/>
    <n v="2"/>
    <n v="71.97"/>
    <x v="11"/>
    <x v="1"/>
  </r>
  <r>
    <n v="44922"/>
    <x v="639"/>
    <x v="10"/>
    <x v="1"/>
    <x v="13"/>
    <s v="Riverside Furniture Oval Coffee Table, Oval End Table, End Table with Drawer"/>
    <x v="2927"/>
    <n v="9"/>
    <n v="-464.7"/>
    <x v="11"/>
    <x v="1"/>
  </r>
  <r>
    <n v="44922"/>
    <x v="639"/>
    <x v="10"/>
    <x v="0"/>
    <x v="10"/>
    <s v="Staple envelope"/>
    <x v="2928"/>
    <n v="3"/>
    <n v="6.71"/>
    <x v="11"/>
    <x v="1"/>
  </r>
  <r>
    <n v="44922"/>
    <x v="569"/>
    <x v="15"/>
    <x v="2"/>
    <x v="9"/>
    <s v="Maxell CD-R Discs"/>
    <x v="2929"/>
    <n v="3"/>
    <n v="0.71"/>
    <x v="11"/>
    <x v="1"/>
  </r>
  <r>
    <n v="44922"/>
    <x v="569"/>
    <x v="15"/>
    <x v="1"/>
    <x v="8"/>
    <s v="Executive Impressions 14&quot; Contract Wall Clock with Quartz Movement"/>
    <x v="2930"/>
    <n v="3"/>
    <n v="16.010000000000002"/>
    <x v="11"/>
    <x v="1"/>
  </r>
  <r>
    <n v="44922"/>
    <x v="569"/>
    <x v="15"/>
    <x v="1"/>
    <x v="11"/>
    <s v="O'Sullivan 5-Shelf Heavy-Duty Bookcases"/>
    <x v="2931"/>
    <n v="2"/>
    <n v="8.19"/>
    <x v="11"/>
    <x v="1"/>
  </r>
  <r>
    <n v="44922"/>
    <x v="569"/>
    <x v="15"/>
    <x v="0"/>
    <x v="2"/>
    <s v="Staple magnet"/>
    <x v="2932"/>
    <n v="3"/>
    <n v="2.25"/>
    <x v="11"/>
    <x v="1"/>
  </r>
  <r>
    <n v="44922"/>
    <x v="569"/>
    <x v="15"/>
    <x v="2"/>
    <x v="9"/>
    <s v="SanDisk Ultra 16 GB MicroSDHC Class 10 Memory Card"/>
    <x v="2699"/>
    <n v="7"/>
    <n v="-12.73"/>
    <x v="11"/>
    <x v="1"/>
  </r>
  <r>
    <n v="44922"/>
    <x v="160"/>
    <x v="3"/>
    <x v="0"/>
    <x v="2"/>
    <s v="Fellowes Super Stor/Drawer Files"/>
    <x v="2024"/>
    <n v="2"/>
    <n v="61.39"/>
    <x v="11"/>
    <x v="1"/>
  </r>
  <r>
    <n v="44922"/>
    <x v="160"/>
    <x v="3"/>
    <x v="2"/>
    <x v="6"/>
    <s v="Geemarc AmpliPOWER60"/>
    <x v="2933"/>
    <n v="9"/>
    <n v="75.17"/>
    <x v="11"/>
    <x v="1"/>
  </r>
  <r>
    <n v="44923"/>
    <x v="699"/>
    <x v="2"/>
    <x v="2"/>
    <x v="9"/>
    <s v="Lenovo 17-Key USB Numeric Keypad"/>
    <x v="2934"/>
    <n v="2"/>
    <n v="1.36"/>
    <x v="11"/>
    <x v="1"/>
  </r>
  <r>
    <n v="44923"/>
    <x v="681"/>
    <x v="1"/>
    <x v="0"/>
    <x v="2"/>
    <s v="Tenex Personal Filing Tote With Secure Closure Lid, Black/Frost"/>
    <x v="1461"/>
    <n v="2"/>
    <n v="1.55"/>
    <x v="11"/>
    <x v="1"/>
  </r>
  <r>
    <n v="44924"/>
    <x v="503"/>
    <x v="20"/>
    <x v="0"/>
    <x v="14"/>
    <s v="Acme Serrated Blade Letter Opener"/>
    <x v="2935"/>
    <n v="2"/>
    <n v="0.06"/>
    <x v="11"/>
    <x v="1"/>
  </r>
  <r>
    <n v="44925"/>
    <x v="68"/>
    <x v="3"/>
    <x v="0"/>
    <x v="0"/>
    <s v="Xerox 1929"/>
    <x v="2936"/>
    <n v="3"/>
    <n v="31.52"/>
    <x v="11"/>
    <x v="1"/>
  </r>
  <r>
    <n v="44925"/>
    <x v="68"/>
    <x v="3"/>
    <x v="0"/>
    <x v="2"/>
    <s v="2300 Heavy-Duty Transfer File Systems by Perma"/>
    <x v="2937"/>
    <n v="3"/>
    <n v="14.24"/>
    <x v="11"/>
    <x v="1"/>
  </r>
  <r>
    <n v="44925"/>
    <x v="68"/>
    <x v="3"/>
    <x v="2"/>
    <x v="15"/>
    <s v="Zebra GX420t Direct Thermal/Thermal Transfer Printer"/>
    <x v="2938"/>
    <n v="6"/>
    <n v="286.70999999999998"/>
    <x v="11"/>
    <x v="1"/>
  </r>
  <r>
    <n v="44925"/>
    <x v="68"/>
    <x v="3"/>
    <x v="0"/>
    <x v="10"/>
    <s v="Tyvek Side-Opening Peel &amp; Seel Expanding Envelopes"/>
    <x v="2802"/>
    <n v="3"/>
    <n v="122.15"/>
    <x v="11"/>
    <x v="1"/>
  </r>
  <r>
    <n v="44925"/>
    <x v="68"/>
    <x v="3"/>
    <x v="2"/>
    <x v="6"/>
    <s v="Cisco SPA 502G IP Phone"/>
    <x v="2939"/>
    <n v="3"/>
    <n v="35.99"/>
    <x v="11"/>
    <x v="1"/>
  </r>
  <r>
    <n v="44926"/>
    <x v="117"/>
    <x v="35"/>
    <x v="0"/>
    <x v="3"/>
    <s v="Ibico Hi-Tech Manual Binding System"/>
    <x v="1544"/>
    <n v="2"/>
    <n v="152.5"/>
    <x v="11"/>
    <x v="1"/>
  </r>
  <r>
    <n v="44926"/>
    <x v="335"/>
    <x v="0"/>
    <x v="1"/>
    <x v="8"/>
    <s v="Eldon Expressions Wood Desk Accessories, Oak"/>
    <x v="1195"/>
    <n v="5"/>
    <n v="-11.44"/>
    <x v="11"/>
    <x v="1"/>
  </r>
  <r>
    <n v="44926"/>
    <x v="335"/>
    <x v="0"/>
    <x v="0"/>
    <x v="3"/>
    <s v="Newell 3-Hole Punched Plastic Slotted Magazine Holders for Binders"/>
    <x v="2940"/>
    <n v="4"/>
    <n v="-5.85"/>
    <x v="11"/>
    <x v="1"/>
  </r>
  <r>
    <n v="44926"/>
    <x v="385"/>
    <x v="5"/>
    <x v="0"/>
    <x v="3"/>
    <s v="Tuf-Vin Binders"/>
    <x v="2941"/>
    <n v="3"/>
    <n v="44.53"/>
    <x v="11"/>
    <x v="1"/>
  </r>
  <r>
    <n v="44926"/>
    <x v="385"/>
    <x v="5"/>
    <x v="0"/>
    <x v="3"/>
    <s v="GBC Clear Cover, 8-1/2 x 11, unpunched, 25 covers per pack"/>
    <x v="2942"/>
    <n v="4"/>
    <n v="27.89"/>
    <x v="11"/>
    <x v="1"/>
  </r>
  <r>
    <n v="44926"/>
    <x v="385"/>
    <x v="5"/>
    <x v="0"/>
    <x v="3"/>
    <s v="Aluminum Screw Posts"/>
    <x v="2943"/>
    <n v="5"/>
    <n v="38.15"/>
    <x v="11"/>
    <x v="1"/>
  </r>
  <r>
    <n v="44926"/>
    <x v="385"/>
    <x v="5"/>
    <x v="0"/>
    <x v="3"/>
    <s v="Ibico Plastic Spiral Binding Combs"/>
    <x v="2944"/>
    <n v="12"/>
    <n v="167.81"/>
    <x v="11"/>
    <x v="1"/>
  </r>
  <r>
    <n v="44926"/>
    <x v="497"/>
    <x v="0"/>
    <x v="0"/>
    <x v="2"/>
    <s v="Fellowes Stor/Drawer Steel Plus Storage Drawers"/>
    <x v="2945"/>
    <n v="2"/>
    <n v="-26.72"/>
    <x v="11"/>
    <x v="1"/>
  </r>
  <r>
    <n v="44926"/>
    <x v="497"/>
    <x v="0"/>
    <x v="0"/>
    <x v="7"/>
    <s v="Stockwell Push Pins"/>
    <x v="656"/>
    <n v="2"/>
    <n v="0.56999999999999995"/>
    <x v="11"/>
    <x v="1"/>
  </r>
  <r>
    <n v="44926"/>
    <x v="497"/>
    <x v="0"/>
    <x v="0"/>
    <x v="14"/>
    <s v="Staple remover"/>
    <x v="971"/>
    <n v="2"/>
    <n v="-1.32"/>
    <x v="11"/>
    <x v="1"/>
  </r>
  <r>
    <n v="44926"/>
    <x v="123"/>
    <x v="14"/>
    <x v="0"/>
    <x v="3"/>
    <s v="Fellowes Presentation Covers for Comb Binding Machines"/>
    <x v="2946"/>
    <n v="8"/>
    <n v="52.38"/>
    <x v="11"/>
    <x v="1"/>
  </r>
  <r>
    <n v="44928"/>
    <x v="688"/>
    <x v="36"/>
    <x v="1"/>
    <x v="11"/>
    <s v="Bush Westfield Collection Bookcases, Medium Cherry Finish"/>
    <x v="2824"/>
    <n v="3"/>
    <n v="38.270000000000003"/>
    <x v="0"/>
    <x v="2"/>
  </r>
  <r>
    <n v="44928"/>
    <x v="688"/>
    <x v="36"/>
    <x v="2"/>
    <x v="6"/>
    <s v="GE 30522EE2"/>
    <x v="2947"/>
    <n v="2"/>
    <n v="67.27"/>
    <x v="0"/>
    <x v="2"/>
  </r>
  <r>
    <n v="44929"/>
    <x v="336"/>
    <x v="3"/>
    <x v="0"/>
    <x v="2"/>
    <s v="Recycled Steel Personal File for Hanging File Folders"/>
    <x v="2948"/>
    <n v="2"/>
    <n v="28.62"/>
    <x v="0"/>
    <x v="2"/>
  </r>
  <r>
    <n v="44929"/>
    <x v="305"/>
    <x v="0"/>
    <x v="2"/>
    <x v="9"/>
    <s v="ImationÂ Clip USBÂ flash driveÂ - 8 GB"/>
    <x v="2265"/>
    <n v="2"/>
    <n v="-5.26"/>
    <x v="0"/>
    <x v="2"/>
  </r>
  <r>
    <n v="44929"/>
    <x v="305"/>
    <x v="0"/>
    <x v="2"/>
    <x v="9"/>
    <s v="WD My Passport Ultra 1TB Portable External Hard Drive"/>
    <x v="2949"/>
    <n v="3"/>
    <n v="-6.21"/>
    <x v="0"/>
    <x v="2"/>
  </r>
  <r>
    <n v="44929"/>
    <x v="305"/>
    <x v="0"/>
    <x v="2"/>
    <x v="6"/>
    <s v="AT&amp;T 17929 Lendline Telephone"/>
    <x v="81"/>
    <n v="5"/>
    <n v="13.57"/>
    <x v="0"/>
    <x v="2"/>
  </r>
  <r>
    <n v="44929"/>
    <x v="731"/>
    <x v="39"/>
    <x v="1"/>
    <x v="13"/>
    <s v="Hon Practical Foundations 30 x 60 Training Table, Light Gray/Charcoal"/>
    <x v="2950"/>
    <n v="7"/>
    <n v="350.43"/>
    <x v="0"/>
    <x v="2"/>
  </r>
  <r>
    <n v="44929"/>
    <x v="731"/>
    <x v="39"/>
    <x v="0"/>
    <x v="3"/>
    <s v="Storex Dura Pro Binders"/>
    <x v="399"/>
    <n v="2"/>
    <n v="5.35"/>
    <x v="0"/>
    <x v="2"/>
  </r>
  <r>
    <n v="44930"/>
    <x v="732"/>
    <x v="25"/>
    <x v="2"/>
    <x v="16"/>
    <s v="Hewlett Packard 310 Color Digital Copier"/>
    <x v="2951"/>
    <n v="4"/>
    <n v="120"/>
    <x v="0"/>
    <x v="2"/>
  </r>
  <r>
    <n v="44930"/>
    <x v="624"/>
    <x v="2"/>
    <x v="0"/>
    <x v="4"/>
    <s v="Newell 312"/>
    <x v="1072"/>
    <n v="1"/>
    <n v="0.57999999999999996"/>
    <x v="0"/>
    <x v="2"/>
  </r>
  <r>
    <n v="44930"/>
    <x v="624"/>
    <x v="2"/>
    <x v="0"/>
    <x v="3"/>
    <s v="Avery Arch Ring Binders"/>
    <x v="428"/>
    <n v="6"/>
    <n v="-80.180000000000007"/>
    <x v="0"/>
    <x v="2"/>
  </r>
  <r>
    <n v="44931"/>
    <x v="202"/>
    <x v="16"/>
    <x v="2"/>
    <x v="9"/>
    <s v="LogitechÂ MX Performance Wireless Mouse"/>
    <x v="2952"/>
    <n v="6"/>
    <n v="40.69"/>
    <x v="0"/>
    <x v="2"/>
  </r>
  <r>
    <n v="44931"/>
    <x v="202"/>
    <x v="16"/>
    <x v="0"/>
    <x v="4"/>
    <s v="Newell 337"/>
    <x v="607"/>
    <n v="2"/>
    <n v="0.59"/>
    <x v="0"/>
    <x v="2"/>
  </r>
  <r>
    <n v="44931"/>
    <x v="202"/>
    <x v="16"/>
    <x v="2"/>
    <x v="6"/>
    <s v="Logitech B530 USBÂ HeadsetÂ -Â headsetÂ - Full size, Binaural"/>
    <x v="2953"/>
    <n v="2"/>
    <n v="5.18"/>
    <x v="0"/>
    <x v="2"/>
  </r>
  <r>
    <n v="44933"/>
    <x v="233"/>
    <x v="3"/>
    <x v="0"/>
    <x v="4"/>
    <s v="Panasonic KP-350BK Electric Pencil Sharpener with Auto Stop"/>
    <x v="2954"/>
    <n v="1"/>
    <n v="10.029999999999999"/>
    <x v="0"/>
    <x v="2"/>
  </r>
  <r>
    <n v="44933"/>
    <x v="685"/>
    <x v="0"/>
    <x v="1"/>
    <x v="8"/>
    <s v="Executive Impressions 13&quot; Clairmont Wall Clock"/>
    <x v="2955"/>
    <n v="3"/>
    <n v="-10.96"/>
    <x v="0"/>
    <x v="2"/>
  </r>
  <r>
    <n v="44933"/>
    <x v="685"/>
    <x v="0"/>
    <x v="0"/>
    <x v="0"/>
    <s v="Xerox 212"/>
    <x v="499"/>
    <n v="5"/>
    <n v="9.07"/>
    <x v="0"/>
    <x v="2"/>
  </r>
  <r>
    <n v="44934"/>
    <x v="4"/>
    <x v="21"/>
    <x v="1"/>
    <x v="11"/>
    <s v="Atlantic Metals Mobile 3-Shelf Bookcases, Custom Colors"/>
    <x v="2956"/>
    <n v="6"/>
    <n v="407.13"/>
    <x v="0"/>
    <x v="2"/>
  </r>
  <r>
    <n v="44934"/>
    <x v="4"/>
    <x v="21"/>
    <x v="0"/>
    <x v="3"/>
    <s v="Plastic Binding Combs"/>
    <x v="2957"/>
    <n v="7"/>
    <n v="49.84"/>
    <x v="0"/>
    <x v="2"/>
  </r>
  <r>
    <n v="44934"/>
    <x v="6"/>
    <x v="25"/>
    <x v="0"/>
    <x v="3"/>
    <s v="XtraLife ClearVue Slant-D Ring Binder, White, 3&quot;"/>
    <x v="2958"/>
    <n v="7"/>
    <n v="-24.66"/>
    <x v="0"/>
    <x v="2"/>
  </r>
  <r>
    <n v="44934"/>
    <x v="6"/>
    <x v="25"/>
    <x v="0"/>
    <x v="4"/>
    <s v="Newell 319"/>
    <x v="2959"/>
    <n v="3"/>
    <n v="5.95"/>
    <x v="0"/>
    <x v="2"/>
  </r>
  <r>
    <n v="44934"/>
    <x v="6"/>
    <x v="25"/>
    <x v="2"/>
    <x v="6"/>
    <s v="Avaya 5410 Digital phone"/>
    <x v="2960"/>
    <n v="2"/>
    <n v="10.88"/>
    <x v="0"/>
    <x v="2"/>
  </r>
  <r>
    <n v="44935"/>
    <x v="174"/>
    <x v="3"/>
    <x v="2"/>
    <x v="9"/>
    <s v="Logitech G500s Laser Gaming Mouse with Adjustable Weight Tuning"/>
    <x v="2961"/>
    <n v="5"/>
    <n v="118.98"/>
    <x v="0"/>
    <x v="2"/>
  </r>
  <r>
    <n v="44935"/>
    <x v="174"/>
    <x v="3"/>
    <x v="2"/>
    <x v="6"/>
    <s v="netTALK DUO VoIP Telephone Service"/>
    <x v="2962"/>
    <n v="9"/>
    <n v="141.72"/>
    <x v="0"/>
    <x v="2"/>
  </r>
  <r>
    <n v="44935"/>
    <x v="591"/>
    <x v="10"/>
    <x v="1"/>
    <x v="8"/>
    <s v="DAX Two-Tone Rosewood/Black Document Frame, Desktop, 5 x 7"/>
    <x v="2963"/>
    <n v="2"/>
    <n v="3.79"/>
    <x v="0"/>
    <x v="2"/>
  </r>
  <r>
    <n v="44936"/>
    <x v="127"/>
    <x v="22"/>
    <x v="1"/>
    <x v="8"/>
    <s v="24-Hour Round Wall Clock"/>
    <x v="2828"/>
    <n v="4"/>
    <n v="34.369999999999997"/>
    <x v="0"/>
    <x v="2"/>
  </r>
  <r>
    <n v="44936"/>
    <x v="127"/>
    <x v="22"/>
    <x v="2"/>
    <x v="9"/>
    <s v="Logitech Media Keyboard K200"/>
    <x v="2964"/>
    <n v="2"/>
    <n v="13.3"/>
    <x v="0"/>
    <x v="2"/>
  </r>
  <r>
    <n v="44936"/>
    <x v="733"/>
    <x v="22"/>
    <x v="1"/>
    <x v="8"/>
    <s v="DAX Value U-Channel Document Frames, Easel Back"/>
    <x v="2965"/>
    <n v="5"/>
    <n v="7.7"/>
    <x v="0"/>
    <x v="2"/>
  </r>
  <r>
    <n v="44937"/>
    <x v="354"/>
    <x v="10"/>
    <x v="0"/>
    <x v="0"/>
    <s v="Xerox 2"/>
    <x v="143"/>
    <n v="3"/>
    <n v="5.44"/>
    <x v="0"/>
    <x v="2"/>
  </r>
  <r>
    <n v="44937"/>
    <x v="354"/>
    <x v="10"/>
    <x v="0"/>
    <x v="0"/>
    <s v="Xerox 1935"/>
    <x v="2966"/>
    <n v="3"/>
    <n v="20.58"/>
    <x v="0"/>
    <x v="2"/>
  </r>
  <r>
    <n v="44937"/>
    <x v="354"/>
    <x v="10"/>
    <x v="2"/>
    <x v="6"/>
    <s v="Cyber Acoustics AC-202b Speech Recognition Stereo Headset"/>
    <x v="2967"/>
    <n v="2"/>
    <n v="-9.8699999999999992"/>
    <x v="0"/>
    <x v="2"/>
  </r>
  <r>
    <n v="44937"/>
    <x v="114"/>
    <x v="10"/>
    <x v="1"/>
    <x v="8"/>
    <s v="Ultra Door Push Plate"/>
    <x v="2968"/>
    <n v="14"/>
    <n v="8.94"/>
    <x v="0"/>
    <x v="2"/>
  </r>
  <r>
    <n v="44940"/>
    <x v="643"/>
    <x v="25"/>
    <x v="0"/>
    <x v="0"/>
    <s v="Xerox 1882"/>
    <x v="2969"/>
    <n v="2"/>
    <n v="32.47"/>
    <x v="0"/>
    <x v="2"/>
  </r>
  <r>
    <n v="44940"/>
    <x v="643"/>
    <x v="25"/>
    <x v="1"/>
    <x v="8"/>
    <s v="Electrix Fluorescent Magnifier Lamps &amp; Weighted Base"/>
    <x v="2970"/>
    <n v="8"/>
    <n v="31.58"/>
    <x v="0"/>
    <x v="2"/>
  </r>
  <r>
    <n v="44941"/>
    <x v="222"/>
    <x v="23"/>
    <x v="0"/>
    <x v="10"/>
    <s v="Quality Park Security Envelopes"/>
    <x v="2971"/>
    <n v="2"/>
    <n v="24.6"/>
    <x v="0"/>
    <x v="2"/>
  </r>
  <r>
    <n v="44941"/>
    <x v="222"/>
    <x v="23"/>
    <x v="0"/>
    <x v="4"/>
    <s v="American Pencil"/>
    <x v="2649"/>
    <n v="2"/>
    <n v="1.35"/>
    <x v="0"/>
    <x v="2"/>
  </r>
  <r>
    <n v="44941"/>
    <x v="222"/>
    <x v="23"/>
    <x v="2"/>
    <x v="9"/>
    <s v="LogitechÂ Gaming G510s - Keyboard"/>
    <x v="1500"/>
    <n v="3"/>
    <n v="91.79"/>
    <x v="0"/>
    <x v="2"/>
  </r>
  <r>
    <n v="44941"/>
    <x v="554"/>
    <x v="37"/>
    <x v="1"/>
    <x v="13"/>
    <s v="Bevis Round Bullnose 29&quot; High Table Top"/>
    <x v="2972"/>
    <n v="1"/>
    <n v="-15.58"/>
    <x v="0"/>
    <x v="2"/>
  </r>
  <r>
    <n v="44941"/>
    <x v="494"/>
    <x v="20"/>
    <x v="0"/>
    <x v="10"/>
    <s v="#10 Gummed Flap White Envelopes, 100/Box"/>
    <x v="356"/>
    <n v="4"/>
    <n v="7.6"/>
    <x v="0"/>
    <x v="2"/>
  </r>
  <r>
    <n v="44941"/>
    <x v="494"/>
    <x v="20"/>
    <x v="0"/>
    <x v="0"/>
    <s v="Xerox 1959"/>
    <x v="2973"/>
    <n v="9"/>
    <n v="28.86"/>
    <x v="0"/>
    <x v="2"/>
  </r>
  <r>
    <n v="44941"/>
    <x v="494"/>
    <x v="20"/>
    <x v="0"/>
    <x v="3"/>
    <s v="Square Ring Data Binders, Rigid 75 Pt. Covers, 11&quot; x 14-7/8&quot;"/>
    <x v="2974"/>
    <n v="3"/>
    <n v="17.34"/>
    <x v="0"/>
    <x v="2"/>
  </r>
  <r>
    <n v="44941"/>
    <x v="734"/>
    <x v="20"/>
    <x v="0"/>
    <x v="0"/>
    <s v="Xerox 1893"/>
    <x v="1045"/>
    <n v="2"/>
    <n v="40.17"/>
    <x v="0"/>
    <x v="2"/>
  </r>
  <r>
    <n v="44942"/>
    <x v="281"/>
    <x v="3"/>
    <x v="0"/>
    <x v="3"/>
    <s v="Wilson Jones Active Use Binders"/>
    <x v="563"/>
    <n v="2"/>
    <n v="4.22"/>
    <x v="0"/>
    <x v="2"/>
  </r>
  <r>
    <n v="44942"/>
    <x v="281"/>
    <x v="3"/>
    <x v="2"/>
    <x v="9"/>
    <s v="ImationÂ 8GB Mini TravelDrive USB 2.0Â Flash Drive"/>
    <x v="2975"/>
    <n v="3"/>
    <n v="11.77"/>
    <x v="0"/>
    <x v="2"/>
  </r>
  <r>
    <n v="44943"/>
    <x v="684"/>
    <x v="38"/>
    <x v="1"/>
    <x v="8"/>
    <s v="Tenex Contemporary Contur Chairmats for Low and Medium Pile Carpet, Computer, 39&quot; x 49&quot;"/>
    <x v="2762"/>
    <n v="3"/>
    <n v="64.52"/>
    <x v="0"/>
    <x v="2"/>
  </r>
  <r>
    <n v="44943"/>
    <x v="684"/>
    <x v="38"/>
    <x v="2"/>
    <x v="9"/>
    <s v="Logitech 910-002974 M325 Wireless Mouse for Web Scrolling"/>
    <x v="1377"/>
    <n v="1"/>
    <n v="13.2"/>
    <x v="0"/>
    <x v="2"/>
  </r>
  <r>
    <n v="44943"/>
    <x v="684"/>
    <x v="38"/>
    <x v="2"/>
    <x v="9"/>
    <s v="Logitech G19 Programmable Gaming Keyboard"/>
    <x v="2621"/>
    <n v="3"/>
    <n v="66.95"/>
    <x v="0"/>
    <x v="2"/>
  </r>
  <r>
    <n v="44943"/>
    <x v="729"/>
    <x v="4"/>
    <x v="2"/>
    <x v="9"/>
    <s v="First Data FD10 PIN Pad"/>
    <x v="2976"/>
    <n v="4"/>
    <n v="31.6"/>
    <x v="0"/>
    <x v="2"/>
  </r>
  <r>
    <n v="44947"/>
    <x v="210"/>
    <x v="3"/>
    <x v="1"/>
    <x v="5"/>
    <s v="Global Super Steno Chair"/>
    <x v="2977"/>
    <n v="2"/>
    <n v="-5.76"/>
    <x v="0"/>
    <x v="2"/>
  </r>
  <r>
    <n v="44947"/>
    <x v="210"/>
    <x v="3"/>
    <x v="1"/>
    <x v="5"/>
    <s v="Global Ergonomic Managers Chair"/>
    <x v="2978"/>
    <n v="7"/>
    <n v="76.010000000000005"/>
    <x v="0"/>
    <x v="2"/>
  </r>
  <r>
    <n v="44948"/>
    <x v="194"/>
    <x v="23"/>
    <x v="0"/>
    <x v="7"/>
    <s v="Bagged Rubber Bands"/>
    <x v="2026"/>
    <n v="6"/>
    <n v="0.3"/>
    <x v="0"/>
    <x v="2"/>
  </r>
  <r>
    <n v="44948"/>
    <x v="695"/>
    <x v="25"/>
    <x v="1"/>
    <x v="8"/>
    <s v="Eldon Pizzaz Desk Accessories"/>
    <x v="2979"/>
    <n v="8"/>
    <n v="4.28"/>
    <x v="0"/>
    <x v="2"/>
  </r>
  <r>
    <n v="44948"/>
    <x v="695"/>
    <x v="25"/>
    <x v="1"/>
    <x v="11"/>
    <s v="Sauder Forest Hills Library, Woodland Oak Finish"/>
    <x v="2980"/>
    <n v="4"/>
    <n v="-67.67"/>
    <x v="0"/>
    <x v="2"/>
  </r>
  <r>
    <n v="44948"/>
    <x v="695"/>
    <x v="25"/>
    <x v="0"/>
    <x v="12"/>
    <s v="Fellowes Mighty 8 Compact Surge Protector"/>
    <x v="38"/>
    <n v="4"/>
    <n v="6.49"/>
    <x v="0"/>
    <x v="2"/>
  </r>
  <r>
    <n v="44948"/>
    <x v="202"/>
    <x v="22"/>
    <x v="1"/>
    <x v="8"/>
    <s v="Contract Clock, 14&quot;, Brown"/>
    <x v="2981"/>
    <n v="5"/>
    <n v="37.369999999999997"/>
    <x v="0"/>
    <x v="2"/>
  </r>
  <r>
    <n v="44948"/>
    <x v="387"/>
    <x v="22"/>
    <x v="0"/>
    <x v="0"/>
    <s v="Xerox 218"/>
    <x v="115"/>
    <n v="2"/>
    <n v="6.22"/>
    <x v="0"/>
    <x v="2"/>
  </r>
  <r>
    <n v="44948"/>
    <x v="558"/>
    <x v="3"/>
    <x v="0"/>
    <x v="1"/>
    <s v="Avery 475"/>
    <x v="255"/>
    <n v="3"/>
    <n v="22.2"/>
    <x v="0"/>
    <x v="2"/>
  </r>
  <r>
    <n v="44948"/>
    <x v="558"/>
    <x v="3"/>
    <x v="0"/>
    <x v="1"/>
    <s v="Avery 476"/>
    <x v="153"/>
    <n v="5"/>
    <n v="9.5"/>
    <x v="0"/>
    <x v="2"/>
  </r>
  <r>
    <n v="44948"/>
    <x v="214"/>
    <x v="10"/>
    <x v="2"/>
    <x v="6"/>
    <s v="Panasonic Kx-TS550"/>
    <x v="2982"/>
    <n v="4"/>
    <n v="-20.239999999999998"/>
    <x v="0"/>
    <x v="2"/>
  </r>
  <r>
    <n v="44948"/>
    <x v="214"/>
    <x v="10"/>
    <x v="2"/>
    <x v="9"/>
    <s v="Verbatim 25 GB 6x Blu-ray Single Layer Recordable Disc, 25/Pack"/>
    <x v="2983"/>
    <n v="3"/>
    <n v="15.86"/>
    <x v="0"/>
    <x v="2"/>
  </r>
  <r>
    <n v="44948"/>
    <x v="263"/>
    <x v="20"/>
    <x v="0"/>
    <x v="3"/>
    <s v="Wilson Jones data.warehouse D-Ring Binders with DublLock"/>
    <x v="2984"/>
    <n v="4"/>
    <n v="9.2200000000000006"/>
    <x v="0"/>
    <x v="2"/>
  </r>
  <r>
    <n v="44949"/>
    <x v="710"/>
    <x v="3"/>
    <x v="1"/>
    <x v="8"/>
    <s v="DAX Cubicle Frames, 8-1/2 x 11"/>
    <x v="2566"/>
    <n v="7"/>
    <n v="21.6"/>
    <x v="0"/>
    <x v="2"/>
  </r>
  <r>
    <n v="44949"/>
    <x v="595"/>
    <x v="45"/>
    <x v="2"/>
    <x v="9"/>
    <s v="Logitech Wireless Marathon Mouse M705"/>
    <x v="287"/>
    <n v="2"/>
    <n v="42.99"/>
    <x v="0"/>
    <x v="2"/>
  </r>
  <r>
    <n v="44949"/>
    <x v="595"/>
    <x v="45"/>
    <x v="0"/>
    <x v="4"/>
    <s v="4009 Highlighters"/>
    <x v="2015"/>
    <n v="6"/>
    <n v="2.73"/>
    <x v="0"/>
    <x v="2"/>
  </r>
  <r>
    <n v="44949"/>
    <x v="595"/>
    <x v="45"/>
    <x v="0"/>
    <x v="2"/>
    <s v="Iceberg Mobile Mega Data/Printer Cart"/>
    <x v="2985"/>
    <n v="13"/>
    <n v="406.72"/>
    <x v="0"/>
    <x v="2"/>
  </r>
  <r>
    <n v="44950"/>
    <x v="418"/>
    <x v="29"/>
    <x v="0"/>
    <x v="3"/>
    <s v="XtraLife ClearVue Slant-D Ring Binders by Cardinal"/>
    <x v="2986"/>
    <n v="4"/>
    <n v="15.68"/>
    <x v="0"/>
    <x v="2"/>
  </r>
  <r>
    <n v="44951"/>
    <x v="735"/>
    <x v="23"/>
    <x v="0"/>
    <x v="4"/>
    <s v="Dixon Ticonderoga Maple Cedar Pencil, #2"/>
    <x v="2987"/>
    <n v="3"/>
    <n v="2.2999999999999998"/>
    <x v="0"/>
    <x v="2"/>
  </r>
  <r>
    <n v="44951"/>
    <x v="735"/>
    <x v="23"/>
    <x v="0"/>
    <x v="0"/>
    <s v="Telephone Message Books with Fax/Mobile Section, 4 1/4&quot; x 6&quot;"/>
    <x v="2988"/>
    <n v="5"/>
    <n v="8.2799999999999994"/>
    <x v="0"/>
    <x v="2"/>
  </r>
  <r>
    <n v="44951"/>
    <x v="104"/>
    <x v="20"/>
    <x v="0"/>
    <x v="3"/>
    <s v="GBC Standard Recycled Report Covers, Clear Plastic Sheets"/>
    <x v="2989"/>
    <n v="5"/>
    <n v="15.09"/>
    <x v="0"/>
    <x v="2"/>
  </r>
  <r>
    <n v="44951"/>
    <x v="104"/>
    <x v="20"/>
    <x v="1"/>
    <x v="13"/>
    <s v="Chromcraft Round Conference Tables"/>
    <x v="2990"/>
    <n v="3"/>
    <n v="-99.35"/>
    <x v="0"/>
    <x v="2"/>
  </r>
  <r>
    <n v="44951"/>
    <x v="104"/>
    <x v="20"/>
    <x v="1"/>
    <x v="8"/>
    <s v="Tenex B1-RE Series Chair Mats for Low Pile Carpets"/>
    <x v="758"/>
    <n v="1"/>
    <n v="7.82"/>
    <x v="0"/>
    <x v="2"/>
  </r>
  <r>
    <n v="44951"/>
    <x v="104"/>
    <x v="20"/>
    <x v="0"/>
    <x v="2"/>
    <s v="SAFCO Commercial Wire Shelving, 72h"/>
    <x v="2991"/>
    <n v="7"/>
    <n v="0"/>
    <x v="0"/>
    <x v="2"/>
  </r>
  <r>
    <n v="44954"/>
    <x v="418"/>
    <x v="3"/>
    <x v="0"/>
    <x v="4"/>
    <s v="Newell 345"/>
    <x v="332"/>
    <n v="2"/>
    <n v="10.32"/>
    <x v="0"/>
    <x v="2"/>
  </r>
  <r>
    <n v="44956"/>
    <x v="467"/>
    <x v="3"/>
    <x v="0"/>
    <x v="3"/>
    <s v="Heavy-Duty E-Z-D Binders"/>
    <x v="96"/>
    <n v="2"/>
    <n v="5.89"/>
    <x v="0"/>
    <x v="2"/>
  </r>
  <r>
    <n v="44956"/>
    <x v="236"/>
    <x v="3"/>
    <x v="0"/>
    <x v="2"/>
    <s v="File Shuttle II and Handi-File, Black"/>
    <x v="2992"/>
    <n v="9"/>
    <n v="76.25"/>
    <x v="0"/>
    <x v="2"/>
  </r>
  <r>
    <n v="44956"/>
    <x v="236"/>
    <x v="3"/>
    <x v="0"/>
    <x v="3"/>
    <s v="GBC Wire Binding Strips"/>
    <x v="2993"/>
    <n v="2"/>
    <n v="17.77"/>
    <x v="0"/>
    <x v="2"/>
  </r>
  <r>
    <n v="44956"/>
    <x v="236"/>
    <x v="3"/>
    <x v="0"/>
    <x v="1"/>
    <s v="Avery 512"/>
    <x v="2994"/>
    <n v="9"/>
    <n v="12.22"/>
    <x v="0"/>
    <x v="2"/>
  </r>
  <r>
    <n v="44956"/>
    <x v="560"/>
    <x v="22"/>
    <x v="1"/>
    <x v="5"/>
    <s v="Global Deluxe High-Back Office Chair in Storm"/>
    <x v="2995"/>
    <n v="4"/>
    <n v="-59.84"/>
    <x v="0"/>
    <x v="2"/>
  </r>
  <r>
    <n v="44956"/>
    <x v="560"/>
    <x v="22"/>
    <x v="1"/>
    <x v="11"/>
    <s v="O'Sullivan 2-Shelf Heavy-Duty Bookcases"/>
    <x v="2996"/>
    <n v="1"/>
    <n v="7.77"/>
    <x v="0"/>
    <x v="2"/>
  </r>
  <r>
    <n v="44956"/>
    <x v="736"/>
    <x v="1"/>
    <x v="0"/>
    <x v="0"/>
    <s v="Xerox 1943"/>
    <x v="2997"/>
    <n v="4"/>
    <n v="52.82"/>
    <x v="0"/>
    <x v="2"/>
  </r>
  <r>
    <n v="44956"/>
    <x v="447"/>
    <x v="1"/>
    <x v="2"/>
    <x v="6"/>
    <s v="Nokia Lumia 1020"/>
    <x v="1873"/>
    <n v="4"/>
    <n v="144"/>
    <x v="0"/>
    <x v="2"/>
  </r>
  <r>
    <n v="44956"/>
    <x v="447"/>
    <x v="1"/>
    <x v="0"/>
    <x v="3"/>
    <s v="Avery Durable Binders"/>
    <x v="2998"/>
    <n v="3"/>
    <n v="-2.68"/>
    <x v="0"/>
    <x v="2"/>
  </r>
  <r>
    <n v="44956"/>
    <x v="447"/>
    <x v="1"/>
    <x v="1"/>
    <x v="13"/>
    <s v="Bretford Â“Just In TimeÂ” Height-Adjustable Multi-Task Work Tables"/>
    <x v="2999"/>
    <n v="3"/>
    <n v="-538.45000000000005"/>
    <x v="0"/>
    <x v="2"/>
  </r>
  <r>
    <n v="44957"/>
    <x v="90"/>
    <x v="3"/>
    <x v="2"/>
    <x v="6"/>
    <s v="AT&amp;T 1080 Phone"/>
    <x v="3000"/>
    <n v="1"/>
    <n v="8.2200000000000006"/>
    <x v="0"/>
    <x v="2"/>
  </r>
  <r>
    <n v="44957"/>
    <x v="90"/>
    <x v="3"/>
    <x v="0"/>
    <x v="0"/>
    <s v="Easy-staple paper"/>
    <x v="2221"/>
    <n v="5"/>
    <n v="27.78"/>
    <x v="0"/>
    <x v="2"/>
  </r>
  <r>
    <n v="44957"/>
    <x v="69"/>
    <x v="0"/>
    <x v="0"/>
    <x v="0"/>
    <s v="Xerox 1994"/>
    <x v="143"/>
    <n v="3"/>
    <n v="5.44"/>
    <x v="0"/>
    <x v="2"/>
  </r>
  <r>
    <n v="44957"/>
    <x v="527"/>
    <x v="23"/>
    <x v="0"/>
    <x v="10"/>
    <s v="Staple envelope"/>
    <x v="3001"/>
    <n v="2"/>
    <n v="11.68"/>
    <x v="0"/>
    <x v="2"/>
  </r>
  <r>
    <n v="44957"/>
    <x v="151"/>
    <x v="4"/>
    <x v="0"/>
    <x v="3"/>
    <s v="Fellowes PB500 Electric Punch Plastic Comb Binding Machine with Manual Bind"/>
    <x v="3002"/>
    <n v="1"/>
    <n v="635.5"/>
    <x v="0"/>
    <x v="2"/>
  </r>
  <r>
    <n v="44957"/>
    <x v="151"/>
    <x v="4"/>
    <x v="0"/>
    <x v="10"/>
    <s v="#10 White Business Envelopes,4 1/8 x 9 1/2"/>
    <x v="3003"/>
    <n v="8"/>
    <n v="58.92"/>
    <x v="0"/>
    <x v="2"/>
  </r>
  <r>
    <n v="44958"/>
    <x v="38"/>
    <x v="6"/>
    <x v="0"/>
    <x v="2"/>
    <s v="X-Rack File for Hanging Folders"/>
    <x v="3004"/>
    <n v="5"/>
    <n v="14.68"/>
    <x v="1"/>
    <x v="2"/>
  </r>
  <r>
    <n v="44958"/>
    <x v="436"/>
    <x v="3"/>
    <x v="0"/>
    <x v="0"/>
    <s v="Xerox 1883"/>
    <x v="1479"/>
    <n v="4"/>
    <n v="48.54"/>
    <x v="1"/>
    <x v="2"/>
  </r>
  <r>
    <n v="44959"/>
    <x v="579"/>
    <x v="20"/>
    <x v="0"/>
    <x v="2"/>
    <s v="Belkin 19&quot; Center-Weighted Shelf, Gray"/>
    <x v="3005"/>
    <n v="2"/>
    <n v="5.9"/>
    <x v="1"/>
    <x v="2"/>
  </r>
  <r>
    <n v="44959"/>
    <x v="145"/>
    <x v="6"/>
    <x v="2"/>
    <x v="15"/>
    <s v="HP Designjet T520 Inkjet Large Format Printer - 24&quot; Color"/>
    <x v="3006"/>
    <n v="5"/>
    <n v="2799.98"/>
    <x v="1"/>
    <x v="2"/>
  </r>
  <r>
    <n v="44959"/>
    <x v="145"/>
    <x v="6"/>
    <x v="0"/>
    <x v="3"/>
    <s v="Presstex Flexible Ring Binders"/>
    <x v="131"/>
    <n v="8"/>
    <n v="18.2"/>
    <x v="1"/>
    <x v="2"/>
  </r>
  <r>
    <n v="44959"/>
    <x v="145"/>
    <x v="6"/>
    <x v="1"/>
    <x v="8"/>
    <s v="Acrylic Self-Standing Desk Frames"/>
    <x v="3007"/>
    <n v="7"/>
    <n v="7.1"/>
    <x v="1"/>
    <x v="2"/>
  </r>
  <r>
    <n v="44959"/>
    <x v="270"/>
    <x v="0"/>
    <x v="1"/>
    <x v="8"/>
    <s v="Deflect-o RollaMat Studded, Beveled Mat for Medium Pile Carpeting"/>
    <x v="3008"/>
    <n v="2"/>
    <n v="-77.47"/>
    <x v="1"/>
    <x v="2"/>
  </r>
  <r>
    <n v="44960"/>
    <x v="31"/>
    <x v="5"/>
    <x v="1"/>
    <x v="5"/>
    <s v="Hon Multipurpose Stacking Arm Chairs"/>
    <x v="3009"/>
    <n v="4"/>
    <n v="225.26"/>
    <x v="1"/>
    <x v="2"/>
  </r>
  <r>
    <n v="44961"/>
    <x v="463"/>
    <x v="12"/>
    <x v="1"/>
    <x v="8"/>
    <s v="Nu-Dell Float Frame 11 x 14 1/2"/>
    <x v="2309"/>
    <n v="2"/>
    <n v="3.95"/>
    <x v="1"/>
    <x v="2"/>
  </r>
  <r>
    <n v="44961"/>
    <x v="389"/>
    <x v="36"/>
    <x v="2"/>
    <x v="6"/>
    <s v="AT&amp;T 17929 Lendline Telephone"/>
    <x v="3010"/>
    <n v="2"/>
    <n v="23.52"/>
    <x v="1"/>
    <x v="2"/>
  </r>
  <r>
    <n v="44961"/>
    <x v="403"/>
    <x v="3"/>
    <x v="0"/>
    <x v="2"/>
    <s v="Safco Commercial Shelving"/>
    <x v="745"/>
    <n v="2"/>
    <n v="3.72"/>
    <x v="1"/>
    <x v="2"/>
  </r>
  <r>
    <n v="44962"/>
    <x v="367"/>
    <x v="4"/>
    <x v="0"/>
    <x v="2"/>
    <s v="Carina 42&quot;Hx23 3/4&quot;W Media Storage Unit"/>
    <x v="170"/>
    <n v="1"/>
    <n v="1.62"/>
    <x v="1"/>
    <x v="2"/>
  </r>
  <r>
    <n v="44962"/>
    <x v="367"/>
    <x v="4"/>
    <x v="0"/>
    <x v="0"/>
    <s v="White Computer Printout Paper by Universal"/>
    <x v="3011"/>
    <n v="9"/>
    <n v="170.93"/>
    <x v="1"/>
    <x v="2"/>
  </r>
  <r>
    <n v="44962"/>
    <x v="367"/>
    <x v="4"/>
    <x v="0"/>
    <x v="7"/>
    <s v="Revere Boxed Rubber Bands by Revere"/>
    <x v="412"/>
    <n v="5"/>
    <n v="0.19"/>
    <x v="1"/>
    <x v="2"/>
  </r>
  <r>
    <n v="44962"/>
    <x v="367"/>
    <x v="4"/>
    <x v="1"/>
    <x v="8"/>
    <s v="Eldon 200 Class Desk Accessories, Black"/>
    <x v="125"/>
    <n v="3"/>
    <n v="7.16"/>
    <x v="1"/>
    <x v="2"/>
  </r>
  <r>
    <n v="44962"/>
    <x v="367"/>
    <x v="4"/>
    <x v="1"/>
    <x v="11"/>
    <s v="Bush Andora Bookcase, Maple/Graphite Gray Finish"/>
    <x v="868"/>
    <n v="2"/>
    <n v="52.8"/>
    <x v="1"/>
    <x v="2"/>
  </r>
  <r>
    <n v="44962"/>
    <x v="367"/>
    <x v="4"/>
    <x v="0"/>
    <x v="10"/>
    <s v="Ames Color-File Green Diamond Border X-ray Mailers"/>
    <x v="3012"/>
    <n v="2"/>
    <n v="78.94"/>
    <x v="1"/>
    <x v="2"/>
  </r>
  <r>
    <n v="44962"/>
    <x v="367"/>
    <x v="4"/>
    <x v="2"/>
    <x v="6"/>
    <s v="Plantronics CordlessÂ Phone HeadsetÂ with In-line Volume - M214C"/>
    <x v="681"/>
    <n v="3"/>
    <n v="28.31"/>
    <x v="1"/>
    <x v="2"/>
  </r>
  <r>
    <n v="44962"/>
    <x v="367"/>
    <x v="4"/>
    <x v="2"/>
    <x v="6"/>
    <s v="Aastra 57i VoIP phone"/>
    <x v="3013"/>
    <n v="3"/>
    <n v="126.06"/>
    <x v="1"/>
    <x v="2"/>
  </r>
  <r>
    <n v="44962"/>
    <x v="367"/>
    <x v="4"/>
    <x v="0"/>
    <x v="0"/>
    <s v="White Dual Perf Computer Printout Paper, 2700 Sheets, 1 Part, Heavyweight, 20 lbs., 14 7/8 x 11"/>
    <x v="222"/>
    <n v="3"/>
    <n v="60.26"/>
    <x v="1"/>
    <x v="2"/>
  </r>
  <r>
    <n v="44962"/>
    <x v="367"/>
    <x v="4"/>
    <x v="0"/>
    <x v="2"/>
    <s v="Belkin 19&quot; Vented Equipment Shelf, Black"/>
    <x v="3014"/>
    <n v="3"/>
    <n v="1.54"/>
    <x v="1"/>
    <x v="2"/>
  </r>
  <r>
    <n v="44962"/>
    <x v="367"/>
    <x v="4"/>
    <x v="0"/>
    <x v="0"/>
    <s v="Xerox 1943"/>
    <x v="3015"/>
    <n v="7"/>
    <n v="160.91"/>
    <x v="1"/>
    <x v="2"/>
  </r>
  <r>
    <n v="44962"/>
    <x v="86"/>
    <x v="3"/>
    <x v="0"/>
    <x v="1"/>
    <s v="Avery 508"/>
    <x v="57"/>
    <n v="3"/>
    <n v="7.22"/>
    <x v="1"/>
    <x v="2"/>
  </r>
  <r>
    <n v="44962"/>
    <x v="86"/>
    <x v="3"/>
    <x v="0"/>
    <x v="2"/>
    <s v="Fellowes Mobile File Cart, Black"/>
    <x v="2626"/>
    <n v="3"/>
    <n v="50.37"/>
    <x v="1"/>
    <x v="2"/>
  </r>
  <r>
    <n v="44962"/>
    <x v="86"/>
    <x v="3"/>
    <x v="1"/>
    <x v="13"/>
    <s v="Chromcraft Round Conference Tables"/>
    <x v="3016"/>
    <n v="4"/>
    <n v="6.97"/>
    <x v="1"/>
    <x v="2"/>
  </r>
  <r>
    <n v="44962"/>
    <x v="86"/>
    <x v="3"/>
    <x v="2"/>
    <x v="6"/>
    <s v="Anker Astro 15000mAh USB Portable Charger"/>
    <x v="2673"/>
    <n v="4"/>
    <n v="-31.99"/>
    <x v="1"/>
    <x v="2"/>
  </r>
  <r>
    <n v="44963"/>
    <x v="119"/>
    <x v="15"/>
    <x v="1"/>
    <x v="8"/>
    <s v="Deflect-o EconoMat Studded, No Bevel Mat for Low Pile Carpeting"/>
    <x v="3017"/>
    <n v="4"/>
    <n v="-18.18"/>
    <x v="1"/>
    <x v="2"/>
  </r>
  <r>
    <n v="44964"/>
    <x v="103"/>
    <x v="6"/>
    <x v="2"/>
    <x v="9"/>
    <s v="Micro Innovations USB RF Wireless Keyboard with Mouse"/>
    <x v="3018"/>
    <n v="4"/>
    <n v="21"/>
    <x v="1"/>
    <x v="2"/>
  </r>
  <r>
    <n v="44964"/>
    <x v="103"/>
    <x v="6"/>
    <x v="0"/>
    <x v="1"/>
    <s v="Permanent Self-Adhesive File Folder Labels for Typewriters by Universal"/>
    <x v="337"/>
    <n v="3"/>
    <n v="3.6"/>
    <x v="1"/>
    <x v="2"/>
  </r>
  <r>
    <n v="44964"/>
    <x v="737"/>
    <x v="10"/>
    <x v="0"/>
    <x v="0"/>
    <s v="Xerox 1912"/>
    <x v="3019"/>
    <n v="2"/>
    <n v="10.62"/>
    <x v="1"/>
    <x v="2"/>
  </r>
  <r>
    <n v="44964"/>
    <x v="732"/>
    <x v="3"/>
    <x v="2"/>
    <x v="6"/>
    <s v="Motorola L703CM"/>
    <x v="2199"/>
    <n v="5"/>
    <n v="39"/>
    <x v="1"/>
    <x v="2"/>
  </r>
  <r>
    <n v="44965"/>
    <x v="662"/>
    <x v="25"/>
    <x v="2"/>
    <x v="6"/>
    <s v="Samsung Galaxy S4 Mini"/>
    <x v="3020"/>
    <n v="3"/>
    <n v="126.9"/>
    <x v="1"/>
    <x v="2"/>
  </r>
  <r>
    <n v="44965"/>
    <x v="36"/>
    <x v="0"/>
    <x v="1"/>
    <x v="5"/>
    <s v="Harbour Creations Steel Folding Chair"/>
    <x v="3021"/>
    <n v="4"/>
    <n v="0"/>
    <x v="1"/>
    <x v="2"/>
  </r>
  <r>
    <n v="44966"/>
    <x v="691"/>
    <x v="3"/>
    <x v="2"/>
    <x v="9"/>
    <s v="Logitech 910-002974 M325 Wireless Mouse for Web Scrolling"/>
    <x v="1236"/>
    <n v="3"/>
    <n v="39.590000000000003"/>
    <x v="1"/>
    <x v="2"/>
  </r>
  <r>
    <n v="44966"/>
    <x v="691"/>
    <x v="3"/>
    <x v="2"/>
    <x v="9"/>
    <s v="Maxell 4.7GB DVD+RW 3/Pack"/>
    <x v="3022"/>
    <n v="2"/>
    <n v="11.15"/>
    <x v="1"/>
    <x v="2"/>
  </r>
  <r>
    <n v="44968"/>
    <x v="532"/>
    <x v="39"/>
    <x v="2"/>
    <x v="6"/>
    <s v="Mediabridge Sport Armband iPhone 5s"/>
    <x v="2369"/>
    <n v="7"/>
    <n v="0.7"/>
    <x v="1"/>
    <x v="2"/>
  </r>
  <r>
    <n v="44969"/>
    <x v="143"/>
    <x v="4"/>
    <x v="0"/>
    <x v="2"/>
    <s v="Tennsco Double-Tier Lockers"/>
    <x v="3023"/>
    <n v="6"/>
    <n v="175.52"/>
    <x v="1"/>
    <x v="2"/>
  </r>
  <r>
    <n v="44969"/>
    <x v="143"/>
    <x v="4"/>
    <x v="0"/>
    <x v="3"/>
    <s v="Avery Durable Slant Ring Binders, No Labels"/>
    <x v="3024"/>
    <n v="4"/>
    <n v="7.48"/>
    <x v="1"/>
    <x v="2"/>
  </r>
  <r>
    <n v="44970"/>
    <x v="476"/>
    <x v="3"/>
    <x v="0"/>
    <x v="0"/>
    <s v="Tops Green Bar Computer Printout Paper"/>
    <x v="1454"/>
    <n v="3"/>
    <n v="73.41"/>
    <x v="1"/>
    <x v="2"/>
  </r>
  <r>
    <n v="44971"/>
    <x v="610"/>
    <x v="36"/>
    <x v="0"/>
    <x v="0"/>
    <s v="Wirebound Message Books, Four 2 3/4 x 5 Forms per Page, 200 Sets per Book"/>
    <x v="3025"/>
    <n v="1"/>
    <n v="2.15"/>
    <x v="1"/>
    <x v="2"/>
  </r>
  <r>
    <n v="44971"/>
    <x v="610"/>
    <x v="36"/>
    <x v="0"/>
    <x v="4"/>
    <s v="Economy #2 Pencils"/>
    <x v="166"/>
    <n v="3"/>
    <n v="2.0699999999999998"/>
    <x v="1"/>
    <x v="2"/>
  </r>
  <r>
    <n v="44971"/>
    <x v="610"/>
    <x v="36"/>
    <x v="1"/>
    <x v="13"/>
    <s v="Bevis Boat-Shaped Conference Table"/>
    <x v="3026"/>
    <n v="3"/>
    <n v="-47.18"/>
    <x v="1"/>
    <x v="2"/>
  </r>
  <r>
    <n v="44971"/>
    <x v="610"/>
    <x v="36"/>
    <x v="1"/>
    <x v="8"/>
    <s v="Regeneration Desk Collection"/>
    <x v="75"/>
    <n v="6"/>
    <n v="4.6500000000000004"/>
    <x v="1"/>
    <x v="2"/>
  </r>
  <r>
    <n v="44971"/>
    <x v="667"/>
    <x v="29"/>
    <x v="0"/>
    <x v="4"/>
    <s v="Panasonic KP-150 Electric Pencil Sharpener"/>
    <x v="3027"/>
    <n v="7"/>
    <n v="68.69"/>
    <x v="1"/>
    <x v="2"/>
  </r>
  <r>
    <n v="44972"/>
    <x v="190"/>
    <x v="20"/>
    <x v="0"/>
    <x v="3"/>
    <s v="GBC DocuBind P100 Manual Binding Machine"/>
    <x v="433"/>
    <n v="3"/>
    <n v="124.49"/>
    <x v="1"/>
    <x v="2"/>
  </r>
  <r>
    <n v="44972"/>
    <x v="190"/>
    <x v="20"/>
    <x v="0"/>
    <x v="7"/>
    <s v="Advantus Push Pins"/>
    <x v="1051"/>
    <n v="4"/>
    <n v="3.58"/>
    <x v="1"/>
    <x v="2"/>
  </r>
  <r>
    <n v="44973"/>
    <x v="400"/>
    <x v="1"/>
    <x v="0"/>
    <x v="12"/>
    <s v="Honeywell Enviracaire Portable Air Cleaner for up to 8 x 10 Room"/>
    <x v="3028"/>
    <n v="6"/>
    <n v="-225.56"/>
    <x v="1"/>
    <x v="2"/>
  </r>
  <r>
    <n v="44973"/>
    <x v="400"/>
    <x v="1"/>
    <x v="0"/>
    <x v="7"/>
    <s v="Advantus Push Pins"/>
    <x v="3029"/>
    <n v="4"/>
    <n v="1.83"/>
    <x v="1"/>
    <x v="2"/>
  </r>
  <r>
    <n v="44973"/>
    <x v="400"/>
    <x v="1"/>
    <x v="1"/>
    <x v="5"/>
    <s v="Global Stack Chair with Arms, Black"/>
    <x v="3030"/>
    <n v="3"/>
    <n v="-2.7"/>
    <x v="1"/>
    <x v="2"/>
  </r>
  <r>
    <n v="44973"/>
    <x v="400"/>
    <x v="1"/>
    <x v="0"/>
    <x v="0"/>
    <s v="Xerox 206"/>
    <x v="193"/>
    <n v="1"/>
    <n v="1.81"/>
    <x v="1"/>
    <x v="2"/>
  </r>
  <r>
    <n v="44973"/>
    <x v="628"/>
    <x v="23"/>
    <x v="1"/>
    <x v="5"/>
    <s v="Hon Comfortask Task/Swivel Chairs"/>
    <x v="3031"/>
    <n v="2"/>
    <n v="36.47"/>
    <x v="1"/>
    <x v="2"/>
  </r>
  <r>
    <n v="44973"/>
    <x v="60"/>
    <x v="5"/>
    <x v="1"/>
    <x v="8"/>
    <s v="Eldon Cleatmat Plus Chair Mats for High Pile Carpets"/>
    <x v="3032"/>
    <n v="4"/>
    <n v="34.99"/>
    <x v="1"/>
    <x v="2"/>
  </r>
  <r>
    <n v="44973"/>
    <x v="60"/>
    <x v="5"/>
    <x v="0"/>
    <x v="3"/>
    <s v="Wilson Jones Â“SnapÂ” Scratch Pad Binder Tool for Ring Binders"/>
    <x v="3033"/>
    <n v="1"/>
    <n v="2.61"/>
    <x v="1"/>
    <x v="2"/>
  </r>
  <r>
    <n v="44973"/>
    <x v="453"/>
    <x v="20"/>
    <x v="1"/>
    <x v="5"/>
    <s v="Hon Every-Day Chair Series Swivel Task Chairs"/>
    <x v="3034"/>
    <n v="3"/>
    <n v="39.92"/>
    <x v="1"/>
    <x v="2"/>
  </r>
  <r>
    <n v="44973"/>
    <x v="453"/>
    <x v="20"/>
    <x v="2"/>
    <x v="9"/>
    <s v="Logitech 910-002974 M325 Wireless Mouse for Web Scrolling"/>
    <x v="1236"/>
    <n v="3"/>
    <n v="39.590000000000003"/>
    <x v="1"/>
    <x v="2"/>
  </r>
  <r>
    <n v="44976"/>
    <x v="217"/>
    <x v="20"/>
    <x v="1"/>
    <x v="8"/>
    <s v="Executive Impressions 14&quot; Contract Wall Clock"/>
    <x v="1519"/>
    <n v="2"/>
    <n v="14.67"/>
    <x v="1"/>
    <x v="2"/>
  </r>
  <r>
    <n v="44976"/>
    <x v="217"/>
    <x v="20"/>
    <x v="0"/>
    <x v="2"/>
    <s v="Carina Double Wide Media Storage Towers in Natural &amp; Black"/>
    <x v="151"/>
    <n v="3"/>
    <n v="9.7200000000000006"/>
    <x v="1"/>
    <x v="2"/>
  </r>
  <r>
    <n v="44976"/>
    <x v="38"/>
    <x v="20"/>
    <x v="0"/>
    <x v="1"/>
    <s v="Staple-on labels"/>
    <x v="3035"/>
    <n v="3"/>
    <n v="4.07"/>
    <x v="1"/>
    <x v="2"/>
  </r>
  <r>
    <n v="44976"/>
    <x v="38"/>
    <x v="20"/>
    <x v="0"/>
    <x v="14"/>
    <s v="Acme Office Executive Series Stainless Steel Trimmers"/>
    <x v="720"/>
    <n v="3"/>
    <n v="6.68"/>
    <x v="1"/>
    <x v="2"/>
  </r>
  <r>
    <n v="44976"/>
    <x v="217"/>
    <x v="3"/>
    <x v="0"/>
    <x v="0"/>
    <s v="Xerox 1880"/>
    <x v="3036"/>
    <n v="2"/>
    <n v="33.31"/>
    <x v="1"/>
    <x v="2"/>
  </r>
  <r>
    <n v="44977"/>
    <x v="545"/>
    <x v="15"/>
    <x v="0"/>
    <x v="0"/>
    <s v="Speediset Carbonless Redi-Letter 7&quot; x 8 1/2&quot;"/>
    <x v="3037"/>
    <n v="2"/>
    <n v="5.57"/>
    <x v="1"/>
    <x v="2"/>
  </r>
  <r>
    <n v="44978"/>
    <x v="543"/>
    <x v="3"/>
    <x v="2"/>
    <x v="9"/>
    <s v="SanDisk Ultra 16 GB MicroSDHC Class 10 Memory Card"/>
    <x v="3038"/>
    <n v="1"/>
    <n v="0.78"/>
    <x v="1"/>
    <x v="2"/>
  </r>
  <r>
    <n v="44978"/>
    <x v="543"/>
    <x v="3"/>
    <x v="0"/>
    <x v="3"/>
    <s v="Wilson Jones Clip &amp; Carry Folder Binder Tool for Ring Binders, Clear"/>
    <x v="3039"/>
    <n v="4"/>
    <n v="6.5"/>
    <x v="1"/>
    <x v="2"/>
  </r>
  <r>
    <n v="44978"/>
    <x v="543"/>
    <x v="3"/>
    <x v="0"/>
    <x v="2"/>
    <s v="Fellowes Officeware Wire Shelving"/>
    <x v="954"/>
    <n v="5"/>
    <n v="8.98"/>
    <x v="1"/>
    <x v="2"/>
  </r>
  <r>
    <n v="44978"/>
    <x v="543"/>
    <x v="3"/>
    <x v="0"/>
    <x v="3"/>
    <s v="Avery Heavy-Duty EZD  Binder With Locking Rings"/>
    <x v="3040"/>
    <n v="7"/>
    <n v="10.94"/>
    <x v="1"/>
    <x v="2"/>
  </r>
  <r>
    <n v="44978"/>
    <x v="625"/>
    <x v="20"/>
    <x v="1"/>
    <x v="8"/>
    <s v="9-3/4 Diameter Round Wall Clock"/>
    <x v="3041"/>
    <n v="5"/>
    <n v="28.96"/>
    <x v="1"/>
    <x v="2"/>
  </r>
  <r>
    <n v="44978"/>
    <x v="625"/>
    <x v="20"/>
    <x v="0"/>
    <x v="2"/>
    <s v="Recycled Data-Pak for Archival Bound Computer Printouts, 12-1/2 x 12-1/2 x 16"/>
    <x v="3042"/>
    <n v="3"/>
    <n v="80.02"/>
    <x v="1"/>
    <x v="2"/>
  </r>
  <r>
    <n v="44978"/>
    <x v="625"/>
    <x v="20"/>
    <x v="2"/>
    <x v="6"/>
    <s v="iOttie HLCRIO102 Car Mount"/>
    <x v="2447"/>
    <n v="2"/>
    <n v="2"/>
    <x v="1"/>
    <x v="2"/>
  </r>
  <r>
    <n v="44978"/>
    <x v="607"/>
    <x v="16"/>
    <x v="0"/>
    <x v="3"/>
    <s v="Avery Durable Slant Ring Binders With Label Holder"/>
    <x v="572"/>
    <n v="3"/>
    <n v="-2.76"/>
    <x v="1"/>
    <x v="2"/>
  </r>
  <r>
    <n v="44978"/>
    <x v="607"/>
    <x v="16"/>
    <x v="0"/>
    <x v="3"/>
    <s v="Avery Arch Ring Binders"/>
    <x v="190"/>
    <n v="2"/>
    <n v="-26.73"/>
    <x v="1"/>
    <x v="2"/>
  </r>
  <r>
    <n v="44978"/>
    <x v="607"/>
    <x v="16"/>
    <x v="0"/>
    <x v="2"/>
    <s v="Standard Rollaway File with Lock"/>
    <x v="3043"/>
    <n v="3"/>
    <n v="32.43"/>
    <x v="1"/>
    <x v="2"/>
  </r>
  <r>
    <n v="44978"/>
    <x v="400"/>
    <x v="20"/>
    <x v="1"/>
    <x v="8"/>
    <s v="Floodlight Indoor Halogen Bulbs, 1 Bulb per Pack, 60 Watts"/>
    <x v="3044"/>
    <n v="7"/>
    <n v="66.540000000000006"/>
    <x v="1"/>
    <x v="2"/>
  </r>
  <r>
    <n v="44979"/>
    <x v="298"/>
    <x v="21"/>
    <x v="0"/>
    <x v="12"/>
    <s v="Belkin 5 Outlet SurgeMaster Power Centers"/>
    <x v="3045"/>
    <n v="9"/>
    <n v="137.29"/>
    <x v="1"/>
    <x v="2"/>
  </r>
  <r>
    <n v="44979"/>
    <x v="501"/>
    <x v="3"/>
    <x v="2"/>
    <x v="6"/>
    <s v="AT&amp;T 1070 Corded Phone"/>
    <x v="769"/>
    <n v="5"/>
    <n v="55.75"/>
    <x v="1"/>
    <x v="2"/>
  </r>
  <r>
    <n v="44979"/>
    <x v="501"/>
    <x v="3"/>
    <x v="2"/>
    <x v="9"/>
    <s v="Memorex Mini Travel Drive 64 GB USB 2.0 Flash Drive"/>
    <x v="2863"/>
    <n v="1"/>
    <n v="15.22"/>
    <x v="1"/>
    <x v="2"/>
  </r>
  <r>
    <n v="44979"/>
    <x v="501"/>
    <x v="3"/>
    <x v="0"/>
    <x v="7"/>
    <s v="Acco Clips to Go Binder Clips, 24 Clips in Two Sizes"/>
    <x v="2241"/>
    <n v="3"/>
    <n v="5.01"/>
    <x v="1"/>
    <x v="2"/>
  </r>
  <r>
    <n v="44980"/>
    <x v="296"/>
    <x v="2"/>
    <x v="0"/>
    <x v="10"/>
    <s v="Recycled Interoffice Envelopes with String and Button Closure, 10 x 13"/>
    <x v="3046"/>
    <n v="3"/>
    <n v="21.59"/>
    <x v="1"/>
    <x v="2"/>
  </r>
  <r>
    <n v="44982"/>
    <x v="664"/>
    <x v="10"/>
    <x v="0"/>
    <x v="10"/>
    <s v="Staple envelope"/>
    <x v="1448"/>
    <n v="5"/>
    <n v="17.52"/>
    <x v="1"/>
    <x v="2"/>
  </r>
  <r>
    <n v="44984"/>
    <x v="275"/>
    <x v="20"/>
    <x v="0"/>
    <x v="12"/>
    <s v="Conquest 14 Commercial Heavy-Duty Upright Vacuum, Collection System, Accessory Kit"/>
    <x v="3047"/>
    <n v="3"/>
    <n v="49.56"/>
    <x v="1"/>
    <x v="2"/>
  </r>
  <r>
    <n v="44984"/>
    <x v="34"/>
    <x v="21"/>
    <x v="0"/>
    <x v="3"/>
    <s v="Flexible Leather- Look Classic Collection Ring Binder"/>
    <x v="3048"/>
    <n v="3"/>
    <n v="28.41"/>
    <x v="1"/>
    <x v="2"/>
  </r>
  <r>
    <n v="44984"/>
    <x v="738"/>
    <x v="0"/>
    <x v="1"/>
    <x v="8"/>
    <s v="DAX Two-Tone Silver Metal Document Frame"/>
    <x v="3049"/>
    <n v="2"/>
    <n v="-6.88"/>
    <x v="1"/>
    <x v="2"/>
  </r>
  <r>
    <n v="44985"/>
    <x v="390"/>
    <x v="20"/>
    <x v="0"/>
    <x v="7"/>
    <s v="Staples"/>
    <x v="3050"/>
    <n v="6"/>
    <n v="18.239999999999998"/>
    <x v="1"/>
    <x v="2"/>
  </r>
  <r>
    <n v="44986"/>
    <x v="502"/>
    <x v="20"/>
    <x v="1"/>
    <x v="13"/>
    <s v="Chromcraft Round Conference Tables"/>
    <x v="3051"/>
    <n v="8"/>
    <n v="-264.92"/>
    <x v="2"/>
    <x v="2"/>
  </r>
  <r>
    <n v="44986"/>
    <x v="502"/>
    <x v="20"/>
    <x v="0"/>
    <x v="0"/>
    <s v="Easy-staple paper"/>
    <x v="1660"/>
    <n v="1"/>
    <n v="12.13"/>
    <x v="2"/>
    <x v="2"/>
  </r>
  <r>
    <n v="44986"/>
    <x v="502"/>
    <x v="20"/>
    <x v="0"/>
    <x v="2"/>
    <s v="Adjustable Depth Letter/Legal Cart"/>
    <x v="1225"/>
    <n v="2"/>
    <n v="105.25"/>
    <x v="2"/>
    <x v="2"/>
  </r>
  <r>
    <n v="44986"/>
    <x v="502"/>
    <x v="20"/>
    <x v="2"/>
    <x v="15"/>
    <s v="Ativa V4110MDD Micro-Cut Shredder"/>
    <x v="2909"/>
    <n v="7"/>
    <n v="2400.9699999999998"/>
    <x v="2"/>
    <x v="2"/>
  </r>
  <r>
    <n v="44986"/>
    <x v="402"/>
    <x v="26"/>
    <x v="2"/>
    <x v="6"/>
    <s v="RCA ViSYS 25423RE1 Corded phone"/>
    <x v="281"/>
    <n v="2"/>
    <n v="14"/>
    <x v="2"/>
    <x v="2"/>
  </r>
  <r>
    <n v="44988"/>
    <x v="248"/>
    <x v="7"/>
    <x v="0"/>
    <x v="3"/>
    <s v="GBC ProClick Punch Binding System"/>
    <x v="455"/>
    <n v="7"/>
    <n v="219.45"/>
    <x v="2"/>
    <x v="2"/>
  </r>
  <r>
    <n v="44988"/>
    <x v="248"/>
    <x v="7"/>
    <x v="2"/>
    <x v="6"/>
    <s v="Pyle PMP37LED"/>
    <x v="1698"/>
    <n v="5"/>
    <n v="129.59"/>
    <x v="2"/>
    <x v="2"/>
  </r>
  <r>
    <n v="44988"/>
    <x v="248"/>
    <x v="7"/>
    <x v="0"/>
    <x v="0"/>
    <s v="Xerox 194"/>
    <x v="920"/>
    <n v="3"/>
    <n v="79.89"/>
    <x v="2"/>
    <x v="2"/>
  </r>
  <r>
    <n v="44988"/>
    <x v="739"/>
    <x v="0"/>
    <x v="0"/>
    <x v="0"/>
    <s v="Rediform Wirebound &quot;Phone Memo&quot; Message Book, 11 x 5-3/4"/>
    <x v="3052"/>
    <n v="7"/>
    <n v="15.51"/>
    <x v="2"/>
    <x v="2"/>
  </r>
  <r>
    <n v="44988"/>
    <x v="739"/>
    <x v="0"/>
    <x v="1"/>
    <x v="5"/>
    <s v="Office Star - Mid Back Dual function Ergonomic High Back Chair with 2-Way Adjustable Arms"/>
    <x v="3053"/>
    <n v="5"/>
    <n v="-56.34"/>
    <x v="2"/>
    <x v="2"/>
  </r>
  <r>
    <n v="44988"/>
    <x v="583"/>
    <x v="18"/>
    <x v="2"/>
    <x v="6"/>
    <s v="Plantronics Encore H101 Dual EarpiecesÂ Headset"/>
    <x v="3054"/>
    <n v="3"/>
    <n v="37.76"/>
    <x v="2"/>
    <x v="2"/>
  </r>
  <r>
    <n v="44988"/>
    <x v="393"/>
    <x v="0"/>
    <x v="1"/>
    <x v="13"/>
    <s v="Office Impressions End Table, 20-1/2&quot;H x 24&quot;W x 20&quot;D"/>
    <x v="3055"/>
    <n v="3"/>
    <n v="-127.58"/>
    <x v="2"/>
    <x v="2"/>
  </r>
  <r>
    <n v="44988"/>
    <x v="393"/>
    <x v="0"/>
    <x v="2"/>
    <x v="15"/>
    <s v="Canon PC170 Desktop Personal Copier"/>
    <x v="2619"/>
    <n v="3"/>
    <n v="33.590000000000003"/>
    <x v="2"/>
    <x v="2"/>
  </r>
  <r>
    <n v="44988"/>
    <x v="393"/>
    <x v="0"/>
    <x v="0"/>
    <x v="10"/>
    <s v="White Envelopes, White Envelopes with Clear Poly Window"/>
    <x v="2693"/>
    <n v="3"/>
    <n v="11.9"/>
    <x v="2"/>
    <x v="2"/>
  </r>
  <r>
    <n v="44988"/>
    <x v="161"/>
    <x v="3"/>
    <x v="0"/>
    <x v="14"/>
    <s v="Elite 5&quot; Scissors"/>
    <x v="3056"/>
    <n v="3"/>
    <n v="7.61"/>
    <x v="2"/>
    <x v="2"/>
  </r>
  <r>
    <n v="44988"/>
    <x v="161"/>
    <x v="3"/>
    <x v="1"/>
    <x v="8"/>
    <s v="Executive Impressions 10&quot; Spectator Wall Clock"/>
    <x v="2035"/>
    <n v="3"/>
    <n v="12"/>
    <x v="2"/>
    <x v="2"/>
  </r>
  <r>
    <n v="44988"/>
    <x v="116"/>
    <x v="0"/>
    <x v="0"/>
    <x v="14"/>
    <s v="High Speed Automatic Electric Letter Opener"/>
    <x v="3057"/>
    <n v="3"/>
    <n v="-786.01"/>
    <x v="2"/>
    <x v="2"/>
  </r>
  <r>
    <n v="44988"/>
    <x v="116"/>
    <x v="0"/>
    <x v="0"/>
    <x v="7"/>
    <s v="Acco Banker's Clasps, 5 3/4&quot;-Long"/>
    <x v="2256"/>
    <n v="1"/>
    <n v="0.78"/>
    <x v="2"/>
    <x v="2"/>
  </r>
  <r>
    <n v="44988"/>
    <x v="116"/>
    <x v="0"/>
    <x v="2"/>
    <x v="6"/>
    <s v="Polycom VVX 310 VoIP phone"/>
    <x v="1674"/>
    <n v="3"/>
    <n v="32.4"/>
    <x v="2"/>
    <x v="2"/>
  </r>
  <r>
    <n v="44988"/>
    <x v="116"/>
    <x v="0"/>
    <x v="2"/>
    <x v="9"/>
    <s v="Verbatim 25 GB 6x Blu-ray Single Layer Recordable Disc, 1/Pack"/>
    <x v="1706"/>
    <n v="7"/>
    <n v="5.74"/>
    <x v="2"/>
    <x v="2"/>
  </r>
  <r>
    <n v="44989"/>
    <x v="588"/>
    <x v="3"/>
    <x v="0"/>
    <x v="4"/>
    <s v="Berol Giant Pencil Sharpener"/>
    <x v="964"/>
    <n v="1"/>
    <n v="4.93"/>
    <x v="2"/>
    <x v="2"/>
  </r>
  <r>
    <n v="44989"/>
    <x v="211"/>
    <x v="16"/>
    <x v="0"/>
    <x v="1"/>
    <s v="Avery 518"/>
    <x v="3058"/>
    <n v="4"/>
    <n v="3.53"/>
    <x v="2"/>
    <x v="2"/>
  </r>
  <r>
    <n v="44989"/>
    <x v="247"/>
    <x v="18"/>
    <x v="0"/>
    <x v="3"/>
    <s v="Green Canvas Binder for 8-1/2&quot; x 14&quot; Sheets"/>
    <x v="3059"/>
    <n v="3"/>
    <n v="64.2"/>
    <x v="2"/>
    <x v="2"/>
  </r>
  <r>
    <n v="44989"/>
    <x v="654"/>
    <x v="38"/>
    <x v="2"/>
    <x v="9"/>
    <s v="Logitech G602 Wireless Gaming Mouse"/>
    <x v="281"/>
    <n v="2"/>
    <n v="57.59"/>
    <x v="2"/>
    <x v="2"/>
  </r>
  <r>
    <n v="44990"/>
    <x v="274"/>
    <x v="0"/>
    <x v="0"/>
    <x v="10"/>
    <s v="Cameo Buff Policy Envelopes"/>
    <x v="347"/>
    <n v="3"/>
    <n v="50.41"/>
    <x v="2"/>
    <x v="2"/>
  </r>
  <r>
    <n v="44990"/>
    <x v="274"/>
    <x v="0"/>
    <x v="0"/>
    <x v="2"/>
    <s v="Acco Perma 4000 Stacking Storage Drawers"/>
    <x v="3038"/>
    <n v="1"/>
    <n v="-0.81"/>
    <x v="2"/>
    <x v="2"/>
  </r>
  <r>
    <n v="44991"/>
    <x v="640"/>
    <x v="2"/>
    <x v="2"/>
    <x v="6"/>
    <s v="Wilson SignalBoost 841262 DB PRO Amplifier Kit"/>
    <x v="3060"/>
    <n v="2"/>
    <n v="-71.989999999999995"/>
    <x v="2"/>
    <x v="2"/>
  </r>
  <r>
    <n v="44991"/>
    <x v="640"/>
    <x v="2"/>
    <x v="0"/>
    <x v="3"/>
    <s v="Avery Self-Adhesive Photo Pockets for Polaroid Photos"/>
    <x v="3061"/>
    <n v="1"/>
    <n v="-1.5"/>
    <x v="2"/>
    <x v="2"/>
  </r>
  <r>
    <n v="44991"/>
    <x v="640"/>
    <x v="2"/>
    <x v="2"/>
    <x v="6"/>
    <s v="Grandstream GXP1160 VoIP phone"/>
    <x v="3062"/>
    <n v="3"/>
    <n v="-12.51"/>
    <x v="2"/>
    <x v="2"/>
  </r>
  <r>
    <n v="44991"/>
    <x v="641"/>
    <x v="1"/>
    <x v="0"/>
    <x v="12"/>
    <s v="Commercial WindTunnel Clean Air Upright Vacuum, Replacement Belts, Filtration Bags"/>
    <x v="3063"/>
    <n v="3"/>
    <n v="-6.3"/>
    <x v="2"/>
    <x v="2"/>
  </r>
  <r>
    <n v="44991"/>
    <x v="641"/>
    <x v="1"/>
    <x v="0"/>
    <x v="3"/>
    <s v="Peel &amp; Stick Add-On Corner Pockets"/>
    <x v="2998"/>
    <n v="4"/>
    <n v="-2.76"/>
    <x v="2"/>
    <x v="2"/>
  </r>
  <r>
    <n v="44991"/>
    <x v="641"/>
    <x v="1"/>
    <x v="1"/>
    <x v="8"/>
    <s v="Eldon Cleatmat Plus Chair Mats for High Pile Carpets"/>
    <x v="3064"/>
    <n v="5"/>
    <n v="-194.82"/>
    <x v="2"/>
    <x v="2"/>
  </r>
  <r>
    <n v="44991"/>
    <x v="641"/>
    <x v="1"/>
    <x v="1"/>
    <x v="13"/>
    <s v="Bevis Rectangular Conference Tables"/>
    <x v="1338"/>
    <n v="2"/>
    <n v="-99.27"/>
    <x v="2"/>
    <x v="2"/>
  </r>
  <r>
    <n v="44992"/>
    <x v="290"/>
    <x v="0"/>
    <x v="2"/>
    <x v="6"/>
    <s v="Belkin Grip Candy Sheer Case / Cover for iPhone 5 and 5S"/>
    <x v="3065"/>
    <n v="3"/>
    <n v="1.58"/>
    <x v="2"/>
    <x v="2"/>
  </r>
  <r>
    <n v="44993"/>
    <x v="456"/>
    <x v="16"/>
    <x v="2"/>
    <x v="6"/>
    <s v="Cisco Unified IP Phone 7945G VoIP phone"/>
    <x v="3066"/>
    <n v="5"/>
    <n v="85.25"/>
    <x v="2"/>
    <x v="2"/>
  </r>
  <r>
    <n v="44993"/>
    <x v="456"/>
    <x v="16"/>
    <x v="1"/>
    <x v="8"/>
    <s v="Deflect-o DuraMat Lighweight, Studded, Beveled Mat for Low Pile Carpeting"/>
    <x v="2654"/>
    <n v="3"/>
    <n v="-3.84"/>
    <x v="2"/>
    <x v="2"/>
  </r>
  <r>
    <n v="44993"/>
    <x v="190"/>
    <x v="12"/>
    <x v="0"/>
    <x v="3"/>
    <s v="GBC Standard Recycled Report Covers, Clear Plastic Sheets"/>
    <x v="3067"/>
    <n v="3"/>
    <n v="-7.11"/>
    <x v="2"/>
    <x v="2"/>
  </r>
  <r>
    <n v="44993"/>
    <x v="280"/>
    <x v="2"/>
    <x v="2"/>
    <x v="6"/>
    <s v="AT&amp;T 17929 Lendline Telephone"/>
    <x v="3068"/>
    <n v="4"/>
    <n v="-25.33"/>
    <x v="2"/>
    <x v="2"/>
  </r>
  <r>
    <n v="44993"/>
    <x v="280"/>
    <x v="2"/>
    <x v="0"/>
    <x v="7"/>
    <s v="Rubber Band Ball"/>
    <x v="784"/>
    <n v="2"/>
    <n v="-1.35"/>
    <x v="2"/>
    <x v="2"/>
  </r>
  <r>
    <n v="44993"/>
    <x v="656"/>
    <x v="20"/>
    <x v="1"/>
    <x v="8"/>
    <s v="Coloredge Poster Frame"/>
    <x v="3069"/>
    <n v="8"/>
    <n v="44.3"/>
    <x v="2"/>
    <x v="2"/>
  </r>
  <r>
    <n v="44993"/>
    <x v="656"/>
    <x v="20"/>
    <x v="0"/>
    <x v="0"/>
    <s v="Xerox 1993"/>
    <x v="115"/>
    <n v="2"/>
    <n v="6.35"/>
    <x v="2"/>
    <x v="2"/>
  </r>
  <r>
    <n v="44993"/>
    <x v="656"/>
    <x v="20"/>
    <x v="0"/>
    <x v="3"/>
    <s v="Satellite Sectional Post Binders"/>
    <x v="817"/>
    <n v="2"/>
    <n v="22.57"/>
    <x v="2"/>
    <x v="2"/>
  </r>
  <r>
    <n v="44993"/>
    <x v="694"/>
    <x v="0"/>
    <x v="0"/>
    <x v="3"/>
    <s v="Pressboard Hanging Data Binders for Unburst Sheets"/>
    <x v="1939"/>
    <n v="9"/>
    <n v="-14.17"/>
    <x v="2"/>
    <x v="2"/>
  </r>
  <r>
    <n v="44993"/>
    <x v="694"/>
    <x v="0"/>
    <x v="2"/>
    <x v="9"/>
    <s v="Verbatim 25 GB 6x Blu-ray Single Layer Recordable Disc, 3/Pack"/>
    <x v="3070"/>
    <n v="5"/>
    <n v="8.39"/>
    <x v="2"/>
    <x v="2"/>
  </r>
  <r>
    <n v="44993"/>
    <x v="694"/>
    <x v="0"/>
    <x v="0"/>
    <x v="10"/>
    <s v="Tyvek Interoffice Envelopes, 9 1/2&quot; x 12 1/2&quot;, 100/Box"/>
    <x v="1190"/>
    <n v="3"/>
    <n v="49.39"/>
    <x v="2"/>
    <x v="2"/>
  </r>
  <r>
    <n v="44993"/>
    <x v="153"/>
    <x v="14"/>
    <x v="0"/>
    <x v="12"/>
    <s v="Honeywell Enviracaire Portable Air Cleaner for up to 8 x 10 Room"/>
    <x v="3071"/>
    <n v="3"/>
    <n v="48.33"/>
    <x v="2"/>
    <x v="2"/>
  </r>
  <r>
    <n v="44993"/>
    <x v="153"/>
    <x v="14"/>
    <x v="0"/>
    <x v="4"/>
    <s v="Prang Drawing Pencil Set"/>
    <x v="670"/>
    <n v="5"/>
    <n v="3.75"/>
    <x v="2"/>
    <x v="2"/>
  </r>
  <r>
    <n v="44994"/>
    <x v="81"/>
    <x v="37"/>
    <x v="2"/>
    <x v="9"/>
    <s v="Microsoft Sculpt Comfort Mouse"/>
    <x v="3072"/>
    <n v="5"/>
    <n v="87.89"/>
    <x v="2"/>
    <x v="2"/>
  </r>
  <r>
    <n v="44994"/>
    <x v="255"/>
    <x v="32"/>
    <x v="0"/>
    <x v="2"/>
    <s v="Personal Folder Holder, Ebony"/>
    <x v="1737"/>
    <n v="1"/>
    <n v="3.36"/>
    <x v="2"/>
    <x v="2"/>
  </r>
  <r>
    <n v="44994"/>
    <x v="255"/>
    <x v="32"/>
    <x v="1"/>
    <x v="5"/>
    <s v="Situations Contoured Folding Chairs, 4/Set"/>
    <x v="142"/>
    <n v="5"/>
    <n v="88.73"/>
    <x v="2"/>
    <x v="2"/>
  </r>
  <r>
    <n v="44994"/>
    <x v="255"/>
    <x v="32"/>
    <x v="0"/>
    <x v="0"/>
    <s v="Xerox 193"/>
    <x v="150"/>
    <n v="3"/>
    <n v="8.7899999999999991"/>
    <x v="2"/>
    <x v="2"/>
  </r>
  <r>
    <n v="44994"/>
    <x v="255"/>
    <x v="32"/>
    <x v="0"/>
    <x v="3"/>
    <s v="GBC Binding covers"/>
    <x v="3073"/>
    <n v="4"/>
    <n v="23.31"/>
    <x v="2"/>
    <x v="2"/>
  </r>
  <r>
    <n v="44995"/>
    <x v="740"/>
    <x v="20"/>
    <x v="1"/>
    <x v="11"/>
    <s v="O'Sullivan Living Dimensions 5-Shelf Bookcases"/>
    <x v="3074"/>
    <n v="1"/>
    <n v="-22.1"/>
    <x v="2"/>
    <x v="2"/>
  </r>
  <r>
    <n v="44995"/>
    <x v="741"/>
    <x v="2"/>
    <x v="2"/>
    <x v="9"/>
    <s v="Plantronics Audio 478 Stereo USB Headset"/>
    <x v="3075"/>
    <n v="1"/>
    <n v="7.5"/>
    <x v="2"/>
    <x v="2"/>
  </r>
  <r>
    <n v="44995"/>
    <x v="432"/>
    <x v="3"/>
    <x v="0"/>
    <x v="0"/>
    <s v="Rediform Voice Mail Log Books"/>
    <x v="1119"/>
    <n v="5"/>
    <n v="7.15"/>
    <x v="2"/>
    <x v="2"/>
  </r>
  <r>
    <n v="44995"/>
    <x v="432"/>
    <x v="3"/>
    <x v="2"/>
    <x v="6"/>
    <s v="Apple iPhone 5"/>
    <x v="3076"/>
    <n v="8"/>
    <n v="363.9"/>
    <x v="2"/>
    <x v="2"/>
  </r>
  <r>
    <n v="44995"/>
    <x v="511"/>
    <x v="3"/>
    <x v="2"/>
    <x v="9"/>
    <s v="Kingston Digital DataTraveler 16GB USB 2.0"/>
    <x v="3077"/>
    <n v="3"/>
    <n v="5.0999999999999996"/>
    <x v="2"/>
    <x v="2"/>
  </r>
  <r>
    <n v="44995"/>
    <x v="511"/>
    <x v="3"/>
    <x v="2"/>
    <x v="15"/>
    <s v="Okidata MB760 Printer"/>
    <x v="3078"/>
    <n v="3"/>
    <n v="377.73"/>
    <x v="2"/>
    <x v="2"/>
  </r>
  <r>
    <n v="44995"/>
    <x v="223"/>
    <x v="12"/>
    <x v="0"/>
    <x v="2"/>
    <s v="Mini 13-1/2 Capacity Data Binder Rack, Pearl"/>
    <x v="3079"/>
    <n v="1"/>
    <n v="6.54"/>
    <x v="2"/>
    <x v="2"/>
  </r>
  <r>
    <n v="44996"/>
    <x v="402"/>
    <x v="28"/>
    <x v="2"/>
    <x v="9"/>
    <s v="Verbatim 25 GB 6x Blu-ray Single Layer Recordable Disc, 25/Pack"/>
    <x v="758"/>
    <n v="2"/>
    <n v="19.77"/>
    <x v="2"/>
    <x v="2"/>
  </r>
  <r>
    <n v="44996"/>
    <x v="402"/>
    <x v="28"/>
    <x v="0"/>
    <x v="3"/>
    <s v="Wilson Jones Leather-Like Binders with DublLock Round Rings"/>
    <x v="96"/>
    <n v="2"/>
    <n v="8.2100000000000009"/>
    <x v="2"/>
    <x v="2"/>
  </r>
  <r>
    <n v="44996"/>
    <x v="2"/>
    <x v="23"/>
    <x v="1"/>
    <x v="13"/>
    <s v="Chromcraft Round Conference Tables"/>
    <x v="1952"/>
    <n v="2"/>
    <n v="-31.37"/>
    <x v="2"/>
    <x v="2"/>
  </r>
  <r>
    <n v="44996"/>
    <x v="425"/>
    <x v="4"/>
    <x v="1"/>
    <x v="8"/>
    <s v="Executive Impressions 13&quot; Clairmont Wall Clock"/>
    <x v="3080"/>
    <n v="4"/>
    <n v="31.54"/>
    <x v="2"/>
    <x v="2"/>
  </r>
  <r>
    <n v="44996"/>
    <x v="425"/>
    <x v="4"/>
    <x v="0"/>
    <x v="2"/>
    <s v="Iceberg Mobile Mega Data/Printer Cart"/>
    <x v="3081"/>
    <n v="4"/>
    <n v="125.14"/>
    <x v="2"/>
    <x v="2"/>
  </r>
  <r>
    <n v="44996"/>
    <x v="730"/>
    <x v="2"/>
    <x v="1"/>
    <x v="8"/>
    <s v="DAX Charcoal/Nickel-Tone Document Frame, 5 x 7"/>
    <x v="3082"/>
    <n v="4"/>
    <n v="9.48"/>
    <x v="2"/>
    <x v="2"/>
  </r>
  <r>
    <n v="44997"/>
    <x v="411"/>
    <x v="8"/>
    <x v="0"/>
    <x v="0"/>
    <s v="Xerox 218"/>
    <x v="115"/>
    <n v="2"/>
    <n v="6.22"/>
    <x v="2"/>
    <x v="2"/>
  </r>
  <r>
    <n v="44997"/>
    <x v="584"/>
    <x v="20"/>
    <x v="0"/>
    <x v="10"/>
    <s v="Staple envelope"/>
    <x v="1729"/>
    <n v="3"/>
    <n v="13.5"/>
    <x v="2"/>
    <x v="2"/>
  </r>
  <r>
    <n v="44997"/>
    <x v="78"/>
    <x v="3"/>
    <x v="0"/>
    <x v="2"/>
    <s v="Tennsco Stur-D-Stor Boltless Shelving, 5 Shelves, 24&quot; Deep, Sand"/>
    <x v="3083"/>
    <n v="5"/>
    <n v="6.77"/>
    <x v="2"/>
    <x v="2"/>
  </r>
  <r>
    <n v="44997"/>
    <x v="78"/>
    <x v="3"/>
    <x v="0"/>
    <x v="12"/>
    <s v="Euro-Pro Shark Turbo Vacuum"/>
    <x v="276"/>
    <n v="5"/>
    <n v="40.270000000000003"/>
    <x v="2"/>
    <x v="2"/>
  </r>
  <r>
    <n v="44997"/>
    <x v="78"/>
    <x v="3"/>
    <x v="0"/>
    <x v="10"/>
    <s v="Security-Tint Envelopes"/>
    <x v="3084"/>
    <n v="4"/>
    <n v="14.97"/>
    <x v="2"/>
    <x v="2"/>
  </r>
  <r>
    <n v="44997"/>
    <x v="78"/>
    <x v="3"/>
    <x v="1"/>
    <x v="5"/>
    <s v="Hon 4070 Series Pagoda Round Back Stacking Chairs"/>
    <x v="3085"/>
    <n v="3"/>
    <n v="77.040000000000006"/>
    <x v="2"/>
    <x v="2"/>
  </r>
  <r>
    <n v="44997"/>
    <x v="308"/>
    <x v="3"/>
    <x v="0"/>
    <x v="0"/>
    <s v="Hammermill Color Copier Paper (28Lb. and 96 Bright)"/>
    <x v="381"/>
    <n v="2"/>
    <n v="8.99"/>
    <x v="2"/>
    <x v="2"/>
  </r>
  <r>
    <n v="44998"/>
    <x v="581"/>
    <x v="12"/>
    <x v="0"/>
    <x v="12"/>
    <s v="Belkin 7 Outlet SurgeMaster Surge Protector with Phone Protection"/>
    <x v="3086"/>
    <n v="5"/>
    <n v="17.77"/>
    <x v="2"/>
    <x v="2"/>
  </r>
  <r>
    <n v="44998"/>
    <x v="581"/>
    <x v="12"/>
    <x v="2"/>
    <x v="6"/>
    <s v="Jabra BIZ 2300 Duo QD Duo CordedÂ Headset"/>
    <x v="3087"/>
    <n v="2"/>
    <n v="15.24"/>
    <x v="2"/>
    <x v="2"/>
  </r>
  <r>
    <n v="44998"/>
    <x v="235"/>
    <x v="0"/>
    <x v="0"/>
    <x v="0"/>
    <s v="TOPS Carbonless Receipt Book, Four 2-3/4 x 7-1/4 Money Receipts per Page"/>
    <x v="3088"/>
    <n v="5"/>
    <n v="24.53"/>
    <x v="2"/>
    <x v="2"/>
  </r>
  <r>
    <n v="44998"/>
    <x v="235"/>
    <x v="0"/>
    <x v="0"/>
    <x v="3"/>
    <s v="Insertable Tab Indexes For Data Binders"/>
    <x v="3089"/>
    <n v="2"/>
    <n v="-2.16"/>
    <x v="2"/>
    <x v="2"/>
  </r>
  <r>
    <n v="44998"/>
    <x v="235"/>
    <x v="0"/>
    <x v="1"/>
    <x v="13"/>
    <s v="Hon Non-Folding Utility Tables"/>
    <x v="3090"/>
    <n v="5"/>
    <n v="0"/>
    <x v="2"/>
    <x v="2"/>
  </r>
  <r>
    <n v="44998"/>
    <x v="692"/>
    <x v="6"/>
    <x v="1"/>
    <x v="8"/>
    <s v="Howard Miller 14-1/2&quot; Diameter Chrome Round Wall Clock"/>
    <x v="3091"/>
    <n v="2"/>
    <n v="40.92"/>
    <x v="2"/>
    <x v="2"/>
  </r>
  <r>
    <n v="44998"/>
    <x v="692"/>
    <x v="6"/>
    <x v="0"/>
    <x v="12"/>
    <s v="Eureka The Boss Lite 10-Amp Upright Vacuum, Blue"/>
    <x v="2017"/>
    <n v="2"/>
    <n v="44.89"/>
    <x v="2"/>
    <x v="2"/>
  </r>
  <r>
    <n v="44998"/>
    <x v="692"/>
    <x v="6"/>
    <x v="0"/>
    <x v="3"/>
    <s v="Ibico Covers for Plastic or Wire Binding Elements"/>
    <x v="3092"/>
    <n v="4"/>
    <n v="20.7"/>
    <x v="2"/>
    <x v="2"/>
  </r>
  <r>
    <n v="44998"/>
    <x v="150"/>
    <x v="3"/>
    <x v="1"/>
    <x v="8"/>
    <s v="Westinghouse Mesh Shade Clip-On Gooseneck Lamp, Black"/>
    <x v="3093"/>
    <n v="2"/>
    <n v="7.35"/>
    <x v="2"/>
    <x v="2"/>
  </r>
  <r>
    <n v="44998"/>
    <x v="150"/>
    <x v="3"/>
    <x v="0"/>
    <x v="14"/>
    <s v="High Speed Automatic Electric Letter Opener"/>
    <x v="3094"/>
    <n v="3"/>
    <n v="196.5"/>
    <x v="2"/>
    <x v="2"/>
  </r>
  <r>
    <n v="44998"/>
    <x v="660"/>
    <x v="2"/>
    <x v="1"/>
    <x v="5"/>
    <s v="SAFCO Arco Folding Chair"/>
    <x v="3095"/>
    <n v="2"/>
    <n v="-5.52"/>
    <x v="2"/>
    <x v="2"/>
  </r>
  <r>
    <n v="44998"/>
    <x v="660"/>
    <x v="2"/>
    <x v="2"/>
    <x v="9"/>
    <s v="Kensington Expert Mouse Optical USB Trackball for PC or Mac"/>
    <x v="3096"/>
    <n v="5"/>
    <n v="47.5"/>
    <x v="2"/>
    <x v="2"/>
  </r>
  <r>
    <n v="44998"/>
    <x v="660"/>
    <x v="2"/>
    <x v="2"/>
    <x v="6"/>
    <s v="Polycom CX600 IP Phone VoIP phone"/>
    <x v="3097"/>
    <n v="3"/>
    <n v="-116.98"/>
    <x v="2"/>
    <x v="2"/>
  </r>
  <r>
    <n v="44998"/>
    <x v="660"/>
    <x v="2"/>
    <x v="0"/>
    <x v="0"/>
    <s v="Speediset Carbonless Redi-Letter 7&quot; x 8 1/2&quot;"/>
    <x v="3098"/>
    <n v="5"/>
    <n v="13.92"/>
    <x v="2"/>
    <x v="2"/>
  </r>
  <r>
    <n v="44998"/>
    <x v="660"/>
    <x v="2"/>
    <x v="0"/>
    <x v="3"/>
    <s v="Ibico EB-19 Dual Function Manual Binding System"/>
    <x v="101"/>
    <n v="1"/>
    <n v="-41.52"/>
    <x v="2"/>
    <x v="2"/>
  </r>
  <r>
    <n v="44998"/>
    <x v="660"/>
    <x v="2"/>
    <x v="0"/>
    <x v="2"/>
    <s v="SAFCO Commercial Wire Shelving, Black"/>
    <x v="3099"/>
    <n v="5"/>
    <n v="-138.13999999999999"/>
    <x v="2"/>
    <x v="2"/>
  </r>
  <r>
    <n v="44998"/>
    <x v="660"/>
    <x v="2"/>
    <x v="0"/>
    <x v="3"/>
    <s v="GBC VeloBind Cover Sets"/>
    <x v="3100"/>
    <n v="5"/>
    <n v="-15.44"/>
    <x v="2"/>
    <x v="2"/>
  </r>
  <r>
    <n v="44998"/>
    <x v="660"/>
    <x v="2"/>
    <x v="0"/>
    <x v="2"/>
    <s v="Space Solutions Industrial Galvanized Steel Shelving."/>
    <x v="3101"/>
    <n v="2"/>
    <n v="-28.37"/>
    <x v="2"/>
    <x v="2"/>
  </r>
  <r>
    <n v="44998"/>
    <x v="660"/>
    <x v="2"/>
    <x v="2"/>
    <x v="15"/>
    <s v="Okidata MB491 Multifunction Printer"/>
    <x v="3102"/>
    <n v="3"/>
    <n v="-643.71"/>
    <x v="2"/>
    <x v="2"/>
  </r>
  <r>
    <n v="44998"/>
    <x v="524"/>
    <x v="3"/>
    <x v="0"/>
    <x v="3"/>
    <s v="Cardinal EasyOpen D-Ring Binders"/>
    <x v="904"/>
    <n v="7"/>
    <n v="19.190000000000001"/>
    <x v="2"/>
    <x v="2"/>
  </r>
  <r>
    <n v="44999"/>
    <x v="742"/>
    <x v="10"/>
    <x v="1"/>
    <x v="8"/>
    <s v="Advantus Panel Wall Acrylic Frame"/>
    <x v="3103"/>
    <n v="5"/>
    <n v="6.29"/>
    <x v="2"/>
    <x v="2"/>
  </r>
  <r>
    <n v="44999"/>
    <x v="143"/>
    <x v="0"/>
    <x v="1"/>
    <x v="11"/>
    <s v="Safco Value Mate Series Steel Bookcases, Baked Enamel Finish on Steel, Gray"/>
    <x v="3104"/>
    <n v="5"/>
    <n v="-14.2"/>
    <x v="2"/>
    <x v="2"/>
  </r>
  <r>
    <n v="44999"/>
    <x v="143"/>
    <x v="0"/>
    <x v="0"/>
    <x v="0"/>
    <s v="Xerox 1993"/>
    <x v="193"/>
    <n v="1"/>
    <n v="1.88"/>
    <x v="2"/>
    <x v="2"/>
  </r>
  <r>
    <n v="44999"/>
    <x v="143"/>
    <x v="0"/>
    <x v="0"/>
    <x v="4"/>
    <s v="BOSTON Ranger #55 Pencil Sharpener, Black"/>
    <x v="3105"/>
    <n v="7"/>
    <n v="16.37"/>
    <x v="2"/>
    <x v="2"/>
  </r>
  <r>
    <n v="44999"/>
    <x v="22"/>
    <x v="22"/>
    <x v="1"/>
    <x v="5"/>
    <s v="Global High-Back Leather Tilter, Burgundy"/>
    <x v="884"/>
    <n v="2"/>
    <n v="-22.14"/>
    <x v="2"/>
    <x v="2"/>
  </r>
  <r>
    <n v="44999"/>
    <x v="153"/>
    <x v="3"/>
    <x v="0"/>
    <x v="3"/>
    <s v="Wilson Jones Leather-Like Binders with DublLock Round Rings"/>
    <x v="634"/>
    <n v="6"/>
    <n v="14.14"/>
    <x v="2"/>
    <x v="2"/>
  </r>
  <r>
    <n v="44999"/>
    <x v="457"/>
    <x v="21"/>
    <x v="1"/>
    <x v="8"/>
    <s v="Westinghouse Clip-On Gooseneck Lamps"/>
    <x v="677"/>
    <n v="2"/>
    <n v="4.3499999999999996"/>
    <x v="2"/>
    <x v="2"/>
  </r>
  <r>
    <n v="45000"/>
    <x v="485"/>
    <x v="2"/>
    <x v="2"/>
    <x v="9"/>
    <s v="V7 USB Numeric Keypad"/>
    <x v="473"/>
    <n v="3"/>
    <n v="-13.65"/>
    <x v="2"/>
    <x v="2"/>
  </r>
  <r>
    <n v="45000"/>
    <x v="452"/>
    <x v="3"/>
    <x v="0"/>
    <x v="3"/>
    <s v="Avery Round Ring Poly Binders"/>
    <x v="2077"/>
    <n v="2"/>
    <n v="1.65"/>
    <x v="2"/>
    <x v="2"/>
  </r>
  <r>
    <n v="45000"/>
    <x v="452"/>
    <x v="3"/>
    <x v="1"/>
    <x v="5"/>
    <s v="Global Comet Stacking Arm Chair"/>
    <x v="3106"/>
    <n v="4"/>
    <n v="84.5"/>
    <x v="2"/>
    <x v="2"/>
  </r>
  <r>
    <n v="45000"/>
    <x v="694"/>
    <x v="29"/>
    <x v="0"/>
    <x v="0"/>
    <s v="Xerox 1964"/>
    <x v="3107"/>
    <n v="14"/>
    <n v="147.09"/>
    <x v="2"/>
    <x v="2"/>
  </r>
  <r>
    <n v="45000"/>
    <x v="694"/>
    <x v="29"/>
    <x v="0"/>
    <x v="0"/>
    <s v="Xerox 1964"/>
    <x v="1488"/>
    <n v="2"/>
    <n v="21.01"/>
    <x v="2"/>
    <x v="2"/>
  </r>
  <r>
    <n v="45000"/>
    <x v="168"/>
    <x v="0"/>
    <x v="1"/>
    <x v="5"/>
    <s v="Novimex Swivel Fabric Task Chair"/>
    <x v="3108"/>
    <n v="5"/>
    <n v="-143.43"/>
    <x v="2"/>
    <x v="2"/>
  </r>
  <r>
    <n v="45000"/>
    <x v="168"/>
    <x v="0"/>
    <x v="0"/>
    <x v="3"/>
    <s v="GBC Pre-Punched Binding Paper, Plastic, White, 8-1/2&quot; x 11&quot;"/>
    <x v="3109"/>
    <n v="7"/>
    <n v="-35.82"/>
    <x v="2"/>
    <x v="2"/>
  </r>
  <r>
    <n v="45002"/>
    <x v="349"/>
    <x v="32"/>
    <x v="0"/>
    <x v="4"/>
    <s v="Newell 345"/>
    <x v="332"/>
    <n v="2"/>
    <n v="10.32"/>
    <x v="2"/>
    <x v="2"/>
  </r>
  <r>
    <n v="45002"/>
    <x v="98"/>
    <x v="7"/>
    <x v="2"/>
    <x v="6"/>
    <s v="Plantronics Voyager Pro HD - Bluetooth Headset"/>
    <x v="1459"/>
    <n v="2"/>
    <n v="62.39"/>
    <x v="2"/>
    <x v="2"/>
  </r>
  <r>
    <n v="45002"/>
    <x v="98"/>
    <x v="7"/>
    <x v="0"/>
    <x v="3"/>
    <s v="Acco Flexible ACCOHIDE Square Ring Data Binder, Dark Blue, 11 1/2&quot; X 14&quot; 7/8&quot;"/>
    <x v="3110"/>
    <n v="2"/>
    <n v="15.94"/>
    <x v="2"/>
    <x v="2"/>
  </r>
  <r>
    <n v="45002"/>
    <x v="333"/>
    <x v="36"/>
    <x v="0"/>
    <x v="10"/>
    <s v="Blue String-Tie &amp; Button Interoffice Envelopes, 10 x 13"/>
    <x v="1423"/>
    <n v="5"/>
    <n v="89.96"/>
    <x v="2"/>
    <x v="2"/>
  </r>
  <r>
    <n v="45002"/>
    <x v="333"/>
    <x v="36"/>
    <x v="0"/>
    <x v="12"/>
    <s v="Honeywell Enviracaire Portable HEPA Air Cleaner for 17' x 22' Room"/>
    <x v="3111"/>
    <n v="3"/>
    <n v="297.64"/>
    <x v="2"/>
    <x v="2"/>
  </r>
  <r>
    <n v="45002"/>
    <x v="333"/>
    <x v="36"/>
    <x v="1"/>
    <x v="8"/>
    <s v="Electrix Halogen Magnifier Lamp"/>
    <x v="3112"/>
    <n v="5"/>
    <n v="252.59"/>
    <x v="2"/>
    <x v="2"/>
  </r>
  <r>
    <n v="45002"/>
    <x v="461"/>
    <x v="3"/>
    <x v="2"/>
    <x v="6"/>
    <s v="i.Sound Portable Power - 8000 mAh"/>
    <x v="2617"/>
    <n v="2"/>
    <n v="-20.14"/>
    <x v="2"/>
    <x v="2"/>
  </r>
  <r>
    <n v="45003"/>
    <x v="644"/>
    <x v="15"/>
    <x v="1"/>
    <x v="13"/>
    <s v="Balt Solid Wood Rectangular Table"/>
    <x v="3113"/>
    <n v="3"/>
    <n v="-94.94"/>
    <x v="2"/>
    <x v="2"/>
  </r>
  <r>
    <n v="45003"/>
    <x v="56"/>
    <x v="15"/>
    <x v="0"/>
    <x v="12"/>
    <s v="Hoover WindTunnel Plus Canister Vacuum"/>
    <x v="3114"/>
    <n v="3"/>
    <n v="87.18"/>
    <x v="2"/>
    <x v="2"/>
  </r>
  <r>
    <n v="45004"/>
    <x v="239"/>
    <x v="26"/>
    <x v="1"/>
    <x v="11"/>
    <s v="Atlantic Metals Mobile 2-Shelf Bookcases, Custom Colors"/>
    <x v="3115"/>
    <n v="1"/>
    <n v="-98.8"/>
    <x v="2"/>
    <x v="2"/>
  </r>
  <r>
    <n v="45004"/>
    <x v="743"/>
    <x v="20"/>
    <x v="1"/>
    <x v="8"/>
    <s v="GE 4 Foot Flourescent Tube, 40 Watt"/>
    <x v="1746"/>
    <n v="1"/>
    <n v="6.89"/>
    <x v="2"/>
    <x v="2"/>
  </r>
  <r>
    <n v="45004"/>
    <x v="743"/>
    <x v="20"/>
    <x v="1"/>
    <x v="8"/>
    <s v="Master Caster Door Stop, Brown"/>
    <x v="114"/>
    <n v="4"/>
    <n v="6.91"/>
    <x v="2"/>
    <x v="2"/>
  </r>
  <r>
    <n v="45004"/>
    <x v="369"/>
    <x v="15"/>
    <x v="0"/>
    <x v="3"/>
    <s v="Ibico Recycled Grain-Textured Covers"/>
    <x v="601"/>
    <n v="3"/>
    <n v="-20.72"/>
    <x v="2"/>
    <x v="2"/>
  </r>
  <r>
    <n v="45005"/>
    <x v="456"/>
    <x v="11"/>
    <x v="2"/>
    <x v="6"/>
    <s v="i.Sound Portable Power - 8000 mAh"/>
    <x v="2617"/>
    <n v="2"/>
    <n v="-20.14"/>
    <x v="2"/>
    <x v="2"/>
  </r>
  <r>
    <n v="45005"/>
    <x v="456"/>
    <x v="11"/>
    <x v="0"/>
    <x v="0"/>
    <s v="Xerox 225"/>
    <x v="1315"/>
    <n v="4"/>
    <n v="7.26"/>
    <x v="2"/>
    <x v="2"/>
  </r>
  <r>
    <n v="45005"/>
    <x v="456"/>
    <x v="11"/>
    <x v="0"/>
    <x v="3"/>
    <s v="Clear Mylar Reinforcing Strips"/>
    <x v="3116"/>
    <n v="3"/>
    <n v="-12.9"/>
    <x v="2"/>
    <x v="2"/>
  </r>
  <r>
    <n v="45005"/>
    <x v="456"/>
    <x v="11"/>
    <x v="0"/>
    <x v="0"/>
    <s v="Xerox 1894"/>
    <x v="320"/>
    <n v="2"/>
    <n v="3.63"/>
    <x v="2"/>
    <x v="2"/>
  </r>
  <r>
    <n v="45005"/>
    <x v="510"/>
    <x v="1"/>
    <x v="2"/>
    <x v="6"/>
    <s v="Belkin iPhone and iPad Lightning Cable"/>
    <x v="3117"/>
    <n v="1"/>
    <n v="0.9"/>
    <x v="2"/>
    <x v="2"/>
  </r>
  <r>
    <n v="45005"/>
    <x v="629"/>
    <x v="24"/>
    <x v="1"/>
    <x v="13"/>
    <s v="Chromcraft Round Conference Tables"/>
    <x v="3118"/>
    <n v="4"/>
    <n v="146.4"/>
    <x v="2"/>
    <x v="2"/>
  </r>
  <r>
    <n v="45005"/>
    <x v="160"/>
    <x v="29"/>
    <x v="1"/>
    <x v="8"/>
    <s v="Eldon Image Series Desk Accessories, Ebony"/>
    <x v="3119"/>
    <n v="7"/>
    <n v="38.04"/>
    <x v="2"/>
    <x v="2"/>
  </r>
  <r>
    <n v="45006"/>
    <x v="388"/>
    <x v="1"/>
    <x v="0"/>
    <x v="3"/>
    <s v="Avery Durable Slant Ring Binders"/>
    <x v="599"/>
    <n v="2"/>
    <n v="-4.75"/>
    <x v="2"/>
    <x v="2"/>
  </r>
  <r>
    <n v="45006"/>
    <x v="388"/>
    <x v="1"/>
    <x v="1"/>
    <x v="5"/>
    <s v="Global Airflow Leather Mesh Back Chair, Black"/>
    <x v="3108"/>
    <n v="5"/>
    <n v="0"/>
    <x v="2"/>
    <x v="2"/>
  </r>
  <r>
    <n v="45006"/>
    <x v="388"/>
    <x v="1"/>
    <x v="0"/>
    <x v="4"/>
    <s v="Newell 33"/>
    <x v="478"/>
    <n v="3"/>
    <n v="1.51"/>
    <x v="2"/>
    <x v="2"/>
  </r>
  <r>
    <n v="45006"/>
    <x v="441"/>
    <x v="0"/>
    <x v="1"/>
    <x v="13"/>
    <s v="Safco Drafting Table"/>
    <x v="1736"/>
    <n v="2"/>
    <n v="-1.42"/>
    <x v="2"/>
    <x v="2"/>
  </r>
  <r>
    <n v="45006"/>
    <x v="441"/>
    <x v="0"/>
    <x v="0"/>
    <x v="4"/>
    <s v="Prang Dustless Chalk Sticks"/>
    <x v="1151"/>
    <n v="1"/>
    <n v="0.5"/>
    <x v="2"/>
    <x v="2"/>
  </r>
  <r>
    <n v="45007"/>
    <x v="357"/>
    <x v="17"/>
    <x v="2"/>
    <x v="9"/>
    <s v="Logitech ClearChat Comfort/USB Headset H390"/>
    <x v="3120"/>
    <n v="2"/>
    <n v="19.329999999999998"/>
    <x v="2"/>
    <x v="2"/>
  </r>
  <r>
    <n v="45007"/>
    <x v="387"/>
    <x v="22"/>
    <x v="1"/>
    <x v="5"/>
    <s v="Global Stack Chair with Arms, Black"/>
    <x v="3121"/>
    <n v="7"/>
    <n v="14.69"/>
    <x v="2"/>
    <x v="2"/>
  </r>
  <r>
    <n v="45009"/>
    <x v="696"/>
    <x v="11"/>
    <x v="2"/>
    <x v="6"/>
    <s v="BlackBerry Q10"/>
    <x v="3122"/>
    <n v="4"/>
    <n v="25.2"/>
    <x v="2"/>
    <x v="2"/>
  </r>
  <r>
    <n v="45009"/>
    <x v="422"/>
    <x v="18"/>
    <x v="0"/>
    <x v="0"/>
    <s v="Ink Jet Note and Greeting Cards, 8-1/2&quot; x 5-1/2&quot; Card Size"/>
    <x v="3123"/>
    <n v="1"/>
    <n v="10.34"/>
    <x v="2"/>
    <x v="2"/>
  </r>
  <r>
    <n v="45009"/>
    <x v="284"/>
    <x v="10"/>
    <x v="1"/>
    <x v="11"/>
    <s v="O'Sullivan Living Dimensions 3-Shelf Bookcases"/>
    <x v="2263"/>
    <n v="3"/>
    <n v="-241.18"/>
    <x v="2"/>
    <x v="2"/>
  </r>
  <r>
    <n v="45009"/>
    <x v="284"/>
    <x v="10"/>
    <x v="0"/>
    <x v="4"/>
    <s v="Hunt BOSTON Vista Battery-Operated Pencil Sharpener, Black"/>
    <x v="3124"/>
    <n v="2"/>
    <n v="1.63"/>
    <x v="2"/>
    <x v="2"/>
  </r>
  <r>
    <n v="45010"/>
    <x v="263"/>
    <x v="39"/>
    <x v="2"/>
    <x v="9"/>
    <s v="LogitechÂ P710e Mobile Speakerphone"/>
    <x v="3125"/>
    <n v="5"/>
    <n v="244.62"/>
    <x v="2"/>
    <x v="2"/>
  </r>
  <r>
    <n v="45010"/>
    <x v="105"/>
    <x v="20"/>
    <x v="0"/>
    <x v="4"/>
    <s v="Newell 319"/>
    <x v="144"/>
    <n v="3"/>
    <n v="17.86"/>
    <x v="2"/>
    <x v="2"/>
  </r>
  <r>
    <n v="45011"/>
    <x v="457"/>
    <x v="20"/>
    <x v="0"/>
    <x v="2"/>
    <s v="Gould Plastics 18-Pocket Panel Bin, 34w x 5-1/4d x 20-1/2h"/>
    <x v="3126"/>
    <n v="5"/>
    <n v="18.399999999999999"/>
    <x v="2"/>
    <x v="2"/>
  </r>
  <r>
    <n v="45011"/>
    <x v="622"/>
    <x v="25"/>
    <x v="0"/>
    <x v="2"/>
    <s v="Tenex Personal Self-Stacking Standard File Box, Black/Gray"/>
    <x v="3127"/>
    <n v="5"/>
    <n v="5.92"/>
    <x v="2"/>
    <x v="2"/>
  </r>
  <r>
    <n v="45011"/>
    <x v="622"/>
    <x v="25"/>
    <x v="2"/>
    <x v="9"/>
    <s v="Case Logic 2.4GHz Wireless Keyboard"/>
    <x v="1143"/>
    <n v="3"/>
    <n v="-18"/>
    <x v="2"/>
    <x v="2"/>
  </r>
  <r>
    <n v="45011"/>
    <x v="20"/>
    <x v="34"/>
    <x v="0"/>
    <x v="0"/>
    <s v="Adams Telephone Message Book W/Dividers/Space For Phone Numbers, 5 1/4&quot;X8 1/2&quot;, 300/Messages"/>
    <x v="1810"/>
    <n v="3"/>
    <n v="8.64"/>
    <x v="2"/>
    <x v="2"/>
  </r>
  <r>
    <n v="45011"/>
    <x v="20"/>
    <x v="34"/>
    <x v="0"/>
    <x v="3"/>
    <s v="Wilson Jones Hanging View Binder, White, 1&quot;"/>
    <x v="3128"/>
    <n v="3"/>
    <n v="5.54"/>
    <x v="2"/>
    <x v="2"/>
  </r>
  <r>
    <n v="45012"/>
    <x v="171"/>
    <x v="4"/>
    <x v="1"/>
    <x v="8"/>
    <s v="DAX Two-Tone Silver Metal Document Frame"/>
    <x v="2004"/>
    <n v="1"/>
    <n v="8.6999999999999993"/>
    <x v="2"/>
    <x v="2"/>
  </r>
  <r>
    <n v="45012"/>
    <x v="171"/>
    <x v="4"/>
    <x v="1"/>
    <x v="8"/>
    <s v="Eldon Expressions Wood and Plastic Desk Accessories, Oak"/>
    <x v="2153"/>
    <n v="4"/>
    <n v="11.18"/>
    <x v="2"/>
    <x v="2"/>
  </r>
  <r>
    <n v="45012"/>
    <x v="171"/>
    <x v="4"/>
    <x v="0"/>
    <x v="3"/>
    <s v="Acco Flexible ACCOHIDE Square Ring Data Binder, Dark Blue, 11 1/2&quot; X 14&quot; 7/8&quot;"/>
    <x v="3110"/>
    <n v="2"/>
    <n v="15.94"/>
    <x v="2"/>
    <x v="2"/>
  </r>
  <r>
    <n v="45013"/>
    <x v="322"/>
    <x v="6"/>
    <x v="0"/>
    <x v="2"/>
    <s v="Hanging Personal Folder File"/>
    <x v="1931"/>
    <n v="2"/>
    <n v="7.85"/>
    <x v="2"/>
    <x v="2"/>
  </r>
  <r>
    <n v="45013"/>
    <x v="393"/>
    <x v="3"/>
    <x v="0"/>
    <x v="2"/>
    <s v="Rogers Deluxe File Chest"/>
    <x v="692"/>
    <n v="4"/>
    <n v="0.88"/>
    <x v="2"/>
    <x v="2"/>
  </r>
  <r>
    <n v="45013"/>
    <x v="393"/>
    <x v="3"/>
    <x v="0"/>
    <x v="0"/>
    <s v="Xerox 1983"/>
    <x v="784"/>
    <n v="1"/>
    <n v="2.93"/>
    <x v="2"/>
    <x v="2"/>
  </r>
  <r>
    <n v="45014"/>
    <x v="5"/>
    <x v="1"/>
    <x v="0"/>
    <x v="0"/>
    <s v="Computer Printout Paper with Letter-Trim Perforations"/>
    <x v="1569"/>
    <n v="3"/>
    <n v="15.93"/>
    <x v="2"/>
    <x v="2"/>
  </r>
  <r>
    <n v="45014"/>
    <x v="5"/>
    <x v="1"/>
    <x v="1"/>
    <x v="5"/>
    <s v="Global Leather Highback Executive Chair with Pneumatic Height Adjustment, Black"/>
    <x v="1944"/>
    <n v="6"/>
    <n v="-36.18"/>
    <x v="2"/>
    <x v="2"/>
  </r>
  <r>
    <n v="45014"/>
    <x v="5"/>
    <x v="1"/>
    <x v="2"/>
    <x v="6"/>
    <s v="Jabra BIZ 2300 Duo QD Duo CordedÂ Headset"/>
    <x v="3129"/>
    <n v="8"/>
    <n v="60.96"/>
    <x v="2"/>
    <x v="2"/>
  </r>
  <r>
    <n v="45014"/>
    <x v="744"/>
    <x v="20"/>
    <x v="0"/>
    <x v="0"/>
    <s v="Memo Book, 100 Message Capacity, 5 3/8Â” x 11Â”"/>
    <x v="3130"/>
    <n v="2"/>
    <n v="6.74"/>
    <x v="2"/>
    <x v="2"/>
  </r>
  <r>
    <n v="45014"/>
    <x v="744"/>
    <x v="20"/>
    <x v="0"/>
    <x v="3"/>
    <s v="Acco Four Pocket Poly Ring Binder with Label Holder, Smoke, 1&quot;"/>
    <x v="2576"/>
    <n v="5"/>
    <n v="9.31"/>
    <x v="2"/>
    <x v="2"/>
  </r>
  <r>
    <n v="45014"/>
    <x v="744"/>
    <x v="20"/>
    <x v="1"/>
    <x v="8"/>
    <s v="Howard Miller 13-3/4&quot; Diameter Brushed Chrome Round Wall Clock"/>
    <x v="3131"/>
    <n v="8"/>
    <n v="124.2"/>
    <x v="2"/>
    <x v="2"/>
  </r>
  <r>
    <n v="45014"/>
    <x v="744"/>
    <x v="20"/>
    <x v="0"/>
    <x v="3"/>
    <s v="GBC Plastic Binding Combs"/>
    <x v="3132"/>
    <n v="7"/>
    <n v="14.98"/>
    <x v="2"/>
    <x v="2"/>
  </r>
  <r>
    <n v="45014"/>
    <x v="47"/>
    <x v="10"/>
    <x v="1"/>
    <x v="11"/>
    <s v="Bush Andora Bookcase, Maple/Graphite Gray Finish"/>
    <x v="778"/>
    <n v="5"/>
    <n v="-167.99"/>
    <x v="2"/>
    <x v="2"/>
  </r>
  <r>
    <n v="45014"/>
    <x v="47"/>
    <x v="10"/>
    <x v="2"/>
    <x v="6"/>
    <s v="Clearsounds A400"/>
    <x v="1940"/>
    <n v="4"/>
    <n v="-36.950000000000003"/>
    <x v="2"/>
    <x v="2"/>
  </r>
  <r>
    <n v="45015"/>
    <x v="552"/>
    <x v="37"/>
    <x v="0"/>
    <x v="0"/>
    <s v="Xerox 188"/>
    <x v="1185"/>
    <n v="1"/>
    <n v="5.56"/>
    <x v="2"/>
    <x v="2"/>
  </r>
  <r>
    <n v="45016"/>
    <x v="246"/>
    <x v="2"/>
    <x v="2"/>
    <x v="6"/>
    <s v="LG Exalt"/>
    <x v="3133"/>
    <n v="3"/>
    <n v="-60.84"/>
    <x v="2"/>
    <x v="2"/>
  </r>
  <r>
    <n v="45016"/>
    <x v="246"/>
    <x v="2"/>
    <x v="2"/>
    <x v="9"/>
    <s v="Anker Ultra-Slim Mini Bluetooth 3.0 Wireless Keyboard"/>
    <x v="665"/>
    <n v="2"/>
    <n v="1.2"/>
    <x v="2"/>
    <x v="2"/>
  </r>
  <r>
    <n v="45016"/>
    <x v="15"/>
    <x v="20"/>
    <x v="1"/>
    <x v="5"/>
    <s v="Global Value Steno Chair, Gray"/>
    <x v="3134"/>
    <n v="6"/>
    <n v="54.67"/>
    <x v="2"/>
    <x v="2"/>
  </r>
  <r>
    <n v="45017"/>
    <x v="745"/>
    <x v="20"/>
    <x v="0"/>
    <x v="4"/>
    <s v="Newell 345"/>
    <x v="144"/>
    <n v="3"/>
    <n v="15.48"/>
    <x v="3"/>
    <x v="2"/>
  </r>
  <r>
    <n v="45017"/>
    <x v="745"/>
    <x v="20"/>
    <x v="0"/>
    <x v="2"/>
    <s v="Fellowes Bankers Box Recycled Super Stor/Drawer"/>
    <x v="583"/>
    <n v="3"/>
    <n v="9.7200000000000006"/>
    <x v="3"/>
    <x v="2"/>
  </r>
  <r>
    <n v="45017"/>
    <x v="745"/>
    <x v="20"/>
    <x v="0"/>
    <x v="4"/>
    <s v="Boston 1645 Deluxe Heavier-Duty Electric Pencil Sharpener"/>
    <x v="2527"/>
    <n v="6"/>
    <n v="71.25"/>
    <x v="3"/>
    <x v="2"/>
  </r>
  <r>
    <n v="45017"/>
    <x v="745"/>
    <x v="20"/>
    <x v="0"/>
    <x v="4"/>
    <s v="50 Colored Long Pencils"/>
    <x v="1291"/>
    <n v="3"/>
    <n v="7.92"/>
    <x v="3"/>
    <x v="2"/>
  </r>
  <r>
    <n v="45017"/>
    <x v="745"/>
    <x v="20"/>
    <x v="0"/>
    <x v="4"/>
    <s v="Newell 342"/>
    <x v="1026"/>
    <n v="3"/>
    <n v="2.85"/>
    <x v="3"/>
    <x v="2"/>
  </r>
  <r>
    <n v="45017"/>
    <x v="745"/>
    <x v="20"/>
    <x v="2"/>
    <x v="6"/>
    <s v="Belkin Grip Candy Sheer Case / Cover for iPhone 5 and 5S"/>
    <x v="2443"/>
    <n v="4"/>
    <n v="9.1300000000000008"/>
    <x v="3"/>
    <x v="2"/>
  </r>
  <r>
    <n v="45017"/>
    <x v="323"/>
    <x v="12"/>
    <x v="0"/>
    <x v="7"/>
    <s v="Staples"/>
    <x v="1791"/>
    <n v="5"/>
    <n v="9.86"/>
    <x v="3"/>
    <x v="2"/>
  </r>
  <r>
    <n v="45017"/>
    <x v="323"/>
    <x v="12"/>
    <x v="0"/>
    <x v="12"/>
    <s v="Belkin F9H710-06 7 Outlet SurgeMaster Surge Protector"/>
    <x v="3135"/>
    <n v="2"/>
    <n v="3.01"/>
    <x v="3"/>
    <x v="2"/>
  </r>
  <r>
    <n v="45017"/>
    <x v="738"/>
    <x v="20"/>
    <x v="0"/>
    <x v="4"/>
    <s v="Boston 16801 Nautilus Battery Pencil Sharpener"/>
    <x v="3136"/>
    <n v="4"/>
    <n v="22.89"/>
    <x v="3"/>
    <x v="2"/>
  </r>
  <r>
    <n v="45017"/>
    <x v="559"/>
    <x v="20"/>
    <x v="0"/>
    <x v="1"/>
    <s v="Avery 473"/>
    <x v="2363"/>
    <n v="2"/>
    <n v="9.94"/>
    <x v="3"/>
    <x v="2"/>
  </r>
  <r>
    <n v="45017"/>
    <x v="559"/>
    <x v="20"/>
    <x v="0"/>
    <x v="14"/>
    <s v="Acme Value Line Scissors"/>
    <x v="1322"/>
    <n v="3"/>
    <n v="3.29"/>
    <x v="3"/>
    <x v="2"/>
  </r>
  <r>
    <n v="45017"/>
    <x v="559"/>
    <x v="20"/>
    <x v="0"/>
    <x v="3"/>
    <s v="Avery Hanging File Binders"/>
    <x v="632"/>
    <n v="3"/>
    <n v="4.66"/>
    <x v="3"/>
    <x v="2"/>
  </r>
  <r>
    <n v="45017"/>
    <x v="558"/>
    <x v="20"/>
    <x v="1"/>
    <x v="5"/>
    <s v="Hon Deluxe Fabric Upholstered Stacking Chairs, Rounded Back"/>
    <x v="3137"/>
    <n v="6"/>
    <n v="292.77999999999997"/>
    <x v="3"/>
    <x v="2"/>
  </r>
  <r>
    <n v="45017"/>
    <x v="558"/>
    <x v="20"/>
    <x v="0"/>
    <x v="14"/>
    <s v="Staple remover"/>
    <x v="3138"/>
    <n v="8"/>
    <n v="18.510000000000002"/>
    <x v="3"/>
    <x v="2"/>
  </r>
  <r>
    <n v="45017"/>
    <x v="558"/>
    <x v="20"/>
    <x v="0"/>
    <x v="3"/>
    <s v="Avery Non-Stick Binders"/>
    <x v="2549"/>
    <n v="1"/>
    <n v="1.1200000000000001"/>
    <x v="3"/>
    <x v="2"/>
  </r>
  <r>
    <n v="45017"/>
    <x v="474"/>
    <x v="4"/>
    <x v="1"/>
    <x v="8"/>
    <s v="Regeneration Desk Collection"/>
    <x v="2887"/>
    <n v="4"/>
    <n v="3.1"/>
    <x v="3"/>
    <x v="2"/>
  </r>
  <r>
    <n v="45017"/>
    <x v="168"/>
    <x v="21"/>
    <x v="2"/>
    <x v="6"/>
    <s v="Cyber Acoustics AC-202b Speech Recognition Stereo Headset"/>
    <x v="3038"/>
    <n v="1"/>
    <n v="0.26"/>
    <x v="3"/>
    <x v="2"/>
  </r>
  <r>
    <n v="45018"/>
    <x v="561"/>
    <x v="21"/>
    <x v="1"/>
    <x v="5"/>
    <s v="Global Executive Mid-Back Manager's Chair"/>
    <x v="3139"/>
    <n v="5"/>
    <n v="378.27"/>
    <x v="3"/>
    <x v="2"/>
  </r>
  <r>
    <n v="45019"/>
    <x v="246"/>
    <x v="2"/>
    <x v="0"/>
    <x v="3"/>
    <s v="GBC Velobind Prepunched Cover Sets, Regency Series"/>
    <x v="3140"/>
    <n v="9"/>
    <n v="-83.21"/>
    <x v="3"/>
    <x v="2"/>
  </r>
  <r>
    <n v="45019"/>
    <x v="368"/>
    <x v="18"/>
    <x v="1"/>
    <x v="8"/>
    <s v="Seth Thomas 13 1/2&quot; Wall Clock"/>
    <x v="2765"/>
    <n v="4"/>
    <n v="22.05"/>
    <x v="3"/>
    <x v="2"/>
  </r>
  <r>
    <n v="45019"/>
    <x v="368"/>
    <x v="18"/>
    <x v="2"/>
    <x v="6"/>
    <s v="Plantronics Voyager Pro HD - Bluetooth Headset"/>
    <x v="3141"/>
    <n v="4"/>
    <n v="124.78"/>
    <x v="3"/>
    <x v="2"/>
  </r>
  <r>
    <n v="45019"/>
    <x v="50"/>
    <x v="0"/>
    <x v="0"/>
    <x v="0"/>
    <s v="Xerox 1962"/>
    <x v="1207"/>
    <n v="3"/>
    <n v="3.21"/>
    <x v="3"/>
    <x v="2"/>
  </r>
  <r>
    <n v="45020"/>
    <x v="5"/>
    <x v="6"/>
    <x v="2"/>
    <x v="6"/>
    <s v="Anker Astro 15000mAh USB Portable Charger"/>
    <x v="434"/>
    <n v="3"/>
    <n v="6"/>
    <x v="3"/>
    <x v="2"/>
  </r>
  <r>
    <n v="45020"/>
    <x v="5"/>
    <x v="6"/>
    <x v="0"/>
    <x v="0"/>
    <s v="Wirebound Message Books, Four 2 3/4&quot; x 5&quot; Forms per Page, 600 Sets per Book"/>
    <x v="3142"/>
    <n v="3"/>
    <n v="13.07"/>
    <x v="3"/>
    <x v="2"/>
  </r>
  <r>
    <n v="45020"/>
    <x v="216"/>
    <x v="20"/>
    <x v="0"/>
    <x v="3"/>
    <s v="Ibico Ibimaster 300 Manual Binding System"/>
    <x v="3143"/>
    <n v="2"/>
    <n v="184"/>
    <x v="3"/>
    <x v="2"/>
  </r>
  <r>
    <n v="45020"/>
    <x v="288"/>
    <x v="20"/>
    <x v="1"/>
    <x v="8"/>
    <s v="Deflect-o EconoMat Studded, No Bevel Mat for Low Pile Carpeting"/>
    <x v="3144"/>
    <n v="2"/>
    <n v="7.44"/>
    <x v="3"/>
    <x v="2"/>
  </r>
  <r>
    <n v="45020"/>
    <x v="288"/>
    <x v="20"/>
    <x v="0"/>
    <x v="2"/>
    <s v="Tenex File Box, Personal Filing Tote with Lid, Black"/>
    <x v="3145"/>
    <n v="2"/>
    <n v="8.07"/>
    <x v="3"/>
    <x v="2"/>
  </r>
  <r>
    <n v="45020"/>
    <x v="288"/>
    <x v="20"/>
    <x v="2"/>
    <x v="9"/>
    <s v="Logitech Trackman Marble Mouse"/>
    <x v="1236"/>
    <n v="3"/>
    <n v="37.79"/>
    <x v="3"/>
    <x v="2"/>
  </r>
  <r>
    <n v="45021"/>
    <x v="146"/>
    <x v="0"/>
    <x v="0"/>
    <x v="2"/>
    <s v="Eldon Portable Mobile Manager"/>
    <x v="3146"/>
    <n v="7"/>
    <n v="13.86"/>
    <x v="3"/>
    <x v="2"/>
  </r>
  <r>
    <n v="45021"/>
    <x v="645"/>
    <x v="2"/>
    <x v="2"/>
    <x v="6"/>
    <s v="Clearsounds A400"/>
    <x v="1869"/>
    <n v="3"/>
    <n v="-27.72"/>
    <x v="3"/>
    <x v="2"/>
  </r>
  <r>
    <n v="45021"/>
    <x v="645"/>
    <x v="2"/>
    <x v="0"/>
    <x v="14"/>
    <s v="Premier Automatic Letter Opener"/>
    <x v="3147"/>
    <n v="4"/>
    <n v="-163.44999999999999"/>
    <x v="3"/>
    <x v="2"/>
  </r>
  <r>
    <n v="45022"/>
    <x v="139"/>
    <x v="45"/>
    <x v="2"/>
    <x v="6"/>
    <s v="Nortel Meridian M5316 Digital phone"/>
    <x v="3148"/>
    <n v="5"/>
    <n v="336.64"/>
    <x v="3"/>
    <x v="2"/>
  </r>
  <r>
    <n v="45023"/>
    <x v="515"/>
    <x v="3"/>
    <x v="2"/>
    <x v="16"/>
    <s v="Hewlett Packard 610 Color Digital Copier / Printer"/>
    <x v="768"/>
    <n v="3"/>
    <n v="374.99"/>
    <x v="3"/>
    <x v="2"/>
  </r>
  <r>
    <n v="45023"/>
    <x v="112"/>
    <x v="20"/>
    <x v="1"/>
    <x v="5"/>
    <s v="Hon Deluxe Fabric Upholstered Stacking Chairs, Rounded Back"/>
    <x v="3149"/>
    <n v="3"/>
    <n v="146.38999999999999"/>
    <x v="3"/>
    <x v="2"/>
  </r>
  <r>
    <n v="45023"/>
    <x v="582"/>
    <x v="20"/>
    <x v="0"/>
    <x v="4"/>
    <s v="Newell 322"/>
    <x v="2788"/>
    <n v="2"/>
    <n v="0.98"/>
    <x v="3"/>
    <x v="2"/>
  </r>
  <r>
    <n v="45023"/>
    <x v="442"/>
    <x v="23"/>
    <x v="0"/>
    <x v="0"/>
    <s v="Xerox 1939"/>
    <x v="1956"/>
    <n v="2"/>
    <n v="18.21"/>
    <x v="3"/>
    <x v="2"/>
  </r>
  <r>
    <n v="45023"/>
    <x v="83"/>
    <x v="2"/>
    <x v="0"/>
    <x v="12"/>
    <s v="Belkin 7-Outlet SurgeMaster Home Series"/>
    <x v="3150"/>
    <n v="3"/>
    <n v="2.5099999999999998"/>
    <x v="3"/>
    <x v="2"/>
  </r>
  <r>
    <n v="45023"/>
    <x v="83"/>
    <x v="2"/>
    <x v="0"/>
    <x v="2"/>
    <s v="Eldon Jumbo ProFile Portable File Boxes Graphite/Black"/>
    <x v="1467"/>
    <n v="3"/>
    <n v="3.67"/>
    <x v="3"/>
    <x v="2"/>
  </r>
  <r>
    <n v="45024"/>
    <x v="506"/>
    <x v="20"/>
    <x v="1"/>
    <x v="11"/>
    <s v="Sauder Barrister Bookcases"/>
    <x v="3151"/>
    <n v="6"/>
    <n v="-4.8600000000000003"/>
    <x v="3"/>
    <x v="2"/>
  </r>
  <r>
    <n v="45024"/>
    <x v="506"/>
    <x v="20"/>
    <x v="0"/>
    <x v="10"/>
    <s v="#10 Gummed Flap White Envelopes, 100/Box"/>
    <x v="1985"/>
    <n v="2"/>
    <n v="3.8"/>
    <x v="3"/>
    <x v="2"/>
  </r>
  <r>
    <n v="45024"/>
    <x v="506"/>
    <x v="20"/>
    <x v="0"/>
    <x v="4"/>
    <s v="Dixon Prang Watercolor Pencils, 10-Color Set with Brush"/>
    <x v="3128"/>
    <n v="4"/>
    <n v="6.99"/>
    <x v="3"/>
    <x v="2"/>
  </r>
  <r>
    <n v="45024"/>
    <x v="506"/>
    <x v="20"/>
    <x v="0"/>
    <x v="0"/>
    <s v="Adams Phone Message Book, 200 Message Capacity, 8 1/16Â” x 11Â”"/>
    <x v="3152"/>
    <n v="5"/>
    <n v="15.82"/>
    <x v="3"/>
    <x v="2"/>
  </r>
  <r>
    <n v="45024"/>
    <x v="391"/>
    <x v="3"/>
    <x v="0"/>
    <x v="0"/>
    <s v="Xerox 1923"/>
    <x v="1251"/>
    <n v="3"/>
    <n v="9.6199999999999992"/>
    <x v="3"/>
    <x v="2"/>
  </r>
  <r>
    <n v="45024"/>
    <x v="391"/>
    <x v="3"/>
    <x v="0"/>
    <x v="2"/>
    <s v="Fellowes Neat Ideas Storage Cubes"/>
    <x v="92"/>
    <n v="2"/>
    <n v="2.6"/>
    <x v="3"/>
    <x v="2"/>
  </r>
  <r>
    <n v="45024"/>
    <x v="391"/>
    <x v="3"/>
    <x v="0"/>
    <x v="0"/>
    <s v="Xerox 1931"/>
    <x v="115"/>
    <n v="2"/>
    <n v="6.22"/>
    <x v="3"/>
    <x v="2"/>
  </r>
  <r>
    <n v="45024"/>
    <x v="456"/>
    <x v="0"/>
    <x v="2"/>
    <x v="9"/>
    <s v="Kensington Orbit Wireless Mobile Trackball for PC and Mac"/>
    <x v="3153"/>
    <n v="9"/>
    <n v="64.790000000000006"/>
    <x v="3"/>
    <x v="2"/>
  </r>
  <r>
    <n v="45024"/>
    <x v="456"/>
    <x v="0"/>
    <x v="1"/>
    <x v="5"/>
    <s v="Global Chrome Stack Chair"/>
    <x v="772"/>
    <n v="4"/>
    <n v="-4.1100000000000003"/>
    <x v="3"/>
    <x v="2"/>
  </r>
  <r>
    <n v="45024"/>
    <x v="456"/>
    <x v="0"/>
    <x v="0"/>
    <x v="3"/>
    <s v="GBC DocuBind P400 Electric Binding System"/>
    <x v="3154"/>
    <n v="4"/>
    <n v="-1850.95"/>
    <x v="3"/>
    <x v="2"/>
  </r>
  <r>
    <n v="45024"/>
    <x v="469"/>
    <x v="10"/>
    <x v="0"/>
    <x v="10"/>
    <s v="#10 Self-Seal White Envelopes"/>
    <x v="3155"/>
    <n v="1"/>
    <n v="3.22"/>
    <x v="3"/>
    <x v="2"/>
  </r>
  <r>
    <n v="45024"/>
    <x v="469"/>
    <x v="10"/>
    <x v="0"/>
    <x v="3"/>
    <s v="Catalog Binders with Expanding Posts"/>
    <x v="2469"/>
    <n v="6"/>
    <n v="-100.92"/>
    <x v="3"/>
    <x v="2"/>
  </r>
  <r>
    <n v="45024"/>
    <x v="584"/>
    <x v="3"/>
    <x v="1"/>
    <x v="8"/>
    <s v="C-Line Magnetic Cubicle Keepers, Clear Polypropylene"/>
    <x v="3156"/>
    <n v="5"/>
    <n v="10.37"/>
    <x v="3"/>
    <x v="2"/>
  </r>
  <r>
    <n v="45024"/>
    <x v="190"/>
    <x v="4"/>
    <x v="0"/>
    <x v="10"/>
    <s v="Ampad #10 Peel &amp; Seel Holiday Envelopes"/>
    <x v="3157"/>
    <n v="4"/>
    <n v="8.6"/>
    <x v="3"/>
    <x v="2"/>
  </r>
  <r>
    <n v="45024"/>
    <x v="195"/>
    <x v="4"/>
    <x v="1"/>
    <x v="11"/>
    <s v="Hon Metal Bookcases, Black"/>
    <x v="142"/>
    <n v="5"/>
    <n v="88.73"/>
    <x v="3"/>
    <x v="2"/>
  </r>
  <r>
    <n v="45024"/>
    <x v="79"/>
    <x v="13"/>
    <x v="0"/>
    <x v="7"/>
    <s v="Advantus Plastic Paper Clips"/>
    <x v="3158"/>
    <n v="6"/>
    <n v="14.4"/>
    <x v="3"/>
    <x v="2"/>
  </r>
  <r>
    <n v="45024"/>
    <x v="79"/>
    <x v="13"/>
    <x v="0"/>
    <x v="0"/>
    <s v="Xerox 1993"/>
    <x v="499"/>
    <n v="4"/>
    <n v="12.7"/>
    <x v="3"/>
    <x v="2"/>
  </r>
  <r>
    <n v="45024"/>
    <x v="79"/>
    <x v="13"/>
    <x v="1"/>
    <x v="8"/>
    <s v="Eldon Radial Chair Mat for Low to Medium Pile Carpets"/>
    <x v="3159"/>
    <n v="4"/>
    <n v="31.98"/>
    <x v="3"/>
    <x v="2"/>
  </r>
  <r>
    <n v="45025"/>
    <x v="615"/>
    <x v="22"/>
    <x v="0"/>
    <x v="3"/>
    <s v="Acco Pressboard Covers with Storage Hooks, 14 7/8&quot; x 11&quot;, Light Blue"/>
    <x v="3160"/>
    <n v="9"/>
    <n v="12.82"/>
    <x v="3"/>
    <x v="2"/>
  </r>
  <r>
    <n v="45025"/>
    <x v="746"/>
    <x v="14"/>
    <x v="2"/>
    <x v="6"/>
    <s v="Nortel Meridian M5316 Digital phone"/>
    <x v="3161"/>
    <n v="2"/>
    <n v="134.65"/>
    <x v="3"/>
    <x v="2"/>
  </r>
  <r>
    <n v="45025"/>
    <x v="746"/>
    <x v="14"/>
    <x v="0"/>
    <x v="3"/>
    <s v="Storex Flexible Poly Binders with Double Pockets"/>
    <x v="1685"/>
    <n v="2"/>
    <n v="2.4300000000000002"/>
    <x v="3"/>
    <x v="2"/>
  </r>
  <r>
    <n v="45025"/>
    <x v="221"/>
    <x v="3"/>
    <x v="1"/>
    <x v="11"/>
    <s v="Bush Somerset Collection Bookcase"/>
    <x v="3162"/>
    <n v="5"/>
    <n v="6.55"/>
    <x v="3"/>
    <x v="2"/>
  </r>
  <r>
    <n v="45026"/>
    <x v="691"/>
    <x v="10"/>
    <x v="0"/>
    <x v="3"/>
    <s v="Wilson Jones Hanging Recycled Pressboard Data Binders"/>
    <x v="3163"/>
    <n v="2"/>
    <n v="-6.53"/>
    <x v="3"/>
    <x v="2"/>
  </r>
  <r>
    <n v="45026"/>
    <x v="76"/>
    <x v="3"/>
    <x v="0"/>
    <x v="0"/>
    <s v="Xerox 227"/>
    <x v="115"/>
    <n v="2"/>
    <n v="6.22"/>
    <x v="3"/>
    <x v="2"/>
  </r>
  <r>
    <n v="45026"/>
    <x v="76"/>
    <x v="3"/>
    <x v="0"/>
    <x v="3"/>
    <s v="Wilson Jones Clip &amp; Carry Folder Binder Tool for Ring Binders, Clear"/>
    <x v="2444"/>
    <n v="5"/>
    <n v="8.1199999999999992"/>
    <x v="3"/>
    <x v="2"/>
  </r>
  <r>
    <n v="45026"/>
    <x v="542"/>
    <x v="3"/>
    <x v="0"/>
    <x v="12"/>
    <s v="3M Replacement Filter for Office Air Cleaner for 20' x 33' Room"/>
    <x v="3164"/>
    <n v="3"/>
    <n v="44.37"/>
    <x v="3"/>
    <x v="2"/>
  </r>
  <r>
    <n v="45026"/>
    <x v="542"/>
    <x v="3"/>
    <x v="0"/>
    <x v="2"/>
    <s v="Fellowes Staxonsteel Drawer Files"/>
    <x v="3165"/>
    <n v="3"/>
    <n v="81.13"/>
    <x v="3"/>
    <x v="2"/>
  </r>
  <r>
    <n v="45026"/>
    <x v="542"/>
    <x v="3"/>
    <x v="0"/>
    <x v="2"/>
    <s v="Rogers Profile Extra Capacity Storage Tub"/>
    <x v="3166"/>
    <n v="9"/>
    <n v="6.03"/>
    <x v="3"/>
    <x v="2"/>
  </r>
  <r>
    <n v="45026"/>
    <x v="542"/>
    <x v="3"/>
    <x v="0"/>
    <x v="3"/>
    <s v="GBC Prepunched Paper, 19-Hole, for Binding Systems, 24-lb"/>
    <x v="3167"/>
    <n v="4"/>
    <n v="15.61"/>
    <x v="3"/>
    <x v="2"/>
  </r>
  <r>
    <n v="45026"/>
    <x v="87"/>
    <x v="1"/>
    <x v="0"/>
    <x v="4"/>
    <s v="BIC Brite Liner Grip Highlighters, Assorted, 5/Pack"/>
    <x v="3168"/>
    <n v="4"/>
    <n v="3.22"/>
    <x v="3"/>
    <x v="2"/>
  </r>
  <r>
    <n v="45028"/>
    <x v="12"/>
    <x v="6"/>
    <x v="1"/>
    <x v="13"/>
    <s v="KI Adjustable-Height Table"/>
    <x v="3169"/>
    <n v="4"/>
    <n v="75.66"/>
    <x v="3"/>
    <x v="2"/>
  </r>
  <r>
    <n v="45028"/>
    <x v="12"/>
    <x v="6"/>
    <x v="0"/>
    <x v="0"/>
    <s v="Xerox 1945"/>
    <x v="3170"/>
    <n v="1"/>
    <n v="20.09"/>
    <x v="3"/>
    <x v="2"/>
  </r>
  <r>
    <n v="45028"/>
    <x v="12"/>
    <x v="6"/>
    <x v="0"/>
    <x v="10"/>
    <s v="Globe Weis Peel &amp; Seel First Class Envelopes"/>
    <x v="3171"/>
    <n v="5"/>
    <n v="28.76"/>
    <x v="3"/>
    <x v="2"/>
  </r>
  <r>
    <n v="45028"/>
    <x v="443"/>
    <x v="3"/>
    <x v="1"/>
    <x v="5"/>
    <s v="Hon Comfortask Task/Swivel Chairs"/>
    <x v="3172"/>
    <n v="7"/>
    <n v="-31.91"/>
    <x v="3"/>
    <x v="2"/>
  </r>
  <r>
    <n v="45028"/>
    <x v="443"/>
    <x v="3"/>
    <x v="0"/>
    <x v="3"/>
    <s v="JM Magazine Binder"/>
    <x v="3173"/>
    <n v="1"/>
    <n v="4.62"/>
    <x v="3"/>
    <x v="2"/>
  </r>
  <r>
    <n v="45028"/>
    <x v="80"/>
    <x v="3"/>
    <x v="0"/>
    <x v="0"/>
    <s v="Xerox 206"/>
    <x v="5"/>
    <n v="3"/>
    <n v="9.33"/>
    <x v="3"/>
    <x v="2"/>
  </r>
  <r>
    <n v="45028"/>
    <x v="80"/>
    <x v="3"/>
    <x v="1"/>
    <x v="5"/>
    <s v="Global Geo Office Task Chair, Gray"/>
    <x v="3174"/>
    <n v="3"/>
    <n v="-36.44"/>
    <x v="3"/>
    <x v="2"/>
  </r>
  <r>
    <n v="45028"/>
    <x v="80"/>
    <x v="3"/>
    <x v="0"/>
    <x v="3"/>
    <s v="Aluminum Screw Posts"/>
    <x v="2060"/>
    <n v="3"/>
    <n v="13.73"/>
    <x v="3"/>
    <x v="2"/>
  </r>
  <r>
    <n v="45028"/>
    <x v="559"/>
    <x v="25"/>
    <x v="0"/>
    <x v="2"/>
    <s v="Fellowes Bankers Box Recycled Super Stor/Drawer"/>
    <x v="128"/>
    <n v="3"/>
    <n v="-22.67"/>
    <x v="3"/>
    <x v="2"/>
  </r>
  <r>
    <n v="45028"/>
    <x v="559"/>
    <x v="25"/>
    <x v="0"/>
    <x v="2"/>
    <s v="Fellowes Bankers Box Staxonsteel Drawer File/Stacking System"/>
    <x v="2079"/>
    <n v="1"/>
    <n v="-5.2"/>
    <x v="3"/>
    <x v="2"/>
  </r>
  <r>
    <n v="45028"/>
    <x v="559"/>
    <x v="25"/>
    <x v="0"/>
    <x v="0"/>
    <s v="TOPS &quot;Important Message&quot; Pads, Canary, 4-1/4 x 5-1/2, 50 Sheets per Pad"/>
    <x v="1207"/>
    <n v="3"/>
    <n v="3.47"/>
    <x v="3"/>
    <x v="2"/>
  </r>
  <r>
    <n v="45029"/>
    <x v="530"/>
    <x v="3"/>
    <x v="0"/>
    <x v="10"/>
    <s v="Poly String Tie Envelopes"/>
    <x v="248"/>
    <n v="3"/>
    <n v="2.88"/>
    <x v="3"/>
    <x v="2"/>
  </r>
  <r>
    <n v="45030"/>
    <x v="300"/>
    <x v="3"/>
    <x v="1"/>
    <x v="5"/>
    <s v="Bevis Steel Folding Chairs"/>
    <x v="3175"/>
    <n v="5"/>
    <n v="38.380000000000003"/>
    <x v="3"/>
    <x v="2"/>
  </r>
  <r>
    <n v="45030"/>
    <x v="388"/>
    <x v="12"/>
    <x v="1"/>
    <x v="5"/>
    <s v="Hon 4070 Series Pagoda Armless Upholstered Stacking Chairs"/>
    <x v="3176"/>
    <n v="4"/>
    <n v="105.02"/>
    <x v="3"/>
    <x v="2"/>
  </r>
  <r>
    <n v="45030"/>
    <x v="388"/>
    <x v="12"/>
    <x v="0"/>
    <x v="2"/>
    <s v="Fellowes Personal Hanging Folder Files, Navy"/>
    <x v="3177"/>
    <n v="4"/>
    <n v="4.3"/>
    <x v="3"/>
    <x v="2"/>
  </r>
  <r>
    <n v="45030"/>
    <x v="23"/>
    <x v="6"/>
    <x v="0"/>
    <x v="2"/>
    <s v="Acco Perma 4000 Stacking Storage Drawers"/>
    <x v="3178"/>
    <n v="5"/>
    <n v="12.18"/>
    <x v="3"/>
    <x v="2"/>
  </r>
  <r>
    <n v="45030"/>
    <x v="747"/>
    <x v="36"/>
    <x v="0"/>
    <x v="3"/>
    <s v="GBC ProClick Spines for 32-Hole Punch"/>
    <x v="1432"/>
    <n v="2"/>
    <n v="11.78"/>
    <x v="3"/>
    <x v="2"/>
  </r>
  <r>
    <n v="45031"/>
    <x v="237"/>
    <x v="25"/>
    <x v="0"/>
    <x v="3"/>
    <s v="GBC ProClick 150 Presentation Binding System"/>
    <x v="3179"/>
    <n v="2"/>
    <n v="-145.35"/>
    <x v="3"/>
    <x v="2"/>
  </r>
  <r>
    <n v="45031"/>
    <x v="237"/>
    <x v="25"/>
    <x v="2"/>
    <x v="9"/>
    <s v="ImationÂ Secure+ Hardware Encrypted USB 2.0Â Flash Drive; 16GB"/>
    <x v="1462"/>
    <n v="7"/>
    <n v="76.64"/>
    <x v="3"/>
    <x v="2"/>
  </r>
  <r>
    <n v="45031"/>
    <x v="237"/>
    <x v="25"/>
    <x v="2"/>
    <x v="9"/>
    <s v="ImationÂ Secure+ Hardware Encrypted USB 2.0Â Flash Drive; 16GB"/>
    <x v="3180"/>
    <n v="5"/>
    <n v="54.74"/>
    <x v="3"/>
    <x v="2"/>
  </r>
  <r>
    <n v="45031"/>
    <x v="237"/>
    <x v="25"/>
    <x v="0"/>
    <x v="2"/>
    <s v="Woodgrain Magazine Files by Perma"/>
    <x v="3025"/>
    <n v="2"/>
    <n v="-0.77"/>
    <x v="3"/>
    <x v="2"/>
  </r>
  <r>
    <n v="45031"/>
    <x v="649"/>
    <x v="3"/>
    <x v="1"/>
    <x v="5"/>
    <s v="HON 5400 Series Task Chairs for Big and Tall"/>
    <x v="3181"/>
    <n v="2"/>
    <n v="0"/>
    <x v="3"/>
    <x v="2"/>
  </r>
  <r>
    <n v="45031"/>
    <x v="168"/>
    <x v="0"/>
    <x v="0"/>
    <x v="4"/>
    <s v="Dixon Ticonderoga Erasable Colored Pencil Set, 12-Color"/>
    <x v="278"/>
    <n v="7"/>
    <n v="5.86"/>
    <x v="3"/>
    <x v="2"/>
  </r>
  <r>
    <n v="45031"/>
    <x v="168"/>
    <x v="0"/>
    <x v="0"/>
    <x v="7"/>
    <s v="Ideal Clamps"/>
    <x v="2015"/>
    <n v="5"/>
    <n v="2.91"/>
    <x v="3"/>
    <x v="2"/>
  </r>
  <r>
    <n v="45031"/>
    <x v="488"/>
    <x v="3"/>
    <x v="0"/>
    <x v="0"/>
    <s v="Xerox 1911"/>
    <x v="2240"/>
    <n v="3"/>
    <n v="68.98"/>
    <x v="3"/>
    <x v="2"/>
  </r>
  <r>
    <n v="45032"/>
    <x v="358"/>
    <x v="4"/>
    <x v="0"/>
    <x v="4"/>
    <s v="Newell 341"/>
    <x v="1282"/>
    <n v="3"/>
    <n v="3.72"/>
    <x v="3"/>
    <x v="2"/>
  </r>
  <r>
    <n v="45032"/>
    <x v="183"/>
    <x v="23"/>
    <x v="2"/>
    <x v="15"/>
    <s v="3D Systems Cube Printer, 2nd Generation, Magenta"/>
    <x v="3182"/>
    <n v="7"/>
    <n v="2365.98"/>
    <x v="3"/>
    <x v="2"/>
  </r>
  <r>
    <n v="45032"/>
    <x v="183"/>
    <x v="23"/>
    <x v="1"/>
    <x v="8"/>
    <s v="Stacking Trays by OIC"/>
    <x v="967"/>
    <n v="2"/>
    <n v="3.29"/>
    <x v="3"/>
    <x v="2"/>
  </r>
  <r>
    <n v="45032"/>
    <x v="183"/>
    <x v="23"/>
    <x v="0"/>
    <x v="3"/>
    <s v="Wilson Jones Standard D-Ring Binders"/>
    <x v="858"/>
    <n v="5"/>
    <n v="11.89"/>
    <x v="3"/>
    <x v="2"/>
  </r>
  <r>
    <n v="45032"/>
    <x v="240"/>
    <x v="22"/>
    <x v="0"/>
    <x v="14"/>
    <s v="Stiletto Hand Letter Openers"/>
    <x v="1024"/>
    <n v="3"/>
    <n v="0.86"/>
    <x v="3"/>
    <x v="2"/>
  </r>
  <r>
    <n v="45032"/>
    <x v="500"/>
    <x v="15"/>
    <x v="2"/>
    <x v="9"/>
    <s v="Memorex Froggy Flash Drive 4 GB"/>
    <x v="1395"/>
    <n v="4"/>
    <n v="8.35"/>
    <x v="3"/>
    <x v="2"/>
  </r>
  <r>
    <n v="45032"/>
    <x v="500"/>
    <x v="15"/>
    <x v="0"/>
    <x v="0"/>
    <s v="Standard Line Â“While You Were OutÂ” Hardbound Telephone Message Book"/>
    <x v="3183"/>
    <n v="7"/>
    <n v="40"/>
    <x v="3"/>
    <x v="2"/>
  </r>
  <r>
    <n v="45033"/>
    <x v="151"/>
    <x v="25"/>
    <x v="2"/>
    <x v="6"/>
    <s v="Motorola L804"/>
    <x v="3184"/>
    <n v="1"/>
    <n v="4.1399999999999997"/>
    <x v="3"/>
    <x v="2"/>
  </r>
  <r>
    <n v="45033"/>
    <x v="151"/>
    <x v="25"/>
    <x v="1"/>
    <x v="8"/>
    <s v="GE General Purpose, Extra Long Life, Showcase &amp; Floodlight Incandescent Bulbs"/>
    <x v="146"/>
    <n v="8"/>
    <n v="6.29"/>
    <x v="3"/>
    <x v="2"/>
  </r>
  <r>
    <n v="45033"/>
    <x v="746"/>
    <x v="40"/>
    <x v="0"/>
    <x v="7"/>
    <s v="Advantus Push Pins, Aluminum Head"/>
    <x v="3185"/>
    <n v="5"/>
    <n v="9.01"/>
    <x v="3"/>
    <x v="2"/>
  </r>
  <r>
    <n v="45033"/>
    <x v="401"/>
    <x v="3"/>
    <x v="1"/>
    <x v="11"/>
    <s v="Bush Westfield Collection Bookcases, Fully Assembled"/>
    <x v="3186"/>
    <n v="3"/>
    <n v="24.24"/>
    <x v="3"/>
    <x v="2"/>
  </r>
  <r>
    <n v="45033"/>
    <x v="345"/>
    <x v="15"/>
    <x v="1"/>
    <x v="8"/>
    <s v="Ultra Door Kickplate, 8&quot;H x 34&quot;W"/>
    <x v="3187"/>
    <n v="5"/>
    <n v="13.85"/>
    <x v="3"/>
    <x v="2"/>
  </r>
  <r>
    <n v="45034"/>
    <x v="748"/>
    <x v="1"/>
    <x v="0"/>
    <x v="2"/>
    <s v="Safco Industrial Wire Shelving"/>
    <x v="1076"/>
    <n v="3"/>
    <n v="-48.95"/>
    <x v="3"/>
    <x v="2"/>
  </r>
  <r>
    <n v="45034"/>
    <x v="748"/>
    <x v="1"/>
    <x v="0"/>
    <x v="0"/>
    <s v="Adams Telephone Message Books, 5 1/4Â” x 11Â”"/>
    <x v="3188"/>
    <n v="2"/>
    <n v="3.26"/>
    <x v="3"/>
    <x v="2"/>
  </r>
  <r>
    <n v="45034"/>
    <x v="503"/>
    <x v="6"/>
    <x v="0"/>
    <x v="12"/>
    <s v="Eureka The Boss Cordless Rechargeable Stick Vac"/>
    <x v="1697"/>
    <n v="4"/>
    <n v="55.06"/>
    <x v="3"/>
    <x v="2"/>
  </r>
  <r>
    <n v="45034"/>
    <x v="503"/>
    <x v="6"/>
    <x v="2"/>
    <x v="6"/>
    <s v="SKILCRAFT Telephone Shoulder Rest, 2&quot; x 6.5&quot; x 2.5&quot;, Black"/>
    <x v="3189"/>
    <n v="4"/>
    <n v="7.98"/>
    <x v="3"/>
    <x v="2"/>
  </r>
  <r>
    <n v="45034"/>
    <x v="424"/>
    <x v="0"/>
    <x v="1"/>
    <x v="5"/>
    <s v="Global High-Back Leather Tilter, Burgundy"/>
    <x v="2708"/>
    <n v="4"/>
    <n v="-93.47"/>
    <x v="3"/>
    <x v="2"/>
  </r>
  <r>
    <n v="45034"/>
    <x v="424"/>
    <x v="0"/>
    <x v="0"/>
    <x v="2"/>
    <s v="Tennsco 16-Compartment Lockers with Coat Rack"/>
    <x v="3190"/>
    <n v="3"/>
    <n v="77.75"/>
    <x v="3"/>
    <x v="2"/>
  </r>
  <r>
    <n v="45034"/>
    <x v="424"/>
    <x v="0"/>
    <x v="1"/>
    <x v="8"/>
    <s v="Howard Miller 16&quot; Diameter Gallery Wall Clock"/>
    <x v="3091"/>
    <n v="5"/>
    <n v="-67.14"/>
    <x v="3"/>
    <x v="2"/>
  </r>
  <r>
    <n v="45034"/>
    <x v="599"/>
    <x v="20"/>
    <x v="0"/>
    <x v="4"/>
    <s v="American Pencil"/>
    <x v="1795"/>
    <n v="3"/>
    <n v="2.0299999999999998"/>
    <x v="3"/>
    <x v="2"/>
  </r>
  <r>
    <n v="45034"/>
    <x v="599"/>
    <x v="20"/>
    <x v="0"/>
    <x v="14"/>
    <s v="Acme Design Line 8&quot; Stainless Steel Bent Scissors w/Champagne Handles, 3-1/8&quot; Cut"/>
    <x v="3191"/>
    <n v="1"/>
    <n v="1.85"/>
    <x v="3"/>
    <x v="2"/>
  </r>
  <r>
    <n v="45035"/>
    <x v="146"/>
    <x v="10"/>
    <x v="1"/>
    <x v="13"/>
    <s v="Bush Andora Conference Table, Maple/Graphite Gray Finish"/>
    <x v="3192"/>
    <n v="2"/>
    <n v="-58.13"/>
    <x v="3"/>
    <x v="2"/>
  </r>
  <r>
    <n v="45035"/>
    <x v="146"/>
    <x v="10"/>
    <x v="0"/>
    <x v="0"/>
    <s v="Xerox 189"/>
    <x v="3193"/>
    <n v="5"/>
    <n v="146.79"/>
    <x v="3"/>
    <x v="2"/>
  </r>
  <r>
    <n v="45035"/>
    <x v="117"/>
    <x v="3"/>
    <x v="2"/>
    <x v="6"/>
    <s v="PowerGen Dual USB Car Charger"/>
    <x v="418"/>
    <n v="5"/>
    <n v="12.99"/>
    <x v="3"/>
    <x v="2"/>
  </r>
  <r>
    <n v="45035"/>
    <x v="117"/>
    <x v="3"/>
    <x v="0"/>
    <x v="4"/>
    <s v="Newell 307"/>
    <x v="943"/>
    <n v="3"/>
    <n v="1.53"/>
    <x v="3"/>
    <x v="2"/>
  </r>
  <r>
    <n v="45035"/>
    <x v="117"/>
    <x v="3"/>
    <x v="0"/>
    <x v="4"/>
    <s v="Panasonic KP-4ABK Battery-Operated Pencil Sharpener"/>
    <x v="3194"/>
    <n v="5"/>
    <n v="21.23"/>
    <x v="3"/>
    <x v="2"/>
  </r>
  <r>
    <n v="45035"/>
    <x v="117"/>
    <x v="3"/>
    <x v="0"/>
    <x v="3"/>
    <s v="Angle-D Binders with Locking Rings, Label Holders"/>
    <x v="1821"/>
    <n v="1"/>
    <n v="1.97"/>
    <x v="3"/>
    <x v="2"/>
  </r>
  <r>
    <n v="45035"/>
    <x v="117"/>
    <x v="3"/>
    <x v="0"/>
    <x v="0"/>
    <s v="Adams Telephone Message Book W/Dividers/Space For Phone Numbers, 5 1/4&quot;X8 1/2&quot;, 200/Messages"/>
    <x v="850"/>
    <n v="4"/>
    <n v="10.220000000000001"/>
    <x v="3"/>
    <x v="2"/>
  </r>
  <r>
    <n v="45035"/>
    <x v="117"/>
    <x v="3"/>
    <x v="0"/>
    <x v="3"/>
    <s v="Avery Binder Labels"/>
    <x v="16"/>
    <n v="3"/>
    <n v="3.27"/>
    <x v="3"/>
    <x v="2"/>
  </r>
  <r>
    <n v="45035"/>
    <x v="111"/>
    <x v="20"/>
    <x v="2"/>
    <x v="6"/>
    <s v="Gear Head AU3700S Headset"/>
    <x v="679"/>
    <n v="2"/>
    <n v="0.78"/>
    <x v="3"/>
    <x v="2"/>
  </r>
  <r>
    <n v="45035"/>
    <x v="111"/>
    <x v="20"/>
    <x v="0"/>
    <x v="4"/>
    <s v="BIC Brite Liner Grip Highlighters"/>
    <x v="462"/>
    <n v="2"/>
    <n v="1.48"/>
    <x v="3"/>
    <x v="2"/>
  </r>
  <r>
    <n v="45035"/>
    <x v="111"/>
    <x v="20"/>
    <x v="0"/>
    <x v="2"/>
    <s v="Space Solutions HD Industrial Steel Shelving."/>
    <x v="3195"/>
    <n v="4"/>
    <n v="13.8"/>
    <x v="3"/>
    <x v="2"/>
  </r>
  <r>
    <n v="45035"/>
    <x v="111"/>
    <x v="20"/>
    <x v="0"/>
    <x v="14"/>
    <s v="Acme Kleen Earth Office Shears"/>
    <x v="2163"/>
    <n v="2"/>
    <n v="2.25"/>
    <x v="3"/>
    <x v="2"/>
  </r>
  <r>
    <n v="45035"/>
    <x v="111"/>
    <x v="20"/>
    <x v="0"/>
    <x v="4"/>
    <s v="Panasonic KP-380BK Classic Electric Pencil Sharpener"/>
    <x v="3196"/>
    <n v="2"/>
    <n v="17.989999999999998"/>
    <x v="3"/>
    <x v="2"/>
  </r>
  <r>
    <n v="45035"/>
    <x v="111"/>
    <x v="20"/>
    <x v="0"/>
    <x v="14"/>
    <s v="Fiskars Softgrip Scissors"/>
    <x v="3197"/>
    <n v="5"/>
    <n v="15.37"/>
    <x v="3"/>
    <x v="2"/>
  </r>
  <r>
    <n v="45035"/>
    <x v="111"/>
    <x v="20"/>
    <x v="0"/>
    <x v="3"/>
    <s v="Wilson Jones Clip &amp; Carry Folder Binder Tool for Ring Binders, Clear"/>
    <x v="3198"/>
    <n v="2"/>
    <n v="3.25"/>
    <x v="3"/>
    <x v="2"/>
  </r>
  <r>
    <n v="45037"/>
    <x v="457"/>
    <x v="1"/>
    <x v="0"/>
    <x v="2"/>
    <s v="Fellowes Bankers Box Stor/Drawer Steel Plus"/>
    <x v="3199"/>
    <n v="4"/>
    <n v="-12.79"/>
    <x v="3"/>
    <x v="2"/>
  </r>
  <r>
    <n v="45037"/>
    <x v="457"/>
    <x v="1"/>
    <x v="0"/>
    <x v="12"/>
    <s v="Kensington 4 Outlet MasterPiece Compact Power Control Center"/>
    <x v="3200"/>
    <n v="3"/>
    <n v="-126.86"/>
    <x v="3"/>
    <x v="2"/>
  </r>
  <r>
    <n v="45037"/>
    <x v="457"/>
    <x v="1"/>
    <x v="0"/>
    <x v="3"/>
    <s v="Performers Binder/Pad Holder, Black"/>
    <x v="3201"/>
    <n v="8"/>
    <n v="-67.27"/>
    <x v="3"/>
    <x v="2"/>
  </r>
  <r>
    <n v="45037"/>
    <x v="416"/>
    <x v="22"/>
    <x v="0"/>
    <x v="3"/>
    <s v="Round Ring Binders"/>
    <x v="160"/>
    <n v="5"/>
    <n v="2.81"/>
    <x v="3"/>
    <x v="2"/>
  </r>
  <r>
    <n v="45037"/>
    <x v="542"/>
    <x v="37"/>
    <x v="0"/>
    <x v="4"/>
    <s v="Colorific Watercolor Pencils"/>
    <x v="2135"/>
    <n v="3"/>
    <n v="4.49"/>
    <x v="3"/>
    <x v="2"/>
  </r>
  <r>
    <n v="45037"/>
    <x v="542"/>
    <x v="37"/>
    <x v="0"/>
    <x v="0"/>
    <s v="Xerox 209"/>
    <x v="1778"/>
    <n v="8"/>
    <n v="24.88"/>
    <x v="3"/>
    <x v="2"/>
  </r>
  <r>
    <n v="45038"/>
    <x v="451"/>
    <x v="12"/>
    <x v="1"/>
    <x v="8"/>
    <s v="Eldon Wave Desk Accessories"/>
    <x v="3202"/>
    <n v="5"/>
    <n v="7.07"/>
    <x v="3"/>
    <x v="2"/>
  </r>
  <r>
    <n v="45038"/>
    <x v="451"/>
    <x v="12"/>
    <x v="1"/>
    <x v="13"/>
    <s v="Bush Advantage Collection Racetrack Conference Table"/>
    <x v="3203"/>
    <n v="6"/>
    <n v="-814.48"/>
    <x v="3"/>
    <x v="2"/>
  </r>
  <r>
    <n v="45038"/>
    <x v="451"/>
    <x v="12"/>
    <x v="0"/>
    <x v="3"/>
    <s v="Poly Designer Cover &amp; Back"/>
    <x v="3204"/>
    <n v="5"/>
    <n v="-20.89"/>
    <x v="3"/>
    <x v="2"/>
  </r>
  <r>
    <n v="45038"/>
    <x v="451"/>
    <x v="12"/>
    <x v="0"/>
    <x v="14"/>
    <s v="Premier Electric Letter Opener"/>
    <x v="3205"/>
    <n v="2"/>
    <n v="-34.76"/>
    <x v="3"/>
    <x v="2"/>
  </r>
  <r>
    <n v="45038"/>
    <x v="451"/>
    <x v="12"/>
    <x v="0"/>
    <x v="12"/>
    <s v="Fellowes Premier Superior Surge Suppressor, 10-Outlet, With Phone and Remote"/>
    <x v="3206"/>
    <n v="2"/>
    <n v="5.87"/>
    <x v="3"/>
    <x v="2"/>
  </r>
  <r>
    <n v="45038"/>
    <x v="749"/>
    <x v="24"/>
    <x v="1"/>
    <x v="8"/>
    <s v="Eldon Advantage Chair Mats for Low to Medium Pile Carpets"/>
    <x v="3207"/>
    <n v="2"/>
    <n v="8.66"/>
    <x v="3"/>
    <x v="2"/>
  </r>
  <r>
    <n v="45038"/>
    <x v="722"/>
    <x v="1"/>
    <x v="0"/>
    <x v="2"/>
    <s v="Pizazz Global Quick File"/>
    <x v="3208"/>
    <n v="2"/>
    <n v="2.4"/>
    <x v="3"/>
    <x v="2"/>
  </r>
  <r>
    <n v="45038"/>
    <x v="194"/>
    <x v="3"/>
    <x v="1"/>
    <x v="8"/>
    <s v="Ultra Door Pull Handle"/>
    <x v="1791"/>
    <n v="3"/>
    <n v="10.41"/>
    <x v="3"/>
    <x v="2"/>
  </r>
  <r>
    <n v="45038"/>
    <x v="13"/>
    <x v="20"/>
    <x v="0"/>
    <x v="4"/>
    <s v="Barrel Sharpener"/>
    <x v="3209"/>
    <n v="9"/>
    <n v="8.35"/>
    <x v="3"/>
    <x v="2"/>
  </r>
  <r>
    <n v="45038"/>
    <x v="13"/>
    <x v="20"/>
    <x v="0"/>
    <x v="4"/>
    <s v="Newell 32"/>
    <x v="633"/>
    <n v="1"/>
    <n v="0.81"/>
    <x v="3"/>
    <x v="2"/>
  </r>
  <r>
    <n v="45039"/>
    <x v="271"/>
    <x v="3"/>
    <x v="0"/>
    <x v="3"/>
    <s v="Ibico Laser Imprintable Binding System Covers"/>
    <x v="3210"/>
    <n v="6"/>
    <n v="81.739999999999995"/>
    <x v="3"/>
    <x v="2"/>
  </r>
  <r>
    <n v="45039"/>
    <x v="271"/>
    <x v="3"/>
    <x v="2"/>
    <x v="9"/>
    <s v="Logitech Wireless Headset h800"/>
    <x v="482"/>
    <n v="1"/>
    <n v="35"/>
    <x v="3"/>
    <x v="2"/>
  </r>
  <r>
    <n v="45039"/>
    <x v="252"/>
    <x v="25"/>
    <x v="0"/>
    <x v="0"/>
    <s v="Southworth 25% Cotton Linen-Finish Paper &amp; Envelopes"/>
    <x v="2863"/>
    <n v="5"/>
    <n v="11.33"/>
    <x v="3"/>
    <x v="2"/>
  </r>
  <r>
    <n v="45039"/>
    <x v="655"/>
    <x v="10"/>
    <x v="0"/>
    <x v="0"/>
    <s v="Embossed Ink Jet Note Cards"/>
    <x v="3211"/>
    <n v="6"/>
    <n v="37.92"/>
    <x v="3"/>
    <x v="2"/>
  </r>
  <r>
    <n v="45039"/>
    <x v="655"/>
    <x v="10"/>
    <x v="0"/>
    <x v="2"/>
    <s v="Eldon Fold 'N Roll Cart System"/>
    <x v="662"/>
    <n v="5"/>
    <n v="6.29"/>
    <x v="3"/>
    <x v="2"/>
  </r>
  <r>
    <n v="45039"/>
    <x v="655"/>
    <x v="10"/>
    <x v="0"/>
    <x v="0"/>
    <s v="Xerox 1942"/>
    <x v="737"/>
    <n v="2"/>
    <n v="29.36"/>
    <x v="3"/>
    <x v="2"/>
  </r>
  <r>
    <n v="45039"/>
    <x v="721"/>
    <x v="3"/>
    <x v="0"/>
    <x v="3"/>
    <s v="Recycled Pressboard Report Cover with Reinforced Top Hinge"/>
    <x v="329"/>
    <n v="7"/>
    <n v="6.56"/>
    <x v="3"/>
    <x v="2"/>
  </r>
  <r>
    <n v="45039"/>
    <x v="721"/>
    <x v="3"/>
    <x v="0"/>
    <x v="10"/>
    <s v="Recycled Interoffice Envelopes with String and Button Closure, 10 x 13"/>
    <x v="3212"/>
    <n v="3"/>
    <n v="35.99"/>
    <x v="3"/>
    <x v="2"/>
  </r>
  <r>
    <n v="45040"/>
    <x v="683"/>
    <x v="0"/>
    <x v="2"/>
    <x v="9"/>
    <s v="Plantronics S12 Corded Telephone Headset System"/>
    <x v="3213"/>
    <n v="3"/>
    <n v="64.67"/>
    <x v="3"/>
    <x v="2"/>
  </r>
  <r>
    <n v="45040"/>
    <x v="304"/>
    <x v="3"/>
    <x v="0"/>
    <x v="3"/>
    <s v="Cardinal Holdit Business Card Pockets"/>
    <x v="444"/>
    <n v="1"/>
    <n v="1.39"/>
    <x v="3"/>
    <x v="2"/>
  </r>
  <r>
    <n v="45040"/>
    <x v="750"/>
    <x v="26"/>
    <x v="0"/>
    <x v="0"/>
    <s v="Xerox 226"/>
    <x v="143"/>
    <n v="3"/>
    <n v="5.44"/>
    <x v="3"/>
    <x v="2"/>
  </r>
  <r>
    <n v="45040"/>
    <x v="750"/>
    <x v="26"/>
    <x v="1"/>
    <x v="5"/>
    <s v="SAFCO Arco Folding Chair"/>
    <x v="1559"/>
    <n v="6"/>
    <n v="149.15"/>
    <x v="3"/>
    <x v="2"/>
  </r>
  <r>
    <n v="45040"/>
    <x v="750"/>
    <x v="26"/>
    <x v="0"/>
    <x v="3"/>
    <s v="Wilson Jones Impact Binders"/>
    <x v="3214"/>
    <n v="2"/>
    <n v="-2.1800000000000002"/>
    <x v="3"/>
    <x v="2"/>
  </r>
  <r>
    <n v="45041"/>
    <x v="315"/>
    <x v="2"/>
    <x v="2"/>
    <x v="6"/>
    <s v="AT&amp;T 841000 Phone"/>
    <x v="171"/>
    <n v="2"/>
    <n v="-20.7"/>
    <x v="3"/>
    <x v="2"/>
  </r>
  <r>
    <n v="45041"/>
    <x v="315"/>
    <x v="2"/>
    <x v="0"/>
    <x v="3"/>
    <s v="Ibico Recycled Grain-Textured Covers"/>
    <x v="3215"/>
    <n v="2"/>
    <n v="-13.82"/>
    <x v="3"/>
    <x v="2"/>
  </r>
  <r>
    <n v="45041"/>
    <x v="315"/>
    <x v="2"/>
    <x v="0"/>
    <x v="3"/>
    <s v="Wilson Jones Custom Binder Spines &amp; Labels"/>
    <x v="1972"/>
    <n v="3"/>
    <n v="-3.43"/>
    <x v="3"/>
    <x v="2"/>
  </r>
  <r>
    <n v="45042"/>
    <x v="524"/>
    <x v="20"/>
    <x v="1"/>
    <x v="5"/>
    <s v="Office Star - Mid Back Dual function Ergonomic High Back Chair with 2-Way Adjustable Arms"/>
    <x v="3216"/>
    <n v="3"/>
    <n v="62.78"/>
    <x v="3"/>
    <x v="2"/>
  </r>
  <r>
    <n v="45044"/>
    <x v="555"/>
    <x v="0"/>
    <x v="2"/>
    <x v="6"/>
    <s v="Nortel Meridian M3904 Professional Digital phone"/>
    <x v="3217"/>
    <n v="3"/>
    <n v="41.58"/>
    <x v="3"/>
    <x v="2"/>
  </r>
  <r>
    <n v="45044"/>
    <x v="555"/>
    <x v="0"/>
    <x v="0"/>
    <x v="1"/>
    <s v="Avery 493"/>
    <x v="2382"/>
    <n v="4"/>
    <n v="5.7"/>
    <x v="3"/>
    <x v="2"/>
  </r>
  <r>
    <n v="45044"/>
    <x v="200"/>
    <x v="26"/>
    <x v="0"/>
    <x v="0"/>
    <s v="Xerox 1881"/>
    <x v="3218"/>
    <n v="3"/>
    <n v="9.9499999999999993"/>
    <x v="3"/>
    <x v="2"/>
  </r>
  <r>
    <n v="45044"/>
    <x v="731"/>
    <x v="3"/>
    <x v="1"/>
    <x v="5"/>
    <s v="Global Stack Chair without Arms, Black"/>
    <x v="2014"/>
    <n v="2"/>
    <n v="2.6"/>
    <x v="3"/>
    <x v="2"/>
  </r>
  <r>
    <n v="45044"/>
    <x v="751"/>
    <x v="1"/>
    <x v="1"/>
    <x v="8"/>
    <s v="Eldon Delta Triangular Chair Mat, 52&quot; x 58&quot;, Clear"/>
    <x v="3082"/>
    <n v="2"/>
    <n v="-31.86"/>
    <x v="3"/>
    <x v="2"/>
  </r>
  <r>
    <n v="45046"/>
    <x v="154"/>
    <x v="20"/>
    <x v="0"/>
    <x v="3"/>
    <s v="Tuff Stuff Recycled Round Ring Binders"/>
    <x v="647"/>
    <n v="2"/>
    <n v="2.8"/>
    <x v="3"/>
    <x v="2"/>
  </r>
  <r>
    <n v="45046"/>
    <x v="151"/>
    <x v="0"/>
    <x v="1"/>
    <x v="8"/>
    <s v="Flat Face Poster Frame"/>
    <x v="3219"/>
    <n v="3"/>
    <n v="-10.17"/>
    <x v="3"/>
    <x v="2"/>
  </r>
  <r>
    <n v="45046"/>
    <x v="687"/>
    <x v="12"/>
    <x v="1"/>
    <x v="8"/>
    <s v="12-1/2 Diameter Round Wall Clock"/>
    <x v="3220"/>
    <n v="7"/>
    <n v="22.38"/>
    <x v="3"/>
    <x v="2"/>
  </r>
  <r>
    <n v="45047"/>
    <x v="221"/>
    <x v="15"/>
    <x v="0"/>
    <x v="1"/>
    <s v="Avery 499"/>
    <x v="444"/>
    <n v="1"/>
    <n v="1.29"/>
    <x v="4"/>
    <x v="2"/>
  </r>
  <r>
    <n v="45047"/>
    <x v="221"/>
    <x v="15"/>
    <x v="1"/>
    <x v="13"/>
    <s v="Bevis 44 x 96 Conference Tables"/>
    <x v="3221"/>
    <n v="3"/>
    <n v="-142.07"/>
    <x v="4"/>
    <x v="2"/>
  </r>
  <r>
    <n v="45047"/>
    <x v="221"/>
    <x v="15"/>
    <x v="0"/>
    <x v="3"/>
    <s v="Newell 3-Hole Punched Plastic Slotted Magazine Holders for Binders"/>
    <x v="1757"/>
    <n v="2"/>
    <n v="-2.0099999999999998"/>
    <x v="4"/>
    <x v="2"/>
  </r>
  <r>
    <n v="45047"/>
    <x v="752"/>
    <x v="13"/>
    <x v="0"/>
    <x v="0"/>
    <s v="Xerox 1914"/>
    <x v="854"/>
    <n v="2"/>
    <n v="53.86"/>
    <x v="4"/>
    <x v="2"/>
  </r>
  <r>
    <n v="45047"/>
    <x v="752"/>
    <x v="13"/>
    <x v="0"/>
    <x v="0"/>
    <s v="Xerox 1994"/>
    <x v="5"/>
    <n v="3"/>
    <n v="9.33"/>
    <x v="4"/>
    <x v="2"/>
  </r>
  <r>
    <n v="45047"/>
    <x v="752"/>
    <x v="13"/>
    <x v="0"/>
    <x v="4"/>
    <s v="DIXON Ticonderoga Erasable Checking Pencils"/>
    <x v="280"/>
    <n v="2"/>
    <n v="4.3499999999999996"/>
    <x v="4"/>
    <x v="2"/>
  </r>
  <r>
    <n v="45048"/>
    <x v="741"/>
    <x v="0"/>
    <x v="0"/>
    <x v="4"/>
    <s v="Panasonic KP-380BK Classic Electric Pencil Sharpener"/>
    <x v="3222"/>
    <n v="3"/>
    <n v="5.4"/>
    <x v="4"/>
    <x v="2"/>
  </r>
  <r>
    <n v="45048"/>
    <x v="204"/>
    <x v="20"/>
    <x v="0"/>
    <x v="2"/>
    <s v="Super Decoflex Portable Personal File"/>
    <x v="3223"/>
    <n v="3"/>
    <n v="12.58"/>
    <x v="4"/>
    <x v="2"/>
  </r>
  <r>
    <n v="45048"/>
    <x v="204"/>
    <x v="20"/>
    <x v="0"/>
    <x v="3"/>
    <s v="Poly Designer Cover &amp; Back"/>
    <x v="2420"/>
    <n v="3"/>
    <n v="15.95"/>
    <x v="4"/>
    <x v="2"/>
  </r>
  <r>
    <n v="45048"/>
    <x v="275"/>
    <x v="25"/>
    <x v="1"/>
    <x v="5"/>
    <s v="Global Stack Chair without Arms, Black"/>
    <x v="3224"/>
    <n v="9"/>
    <n v="11.69"/>
    <x v="4"/>
    <x v="2"/>
  </r>
  <r>
    <n v="45048"/>
    <x v="423"/>
    <x v="0"/>
    <x v="0"/>
    <x v="2"/>
    <s v="Akro Stacking Bins"/>
    <x v="204"/>
    <n v="3"/>
    <n v="-3.79"/>
    <x v="4"/>
    <x v="2"/>
  </r>
  <r>
    <n v="45048"/>
    <x v="423"/>
    <x v="0"/>
    <x v="0"/>
    <x v="2"/>
    <s v="Sterilite Show Offs Storage Containers"/>
    <x v="810"/>
    <n v="3"/>
    <n v="-3.17"/>
    <x v="4"/>
    <x v="2"/>
  </r>
  <r>
    <n v="45048"/>
    <x v="423"/>
    <x v="0"/>
    <x v="0"/>
    <x v="1"/>
    <s v="Avery 502"/>
    <x v="466"/>
    <n v="2"/>
    <n v="1.76"/>
    <x v="4"/>
    <x v="2"/>
  </r>
  <r>
    <n v="45048"/>
    <x v="245"/>
    <x v="0"/>
    <x v="1"/>
    <x v="5"/>
    <s v="Office Star - Contemporary Task Swivel chair with Loop Arms, Charcoal"/>
    <x v="1812"/>
    <n v="4"/>
    <n v="-110.02"/>
    <x v="4"/>
    <x v="2"/>
  </r>
  <r>
    <n v="45048"/>
    <x v="150"/>
    <x v="20"/>
    <x v="1"/>
    <x v="8"/>
    <s v="Eldon 200 Class Desk Accessories"/>
    <x v="2088"/>
    <n v="2"/>
    <n v="4.0199999999999996"/>
    <x v="4"/>
    <x v="2"/>
  </r>
  <r>
    <n v="45048"/>
    <x v="150"/>
    <x v="20"/>
    <x v="0"/>
    <x v="3"/>
    <s v="Vinyl Sectional Post Binders"/>
    <x v="3010"/>
    <n v="3"/>
    <n v="33.93"/>
    <x v="4"/>
    <x v="2"/>
  </r>
  <r>
    <n v="45048"/>
    <x v="150"/>
    <x v="20"/>
    <x v="0"/>
    <x v="0"/>
    <s v="Southworth Parchment Paper &amp; Envelopes"/>
    <x v="3225"/>
    <n v="2"/>
    <n v="6.02"/>
    <x v="4"/>
    <x v="2"/>
  </r>
  <r>
    <n v="45048"/>
    <x v="150"/>
    <x v="20"/>
    <x v="1"/>
    <x v="8"/>
    <s v="Howard Miller 13&quot; Diameter Pewter Finish Round Wall Clock"/>
    <x v="3226"/>
    <n v="5"/>
    <n v="83.73"/>
    <x v="4"/>
    <x v="2"/>
  </r>
  <r>
    <n v="45049"/>
    <x v="710"/>
    <x v="1"/>
    <x v="0"/>
    <x v="3"/>
    <s v="Heavy-Duty E-Z-D Binders"/>
    <x v="3227"/>
    <n v="1"/>
    <n v="-3.6"/>
    <x v="4"/>
    <x v="2"/>
  </r>
  <r>
    <n v="45049"/>
    <x v="710"/>
    <x v="1"/>
    <x v="0"/>
    <x v="4"/>
    <s v="Newell 316"/>
    <x v="3228"/>
    <n v="7"/>
    <n v="2.74"/>
    <x v="4"/>
    <x v="2"/>
  </r>
  <r>
    <n v="45049"/>
    <x v="710"/>
    <x v="1"/>
    <x v="0"/>
    <x v="12"/>
    <s v="Acco Smartsocket Color-Coded Six-Outlet AC Adapter Model Surge Protectors"/>
    <x v="3229"/>
    <n v="3"/>
    <n v="-71.3"/>
    <x v="4"/>
    <x v="2"/>
  </r>
  <r>
    <n v="45049"/>
    <x v="753"/>
    <x v="10"/>
    <x v="2"/>
    <x v="9"/>
    <s v="ImationÂ 16GB Mini TravelDrive USB 2.0Â Flash Drive"/>
    <x v="3230"/>
    <n v="5"/>
    <n v="34.79"/>
    <x v="4"/>
    <x v="2"/>
  </r>
  <r>
    <n v="45049"/>
    <x v="753"/>
    <x v="10"/>
    <x v="0"/>
    <x v="2"/>
    <s v="Tennsco Industrial Shelving"/>
    <x v="1633"/>
    <n v="5"/>
    <n v="-44.02"/>
    <x v="4"/>
    <x v="2"/>
  </r>
  <r>
    <n v="45049"/>
    <x v="753"/>
    <x v="10"/>
    <x v="1"/>
    <x v="8"/>
    <s v="Computer Room Manger, 14&quot;"/>
    <x v="1552"/>
    <n v="2"/>
    <n v="10.39"/>
    <x v="4"/>
    <x v="2"/>
  </r>
  <r>
    <n v="45049"/>
    <x v="753"/>
    <x v="10"/>
    <x v="2"/>
    <x v="9"/>
    <s v="LogitechÂ VX Revolution Cordless Laser Mouse for Notebooks (Black)"/>
    <x v="1674"/>
    <n v="3"/>
    <n v="-75.599999999999994"/>
    <x v="4"/>
    <x v="2"/>
  </r>
  <r>
    <n v="45049"/>
    <x v="753"/>
    <x v="10"/>
    <x v="2"/>
    <x v="15"/>
    <s v="Cisco 8961 IP Phone Charcoal"/>
    <x v="3231"/>
    <n v="3"/>
    <n v="-164.95"/>
    <x v="4"/>
    <x v="2"/>
  </r>
  <r>
    <n v="45049"/>
    <x v="753"/>
    <x v="10"/>
    <x v="0"/>
    <x v="1"/>
    <s v="Avery 496"/>
    <x v="3232"/>
    <n v="2"/>
    <n v="2.1"/>
    <x v="4"/>
    <x v="2"/>
  </r>
  <r>
    <n v="45051"/>
    <x v="11"/>
    <x v="5"/>
    <x v="0"/>
    <x v="0"/>
    <s v="Xerox 1909"/>
    <x v="545"/>
    <n v="3"/>
    <n v="36.4"/>
    <x v="4"/>
    <x v="2"/>
  </r>
  <r>
    <n v="45051"/>
    <x v="225"/>
    <x v="15"/>
    <x v="0"/>
    <x v="0"/>
    <s v="Xerox 1965"/>
    <x v="632"/>
    <n v="3"/>
    <n v="5.2"/>
    <x v="4"/>
    <x v="2"/>
  </r>
  <r>
    <n v="45051"/>
    <x v="429"/>
    <x v="3"/>
    <x v="0"/>
    <x v="2"/>
    <s v="Perma STOR-ALL Hanging File Box, 13 1/8&quot;W x 12 1/4&quot;D x 10 1/2&quot;H"/>
    <x v="784"/>
    <n v="1"/>
    <n v="1.02"/>
    <x v="4"/>
    <x v="2"/>
  </r>
  <r>
    <n v="45051"/>
    <x v="429"/>
    <x v="3"/>
    <x v="2"/>
    <x v="6"/>
    <s v="Cisco Small Business SPA 502G VoIP phone"/>
    <x v="2872"/>
    <n v="3"/>
    <n v="21.54"/>
    <x v="4"/>
    <x v="2"/>
  </r>
  <r>
    <n v="45051"/>
    <x v="406"/>
    <x v="3"/>
    <x v="0"/>
    <x v="3"/>
    <s v="Computer Printout Index Tabs"/>
    <x v="1237"/>
    <n v="5"/>
    <n v="2.35"/>
    <x v="4"/>
    <x v="2"/>
  </r>
  <r>
    <n v="45051"/>
    <x v="406"/>
    <x v="3"/>
    <x v="1"/>
    <x v="13"/>
    <s v="Bevis 36 x 72 Conference Tables"/>
    <x v="3233"/>
    <n v="3"/>
    <n v="7.47"/>
    <x v="4"/>
    <x v="2"/>
  </r>
  <r>
    <n v="45051"/>
    <x v="368"/>
    <x v="15"/>
    <x v="1"/>
    <x v="8"/>
    <s v="Eldon Image Series Desk Accessories, Burgundy"/>
    <x v="3234"/>
    <n v="5"/>
    <n v="3.34"/>
    <x v="4"/>
    <x v="2"/>
  </r>
  <r>
    <n v="45051"/>
    <x v="596"/>
    <x v="3"/>
    <x v="1"/>
    <x v="13"/>
    <s v="Hon 61000 Series Interactive Training Tables"/>
    <x v="3235"/>
    <n v="2"/>
    <n v="-1.78"/>
    <x v="4"/>
    <x v="2"/>
  </r>
  <r>
    <n v="45051"/>
    <x v="754"/>
    <x v="17"/>
    <x v="1"/>
    <x v="13"/>
    <s v="Global Adaptabilities Conference Tables"/>
    <x v="3236"/>
    <n v="6"/>
    <n v="320.32"/>
    <x v="4"/>
    <x v="2"/>
  </r>
  <r>
    <n v="45051"/>
    <x v="754"/>
    <x v="17"/>
    <x v="0"/>
    <x v="3"/>
    <s v="Avery Poly Binder Pockets"/>
    <x v="2031"/>
    <n v="2"/>
    <n v="2"/>
    <x v="4"/>
    <x v="2"/>
  </r>
  <r>
    <n v="45051"/>
    <x v="81"/>
    <x v="16"/>
    <x v="0"/>
    <x v="0"/>
    <s v="Snap-A-Way Black Print Carbonless Speed Message, No Reply Area, Duplicate"/>
    <x v="3237"/>
    <n v="4"/>
    <n v="31.47"/>
    <x v="4"/>
    <x v="2"/>
  </r>
  <r>
    <n v="45051"/>
    <x v="81"/>
    <x v="16"/>
    <x v="2"/>
    <x v="6"/>
    <s v="Avaya 4621SW VoIP phone"/>
    <x v="2779"/>
    <n v="3"/>
    <n v="19.97"/>
    <x v="4"/>
    <x v="2"/>
  </r>
  <r>
    <n v="45052"/>
    <x v="671"/>
    <x v="10"/>
    <x v="0"/>
    <x v="7"/>
    <s v="Advantus T-Pin Paper Clips"/>
    <x v="178"/>
    <n v="2"/>
    <n v="1.71"/>
    <x v="4"/>
    <x v="2"/>
  </r>
  <r>
    <n v="45052"/>
    <x v="671"/>
    <x v="10"/>
    <x v="0"/>
    <x v="0"/>
    <s v="Xerox 1951"/>
    <x v="827"/>
    <n v="2"/>
    <n v="15.49"/>
    <x v="4"/>
    <x v="2"/>
  </r>
  <r>
    <n v="45052"/>
    <x v="671"/>
    <x v="10"/>
    <x v="1"/>
    <x v="8"/>
    <s v="DAX Solid Wood Frames"/>
    <x v="3238"/>
    <n v="7"/>
    <n v="11.63"/>
    <x v="4"/>
    <x v="2"/>
  </r>
  <r>
    <n v="45052"/>
    <x v="721"/>
    <x v="1"/>
    <x v="0"/>
    <x v="3"/>
    <s v="Insertable Tab Post Binder Dividers"/>
    <x v="3239"/>
    <n v="2"/>
    <n v="-5.29"/>
    <x v="4"/>
    <x v="2"/>
  </r>
  <r>
    <n v="45052"/>
    <x v="721"/>
    <x v="1"/>
    <x v="2"/>
    <x v="9"/>
    <s v="Logitech Desktop MK120 Mouse and keyboard Combo"/>
    <x v="2611"/>
    <n v="2"/>
    <n v="-3.27"/>
    <x v="4"/>
    <x v="2"/>
  </r>
  <r>
    <n v="45052"/>
    <x v="671"/>
    <x v="24"/>
    <x v="0"/>
    <x v="12"/>
    <s v="Belkin 5 Outlet SurgeMaster Power Centers"/>
    <x v="3240"/>
    <n v="1"/>
    <n v="15.25"/>
    <x v="4"/>
    <x v="2"/>
  </r>
  <r>
    <n v="45052"/>
    <x v="344"/>
    <x v="3"/>
    <x v="1"/>
    <x v="8"/>
    <s v="Executive Impressions 8-1/2&quot; Career Panel/Partition Cubicle Clock"/>
    <x v="3241"/>
    <n v="4"/>
    <n v="14.14"/>
    <x v="4"/>
    <x v="2"/>
  </r>
  <r>
    <n v="45053"/>
    <x v="740"/>
    <x v="20"/>
    <x v="0"/>
    <x v="3"/>
    <s v="GBC Twin Loop Wire Binding Elements, 9/16&quot; Spine, Black"/>
    <x v="3242"/>
    <n v="7"/>
    <n v="30.9"/>
    <x v="4"/>
    <x v="2"/>
  </r>
  <r>
    <n v="45053"/>
    <x v="740"/>
    <x v="20"/>
    <x v="0"/>
    <x v="1"/>
    <s v="Alphabetical Labels for Top Tab Filing"/>
    <x v="255"/>
    <n v="3"/>
    <n v="22.2"/>
    <x v="4"/>
    <x v="2"/>
  </r>
  <r>
    <n v="45053"/>
    <x v="740"/>
    <x v="20"/>
    <x v="1"/>
    <x v="5"/>
    <s v="Hon Mobius Operator's Chair"/>
    <x v="3243"/>
    <n v="4"/>
    <n v="59.04"/>
    <x v="4"/>
    <x v="2"/>
  </r>
  <r>
    <n v="45053"/>
    <x v="740"/>
    <x v="20"/>
    <x v="2"/>
    <x v="15"/>
    <s v="Bady BDG101FRU Card Printer"/>
    <x v="3244"/>
    <n v="5"/>
    <n v="1159.99"/>
    <x v="4"/>
    <x v="2"/>
  </r>
  <r>
    <n v="45053"/>
    <x v="740"/>
    <x v="20"/>
    <x v="2"/>
    <x v="9"/>
    <s v="SanDisk Ultra 64 GB MicroSDHC Class 10 Memory Card"/>
    <x v="3245"/>
    <n v="5"/>
    <n v="21.99"/>
    <x v="4"/>
    <x v="2"/>
  </r>
  <r>
    <n v="45053"/>
    <x v="740"/>
    <x v="20"/>
    <x v="1"/>
    <x v="8"/>
    <s v="Staple-based wall hangings"/>
    <x v="3246"/>
    <n v="8"/>
    <n v="28.02"/>
    <x v="4"/>
    <x v="2"/>
  </r>
  <r>
    <n v="45054"/>
    <x v="169"/>
    <x v="7"/>
    <x v="1"/>
    <x v="8"/>
    <s v="Tenex 46&quot; x 60&quot; Computer Anti-Static Chairmat, Rectangular Shaped"/>
    <x v="1028"/>
    <n v="2"/>
    <n v="42.39"/>
    <x v="4"/>
    <x v="2"/>
  </r>
  <r>
    <n v="45054"/>
    <x v="68"/>
    <x v="10"/>
    <x v="0"/>
    <x v="2"/>
    <s v="Smead Adjustable Mobile File Trolley with Lockable Top"/>
    <x v="3247"/>
    <n v="3"/>
    <n v="88.03"/>
    <x v="4"/>
    <x v="2"/>
  </r>
  <r>
    <n v="45054"/>
    <x v="68"/>
    <x v="10"/>
    <x v="0"/>
    <x v="0"/>
    <s v="Xerox 1898"/>
    <x v="1048"/>
    <n v="2"/>
    <n v="3.74"/>
    <x v="4"/>
    <x v="2"/>
  </r>
  <r>
    <n v="45054"/>
    <x v="68"/>
    <x v="10"/>
    <x v="0"/>
    <x v="0"/>
    <s v="Xerox 222"/>
    <x v="320"/>
    <n v="2"/>
    <n v="3.63"/>
    <x v="4"/>
    <x v="2"/>
  </r>
  <r>
    <n v="45054"/>
    <x v="68"/>
    <x v="10"/>
    <x v="0"/>
    <x v="2"/>
    <s v="Hanging Personal Folder File"/>
    <x v="3248"/>
    <n v="2"/>
    <n v="1.57"/>
    <x v="4"/>
    <x v="2"/>
  </r>
  <r>
    <n v="45054"/>
    <x v="68"/>
    <x v="10"/>
    <x v="2"/>
    <x v="9"/>
    <s v="SanDisk Cruzer 64 GB USB Flash Drive"/>
    <x v="422"/>
    <n v="2"/>
    <n v="7.26"/>
    <x v="4"/>
    <x v="2"/>
  </r>
  <r>
    <n v="45054"/>
    <x v="335"/>
    <x v="3"/>
    <x v="0"/>
    <x v="0"/>
    <s v="Xerox 1920"/>
    <x v="150"/>
    <n v="3"/>
    <n v="8.07"/>
    <x v="4"/>
    <x v="2"/>
  </r>
  <r>
    <n v="45055"/>
    <x v="331"/>
    <x v="22"/>
    <x v="2"/>
    <x v="9"/>
    <s v="Sony Micro Vault Click 8 GB USB 2.0 Flash Drive"/>
    <x v="3249"/>
    <n v="2"/>
    <n v="13.16"/>
    <x v="4"/>
    <x v="2"/>
  </r>
  <r>
    <n v="45055"/>
    <x v="621"/>
    <x v="2"/>
    <x v="0"/>
    <x v="10"/>
    <s v="Staple envelope"/>
    <x v="16"/>
    <n v="1"/>
    <n v="3.5"/>
    <x v="4"/>
    <x v="2"/>
  </r>
  <r>
    <n v="45055"/>
    <x v="621"/>
    <x v="2"/>
    <x v="0"/>
    <x v="4"/>
    <s v="Newell 319"/>
    <x v="284"/>
    <n v="5"/>
    <n v="9.92"/>
    <x v="4"/>
    <x v="2"/>
  </r>
  <r>
    <n v="45055"/>
    <x v="152"/>
    <x v="20"/>
    <x v="0"/>
    <x v="4"/>
    <s v="Sanford Pocket Accent Highlighters"/>
    <x v="436"/>
    <n v="5"/>
    <n v="3.44"/>
    <x v="4"/>
    <x v="2"/>
  </r>
  <r>
    <n v="45055"/>
    <x v="332"/>
    <x v="3"/>
    <x v="0"/>
    <x v="0"/>
    <s v="TOPS Money Receipt Book, Consecutively Numbered in Red,"/>
    <x v="2712"/>
    <n v="4"/>
    <n v="14.42"/>
    <x v="4"/>
    <x v="2"/>
  </r>
  <r>
    <n v="45055"/>
    <x v="2"/>
    <x v="0"/>
    <x v="2"/>
    <x v="6"/>
    <s v="I Need's 3d Hello Kitty Hybrid Silicone Case Cover for HTC One X 4g with 3d Hello Kitty Stylus Pen Green/pink"/>
    <x v="1134"/>
    <n v="2"/>
    <n v="1.91"/>
    <x v="4"/>
    <x v="2"/>
  </r>
  <r>
    <n v="45055"/>
    <x v="433"/>
    <x v="6"/>
    <x v="0"/>
    <x v="4"/>
    <s v="4009 Highlighters by Sanford"/>
    <x v="3250"/>
    <n v="7"/>
    <n v="9.19"/>
    <x v="4"/>
    <x v="2"/>
  </r>
  <r>
    <n v="45055"/>
    <x v="755"/>
    <x v="0"/>
    <x v="0"/>
    <x v="2"/>
    <s v="Hot File 7-Pocket, Floor Stand"/>
    <x v="3251"/>
    <n v="6"/>
    <n v="107.08"/>
    <x v="4"/>
    <x v="2"/>
  </r>
  <r>
    <n v="45055"/>
    <x v="755"/>
    <x v="0"/>
    <x v="0"/>
    <x v="3"/>
    <s v="Ibico Standard Transparent Covers"/>
    <x v="749"/>
    <n v="4"/>
    <n v="-20.440000000000001"/>
    <x v="4"/>
    <x v="2"/>
  </r>
  <r>
    <n v="45055"/>
    <x v="755"/>
    <x v="0"/>
    <x v="0"/>
    <x v="12"/>
    <s v="Euro Pro Shark Stick Mini Vacuum"/>
    <x v="3252"/>
    <n v="4"/>
    <n v="-131.72"/>
    <x v="4"/>
    <x v="2"/>
  </r>
  <r>
    <n v="45055"/>
    <x v="755"/>
    <x v="0"/>
    <x v="0"/>
    <x v="0"/>
    <s v="Xerox 1911"/>
    <x v="2615"/>
    <n v="2"/>
    <n v="26.82"/>
    <x v="4"/>
    <x v="2"/>
  </r>
  <r>
    <n v="45055"/>
    <x v="755"/>
    <x v="0"/>
    <x v="0"/>
    <x v="3"/>
    <s v="GBC VeloBind Cover Sets"/>
    <x v="1689"/>
    <n v="6"/>
    <n v="-27.79"/>
    <x v="4"/>
    <x v="2"/>
  </r>
  <r>
    <n v="45056"/>
    <x v="310"/>
    <x v="22"/>
    <x v="0"/>
    <x v="0"/>
    <s v="Xerox 1965"/>
    <x v="687"/>
    <n v="2"/>
    <n v="5.86"/>
    <x v="4"/>
    <x v="2"/>
  </r>
  <r>
    <n v="45056"/>
    <x v="431"/>
    <x v="2"/>
    <x v="2"/>
    <x v="6"/>
    <s v="ClearOne CHATAttach 160 -Â speaker phone"/>
    <x v="3253"/>
    <n v="2"/>
    <n v="-124"/>
    <x v="4"/>
    <x v="2"/>
  </r>
  <r>
    <n v="45056"/>
    <x v="344"/>
    <x v="1"/>
    <x v="0"/>
    <x v="10"/>
    <s v="Grip Seal Envelopes"/>
    <x v="3254"/>
    <n v="2"/>
    <n v="2.39"/>
    <x v="4"/>
    <x v="2"/>
  </r>
  <r>
    <n v="45057"/>
    <x v="207"/>
    <x v="3"/>
    <x v="0"/>
    <x v="0"/>
    <s v="Xerox 1920"/>
    <x v="784"/>
    <n v="1"/>
    <n v="2.69"/>
    <x v="4"/>
    <x v="2"/>
  </r>
  <r>
    <n v="45058"/>
    <x v="422"/>
    <x v="6"/>
    <x v="0"/>
    <x v="4"/>
    <s v="Rogers Handheld Barrel Pencil Sharpener"/>
    <x v="3255"/>
    <n v="4"/>
    <n v="2.96"/>
    <x v="4"/>
    <x v="2"/>
  </r>
  <r>
    <n v="45058"/>
    <x v="76"/>
    <x v="2"/>
    <x v="0"/>
    <x v="2"/>
    <s v="Belkin 19&quot; Vented Equipment Shelf, Black"/>
    <x v="2066"/>
    <n v="2"/>
    <n v="-19.559999999999999"/>
    <x v="4"/>
    <x v="2"/>
  </r>
  <r>
    <n v="45058"/>
    <x v="747"/>
    <x v="22"/>
    <x v="0"/>
    <x v="10"/>
    <s v="Manila Recycled Extra-Heavyweight Clasp Envelopes, 6&quot; x 9&quot;"/>
    <x v="3197"/>
    <n v="5"/>
    <n v="26.9"/>
    <x v="4"/>
    <x v="2"/>
  </r>
  <r>
    <n v="45058"/>
    <x v="312"/>
    <x v="20"/>
    <x v="1"/>
    <x v="8"/>
    <s v="OIC Stacking Trays"/>
    <x v="2243"/>
    <n v="3"/>
    <n v="4.41"/>
    <x v="4"/>
    <x v="2"/>
  </r>
  <r>
    <n v="45058"/>
    <x v="312"/>
    <x v="20"/>
    <x v="2"/>
    <x v="6"/>
    <s v="Jawbone JAMBOX Wireless Bluetooth Speaker"/>
    <x v="2512"/>
    <n v="4"/>
    <n v="303.33999999999997"/>
    <x v="4"/>
    <x v="2"/>
  </r>
  <r>
    <n v="45058"/>
    <x v="98"/>
    <x v="3"/>
    <x v="2"/>
    <x v="9"/>
    <s v="Memorex Mini Travel Drive 32 GB USB 2.0 Flash Drive"/>
    <x v="3256"/>
    <n v="6"/>
    <n v="46.8"/>
    <x v="4"/>
    <x v="2"/>
  </r>
  <r>
    <n v="45058"/>
    <x v="98"/>
    <x v="3"/>
    <x v="0"/>
    <x v="12"/>
    <s v="Staple holder"/>
    <x v="3035"/>
    <n v="1"/>
    <n v="2.34"/>
    <x v="4"/>
    <x v="2"/>
  </r>
  <r>
    <n v="45060"/>
    <x v="564"/>
    <x v="10"/>
    <x v="1"/>
    <x v="8"/>
    <s v="GE 48&quot; Fluorescent Tube, Cool White Energy Saver, 34 Watts, 30/Box"/>
    <x v="3257"/>
    <n v="1"/>
    <n v="29.77"/>
    <x v="4"/>
    <x v="2"/>
  </r>
  <r>
    <n v="45060"/>
    <x v="521"/>
    <x v="16"/>
    <x v="0"/>
    <x v="3"/>
    <s v="GBC DocuBind P50 Personal Binding Machine"/>
    <x v="3046"/>
    <n v="3"/>
    <n v="-44.15"/>
    <x v="4"/>
    <x v="2"/>
  </r>
  <r>
    <n v="45060"/>
    <x v="521"/>
    <x v="16"/>
    <x v="0"/>
    <x v="0"/>
    <s v="Xerox 23"/>
    <x v="792"/>
    <n v="6"/>
    <n v="10.89"/>
    <x v="4"/>
    <x v="2"/>
  </r>
  <r>
    <n v="45060"/>
    <x v="521"/>
    <x v="16"/>
    <x v="1"/>
    <x v="8"/>
    <s v="DAX Copper Panel Document Frame, 5 x 7 Size"/>
    <x v="3258"/>
    <n v="3"/>
    <n v="8.3000000000000007"/>
    <x v="4"/>
    <x v="2"/>
  </r>
  <r>
    <n v="45060"/>
    <x v="521"/>
    <x v="16"/>
    <x v="2"/>
    <x v="6"/>
    <s v="LF Elite 3D Dazzle Designer Hard Case Cover, Lf Stylus Pen and Wiper For Apple Iphone 5c Mini Lite"/>
    <x v="415"/>
    <n v="5"/>
    <n v="4.3600000000000003"/>
    <x v="4"/>
    <x v="2"/>
  </r>
  <r>
    <n v="45060"/>
    <x v="521"/>
    <x v="16"/>
    <x v="0"/>
    <x v="4"/>
    <s v="Dixon Ticonderoga Pencils"/>
    <x v="3025"/>
    <n v="2"/>
    <n v="0.42"/>
    <x v="4"/>
    <x v="2"/>
  </r>
  <r>
    <n v="45060"/>
    <x v="521"/>
    <x v="16"/>
    <x v="0"/>
    <x v="3"/>
    <s v="Wilson Jones International Size A4 Ring Binders"/>
    <x v="1661"/>
    <n v="2"/>
    <n v="-7.61"/>
    <x v="4"/>
    <x v="2"/>
  </r>
  <r>
    <n v="45060"/>
    <x v="521"/>
    <x v="16"/>
    <x v="0"/>
    <x v="3"/>
    <s v="Avery Heavy-Duty EZD  Binder With Locking Rings"/>
    <x v="478"/>
    <n v="8"/>
    <n v="-9.82"/>
    <x v="4"/>
    <x v="2"/>
  </r>
  <r>
    <n v="45060"/>
    <x v="495"/>
    <x v="12"/>
    <x v="2"/>
    <x v="9"/>
    <s v="ImationÂ 16GB Mini TravelDrive USB 2.0Â Flash Drive"/>
    <x v="3259"/>
    <n v="7"/>
    <n v="48.7"/>
    <x v="4"/>
    <x v="2"/>
  </r>
  <r>
    <n v="45061"/>
    <x v="188"/>
    <x v="29"/>
    <x v="0"/>
    <x v="3"/>
    <s v="GBC DocuBind P50 Personal Binding Machine"/>
    <x v="3260"/>
    <n v="8"/>
    <n v="240.56"/>
    <x v="4"/>
    <x v="2"/>
  </r>
  <r>
    <n v="45061"/>
    <x v="188"/>
    <x v="29"/>
    <x v="0"/>
    <x v="4"/>
    <s v="Boston KS Multi-Size Manual Pencil Sharpener"/>
    <x v="302"/>
    <n v="4"/>
    <n v="25.75"/>
    <x v="4"/>
    <x v="2"/>
  </r>
  <r>
    <n v="45061"/>
    <x v="188"/>
    <x v="29"/>
    <x v="0"/>
    <x v="4"/>
    <s v="Newell 344"/>
    <x v="1758"/>
    <n v="3"/>
    <n v="2.17"/>
    <x v="4"/>
    <x v="2"/>
  </r>
  <r>
    <n v="45061"/>
    <x v="426"/>
    <x v="20"/>
    <x v="0"/>
    <x v="3"/>
    <s v="Binder Posts"/>
    <x v="3261"/>
    <n v="3"/>
    <n v="4.4800000000000004"/>
    <x v="4"/>
    <x v="2"/>
  </r>
  <r>
    <n v="45061"/>
    <x v="0"/>
    <x v="16"/>
    <x v="0"/>
    <x v="3"/>
    <s v="GBC Instant Report Kit"/>
    <x v="2163"/>
    <n v="4"/>
    <n v="-5.18"/>
    <x v="4"/>
    <x v="2"/>
  </r>
  <r>
    <n v="45061"/>
    <x v="46"/>
    <x v="10"/>
    <x v="0"/>
    <x v="0"/>
    <s v="TOPS Voice Message Log Book, Flash Format"/>
    <x v="3262"/>
    <n v="4"/>
    <n v="5.52"/>
    <x v="4"/>
    <x v="2"/>
  </r>
  <r>
    <n v="45062"/>
    <x v="728"/>
    <x v="37"/>
    <x v="0"/>
    <x v="2"/>
    <s v="SAFCO Commercial Wire Shelving, Black"/>
    <x v="3099"/>
    <n v="4"/>
    <n v="0"/>
    <x v="4"/>
    <x v="2"/>
  </r>
  <r>
    <n v="45062"/>
    <x v="445"/>
    <x v="3"/>
    <x v="0"/>
    <x v="0"/>
    <s v="Xerox 196"/>
    <x v="848"/>
    <n v="3"/>
    <n v="8.5"/>
    <x v="4"/>
    <x v="2"/>
  </r>
  <r>
    <n v="45062"/>
    <x v="42"/>
    <x v="3"/>
    <x v="1"/>
    <x v="8"/>
    <s v="Tenex Carpeted, Granite-Look or Clear Contemporary Contour Shape Chair Mats"/>
    <x v="3263"/>
    <n v="4"/>
    <n v="19.8"/>
    <x v="4"/>
    <x v="2"/>
  </r>
  <r>
    <n v="45062"/>
    <x v="42"/>
    <x v="3"/>
    <x v="0"/>
    <x v="1"/>
    <s v="Avery 481"/>
    <x v="3264"/>
    <n v="9"/>
    <n v="13.31"/>
    <x v="4"/>
    <x v="2"/>
  </r>
  <r>
    <n v="45063"/>
    <x v="132"/>
    <x v="16"/>
    <x v="0"/>
    <x v="3"/>
    <s v="Pressboard Hanging Data Binders for Unburst Sheets"/>
    <x v="797"/>
    <n v="2"/>
    <n v="-2.16"/>
    <x v="4"/>
    <x v="2"/>
  </r>
  <r>
    <n v="45063"/>
    <x v="132"/>
    <x v="16"/>
    <x v="0"/>
    <x v="3"/>
    <s v="GBC Prepunched Paper, 19-Hole, for Binding Systems, 24-lb"/>
    <x v="3265"/>
    <n v="6"/>
    <n v="-21.61"/>
    <x v="4"/>
    <x v="2"/>
  </r>
  <r>
    <n v="45063"/>
    <x v="316"/>
    <x v="37"/>
    <x v="0"/>
    <x v="14"/>
    <s v="Acme Forged Steel Scissors with Black Enamel Handles"/>
    <x v="3266"/>
    <n v="7"/>
    <n v="18.899999999999999"/>
    <x v="4"/>
    <x v="2"/>
  </r>
  <r>
    <n v="45063"/>
    <x v="316"/>
    <x v="37"/>
    <x v="0"/>
    <x v="1"/>
    <s v="Avery 519"/>
    <x v="471"/>
    <n v="2"/>
    <n v="6.87"/>
    <x v="4"/>
    <x v="2"/>
  </r>
  <r>
    <n v="45063"/>
    <x v="316"/>
    <x v="37"/>
    <x v="1"/>
    <x v="8"/>
    <s v="Eldon Advantage Chair Mats for Low to Medium Pile Carpets"/>
    <x v="3267"/>
    <n v="4"/>
    <n v="17.32"/>
    <x v="4"/>
    <x v="2"/>
  </r>
  <r>
    <n v="45063"/>
    <x v="399"/>
    <x v="1"/>
    <x v="0"/>
    <x v="3"/>
    <s v="Acco Recycled 2&quot; Capacity Laser Printer Hanging Data Binders"/>
    <x v="18"/>
    <n v="1"/>
    <n v="-4.7699999999999996"/>
    <x v="4"/>
    <x v="2"/>
  </r>
  <r>
    <n v="45063"/>
    <x v="399"/>
    <x v="1"/>
    <x v="0"/>
    <x v="7"/>
    <s v="Acco Hot Clips Clips to Go"/>
    <x v="2423"/>
    <n v="3"/>
    <n v="2.4700000000000002"/>
    <x v="4"/>
    <x v="2"/>
  </r>
  <r>
    <n v="45063"/>
    <x v="399"/>
    <x v="1"/>
    <x v="1"/>
    <x v="8"/>
    <s v="Flat Face Poster Frame"/>
    <x v="3219"/>
    <n v="3"/>
    <n v="-10.17"/>
    <x v="4"/>
    <x v="2"/>
  </r>
  <r>
    <n v="45063"/>
    <x v="399"/>
    <x v="1"/>
    <x v="0"/>
    <x v="0"/>
    <s v="Wirebound Message Books, Four 2 3/4 x 5 Forms per Page, 200 Sets per Book"/>
    <x v="3268"/>
    <n v="8"/>
    <n v="9.5399999999999991"/>
    <x v="4"/>
    <x v="2"/>
  </r>
  <r>
    <n v="45064"/>
    <x v="34"/>
    <x v="3"/>
    <x v="0"/>
    <x v="2"/>
    <s v="Home/Office Personal File Carts"/>
    <x v="3269"/>
    <n v="3"/>
    <n v="26.07"/>
    <x v="4"/>
    <x v="2"/>
  </r>
  <r>
    <n v="45064"/>
    <x v="34"/>
    <x v="3"/>
    <x v="0"/>
    <x v="0"/>
    <s v="Universal Premium White Copier/Laser Paper (20Lb. and 87 Bright)"/>
    <x v="150"/>
    <n v="3"/>
    <n v="8.7899999999999991"/>
    <x v="4"/>
    <x v="2"/>
  </r>
  <r>
    <n v="45065"/>
    <x v="224"/>
    <x v="6"/>
    <x v="1"/>
    <x v="5"/>
    <s v="Hon 4070 Series Pagoda Round Back Stacking Chairs"/>
    <x v="3270"/>
    <n v="2"/>
    <n v="179.75"/>
    <x v="4"/>
    <x v="2"/>
  </r>
  <r>
    <n v="45065"/>
    <x v="84"/>
    <x v="20"/>
    <x v="0"/>
    <x v="12"/>
    <s v="Belkin Premiere Surge Master II 8-outlet surge protector"/>
    <x v="3271"/>
    <n v="5"/>
    <n v="70.44"/>
    <x v="4"/>
    <x v="2"/>
  </r>
  <r>
    <n v="45065"/>
    <x v="84"/>
    <x v="20"/>
    <x v="0"/>
    <x v="2"/>
    <s v="Safco Industrial Wire Shelving System"/>
    <x v="3272"/>
    <n v="5"/>
    <n v="0"/>
    <x v="4"/>
    <x v="2"/>
  </r>
  <r>
    <n v="45065"/>
    <x v="84"/>
    <x v="20"/>
    <x v="1"/>
    <x v="8"/>
    <s v="Nu-Dell Float Frame 11 x 14 1/2"/>
    <x v="3273"/>
    <n v="4"/>
    <n v="15.09"/>
    <x v="4"/>
    <x v="2"/>
  </r>
  <r>
    <n v="45065"/>
    <x v="84"/>
    <x v="20"/>
    <x v="1"/>
    <x v="8"/>
    <s v="DAX Value U-Channel Document Frames, Easel Back"/>
    <x v="3274"/>
    <n v="8"/>
    <n v="12.33"/>
    <x v="4"/>
    <x v="2"/>
  </r>
  <r>
    <n v="45065"/>
    <x v="84"/>
    <x v="20"/>
    <x v="0"/>
    <x v="3"/>
    <s v="Recycled Easel Ring Binders"/>
    <x v="3275"/>
    <n v="4"/>
    <n v="14.92"/>
    <x v="4"/>
    <x v="2"/>
  </r>
  <r>
    <n v="45065"/>
    <x v="478"/>
    <x v="3"/>
    <x v="0"/>
    <x v="3"/>
    <s v="GBC Personal VeloBind Strips"/>
    <x v="322"/>
    <n v="1"/>
    <n v="3.35"/>
    <x v="4"/>
    <x v="2"/>
  </r>
  <r>
    <n v="45065"/>
    <x v="132"/>
    <x v="18"/>
    <x v="0"/>
    <x v="4"/>
    <s v="Newell 341"/>
    <x v="369"/>
    <n v="5"/>
    <n v="6.21"/>
    <x v="4"/>
    <x v="2"/>
  </r>
  <r>
    <n v="45065"/>
    <x v="123"/>
    <x v="3"/>
    <x v="0"/>
    <x v="12"/>
    <s v="Staple holder"/>
    <x v="3276"/>
    <n v="8"/>
    <n v="23.72"/>
    <x v="4"/>
    <x v="2"/>
  </r>
  <r>
    <n v="45066"/>
    <x v="81"/>
    <x v="3"/>
    <x v="1"/>
    <x v="8"/>
    <s v="Luxo Professional Fluorescent Magnifier Lamp with Clamp-Mount Base"/>
    <x v="3277"/>
    <n v="5"/>
    <n v="272.79000000000002"/>
    <x v="4"/>
    <x v="2"/>
  </r>
  <r>
    <n v="45066"/>
    <x v="81"/>
    <x v="3"/>
    <x v="0"/>
    <x v="3"/>
    <s v="Wilson Jones Turn Tabs Binder Tool for Ring Binders"/>
    <x v="2110"/>
    <n v="4"/>
    <n v="5.01"/>
    <x v="4"/>
    <x v="2"/>
  </r>
  <r>
    <n v="45066"/>
    <x v="519"/>
    <x v="25"/>
    <x v="2"/>
    <x v="6"/>
    <s v="Cisco Unified IP Phone 7945G VoIP phone"/>
    <x v="3066"/>
    <n v="5"/>
    <n v="85.25"/>
    <x v="4"/>
    <x v="2"/>
  </r>
  <r>
    <n v="45066"/>
    <x v="622"/>
    <x v="16"/>
    <x v="0"/>
    <x v="3"/>
    <s v="Avery Non-Stick Binders"/>
    <x v="345"/>
    <n v="2"/>
    <n v="-2.25"/>
    <x v="4"/>
    <x v="2"/>
  </r>
  <r>
    <n v="45066"/>
    <x v="469"/>
    <x v="26"/>
    <x v="0"/>
    <x v="3"/>
    <s v="GBC Durable Plastic Covers"/>
    <x v="3278"/>
    <n v="7"/>
    <n v="-32.51"/>
    <x v="4"/>
    <x v="2"/>
  </r>
  <r>
    <n v="45067"/>
    <x v="564"/>
    <x v="3"/>
    <x v="2"/>
    <x v="6"/>
    <s v="Motorola HK250 Universal Bluetooth Headset"/>
    <x v="2983"/>
    <n v="3"/>
    <n v="-12.41"/>
    <x v="4"/>
    <x v="2"/>
  </r>
  <r>
    <n v="45067"/>
    <x v="564"/>
    <x v="3"/>
    <x v="2"/>
    <x v="9"/>
    <s v="ImationÂ 16GB Mini TravelDrive USB 2.0Â Flash Drive"/>
    <x v="3279"/>
    <n v="2"/>
    <n v="27.17"/>
    <x v="4"/>
    <x v="2"/>
  </r>
  <r>
    <n v="45067"/>
    <x v="49"/>
    <x v="17"/>
    <x v="2"/>
    <x v="15"/>
    <s v="Panasonic KX MB2061 Multifunction Printer"/>
    <x v="3280"/>
    <n v="10"/>
    <n v="179.73"/>
    <x v="4"/>
    <x v="2"/>
  </r>
  <r>
    <n v="45067"/>
    <x v="85"/>
    <x v="43"/>
    <x v="0"/>
    <x v="0"/>
    <s v="Easy-staple paper"/>
    <x v="2663"/>
    <n v="2"/>
    <n v="54.86"/>
    <x v="4"/>
    <x v="2"/>
  </r>
  <r>
    <n v="45067"/>
    <x v="756"/>
    <x v="0"/>
    <x v="0"/>
    <x v="3"/>
    <s v="Pressboard Covers with Storage Hooks, 9 1/2&quot; x 11&quot;, Light Blue"/>
    <x v="3281"/>
    <n v="2"/>
    <n v="-3.24"/>
    <x v="4"/>
    <x v="2"/>
  </r>
  <r>
    <n v="45067"/>
    <x v="756"/>
    <x v="0"/>
    <x v="0"/>
    <x v="0"/>
    <s v="Southworth 100% Cotton The Best Paper"/>
    <x v="3282"/>
    <n v="9"/>
    <n v="31"/>
    <x v="4"/>
    <x v="2"/>
  </r>
  <r>
    <n v="45067"/>
    <x v="562"/>
    <x v="1"/>
    <x v="0"/>
    <x v="3"/>
    <s v="Cardinal HOLDit! Binder Insert Strips,Extra Strips"/>
    <x v="2290"/>
    <n v="3"/>
    <n v="-5.89"/>
    <x v="4"/>
    <x v="2"/>
  </r>
  <r>
    <n v="45068"/>
    <x v="721"/>
    <x v="23"/>
    <x v="2"/>
    <x v="6"/>
    <s v="AT&amp;T 841000 Phone"/>
    <x v="1114"/>
    <n v="5"/>
    <n v="86.25"/>
    <x v="4"/>
    <x v="2"/>
  </r>
  <r>
    <n v="45068"/>
    <x v="721"/>
    <x v="23"/>
    <x v="1"/>
    <x v="13"/>
    <s v="Bevis 36 x 72 Conference Tables"/>
    <x v="3283"/>
    <n v="2"/>
    <n v="-19.920000000000002"/>
    <x v="4"/>
    <x v="2"/>
  </r>
  <r>
    <n v="45068"/>
    <x v="721"/>
    <x v="23"/>
    <x v="0"/>
    <x v="12"/>
    <s v="Eureka Sanitaire  Commercial Upright"/>
    <x v="3284"/>
    <n v="4"/>
    <n v="172.34"/>
    <x v="4"/>
    <x v="2"/>
  </r>
  <r>
    <n v="45068"/>
    <x v="721"/>
    <x v="23"/>
    <x v="2"/>
    <x v="9"/>
    <s v="SanDisk Cruzer 32 GB USB Flash Drive"/>
    <x v="840"/>
    <n v="5"/>
    <n v="30.43"/>
    <x v="4"/>
    <x v="2"/>
  </r>
  <r>
    <n v="45068"/>
    <x v="721"/>
    <x v="23"/>
    <x v="0"/>
    <x v="10"/>
    <s v="Ampad #10 Peel &amp; Seel Holiday Envelopes"/>
    <x v="1713"/>
    <n v="6"/>
    <n v="12.9"/>
    <x v="4"/>
    <x v="2"/>
  </r>
  <r>
    <n v="45068"/>
    <x v="721"/>
    <x v="23"/>
    <x v="2"/>
    <x v="6"/>
    <s v="Digium D40 VoIP phone"/>
    <x v="1181"/>
    <n v="2"/>
    <n v="74.81"/>
    <x v="4"/>
    <x v="2"/>
  </r>
  <r>
    <n v="45068"/>
    <x v="467"/>
    <x v="4"/>
    <x v="0"/>
    <x v="1"/>
    <s v="Avery 493"/>
    <x v="57"/>
    <n v="3"/>
    <n v="7.22"/>
    <x v="4"/>
    <x v="2"/>
  </r>
  <r>
    <n v="45068"/>
    <x v="458"/>
    <x v="3"/>
    <x v="2"/>
    <x v="6"/>
    <s v="Nortel Business Series Terminal T7208 Digital phone"/>
    <x v="1966"/>
    <n v="2"/>
    <n v="22.24"/>
    <x v="4"/>
    <x v="2"/>
  </r>
  <r>
    <n v="45069"/>
    <x v="437"/>
    <x v="3"/>
    <x v="1"/>
    <x v="8"/>
    <s v="Eldon Image Series Desk Accessories, Ebony"/>
    <x v="3285"/>
    <n v="3"/>
    <n v="16.3"/>
    <x v="4"/>
    <x v="2"/>
  </r>
  <r>
    <n v="45069"/>
    <x v="318"/>
    <x v="1"/>
    <x v="2"/>
    <x v="6"/>
    <s v="Mitel MiVoice 5330e IP Phone"/>
    <x v="3286"/>
    <n v="9"/>
    <n v="148.49"/>
    <x v="4"/>
    <x v="2"/>
  </r>
  <r>
    <n v="45069"/>
    <x v="64"/>
    <x v="33"/>
    <x v="0"/>
    <x v="0"/>
    <s v="Xerox 1949"/>
    <x v="1599"/>
    <n v="1"/>
    <n v="2.44"/>
    <x v="4"/>
    <x v="2"/>
  </r>
  <r>
    <n v="45069"/>
    <x v="757"/>
    <x v="2"/>
    <x v="2"/>
    <x v="16"/>
    <s v="Canon imageCLASS 2200 Advanced Copier"/>
    <x v="3287"/>
    <n v="4"/>
    <n v="1120"/>
    <x v="4"/>
    <x v="2"/>
  </r>
  <r>
    <n v="45069"/>
    <x v="757"/>
    <x v="2"/>
    <x v="0"/>
    <x v="3"/>
    <s v="Avery Legal 4-Ring Binder"/>
    <x v="3288"/>
    <n v="1"/>
    <n v="-4.2"/>
    <x v="4"/>
    <x v="2"/>
  </r>
  <r>
    <n v="45069"/>
    <x v="757"/>
    <x v="2"/>
    <x v="0"/>
    <x v="0"/>
    <s v="Xerox 224"/>
    <x v="320"/>
    <n v="2"/>
    <n v="3.63"/>
    <x v="4"/>
    <x v="2"/>
  </r>
  <r>
    <n v="45069"/>
    <x v="757"/>
    <x v="2"/>
    <x v="2"/>
    <x v="6"/>
    <s v="Avaya 5410 Digital phone"/>
    <x v="3289"/>
    <n v="3"/>
    <n v="-24.48"/>
    <x v="4"/>
    <x v="2"/>
  </r>
  <r>
    <n v="45070"/>
    <x v="469"/>
    <x v="6"/>
    <x v="0"/>
    <x v="14"/>
    <s v="Acme Hot Forged Carbon Steel Scissors with Nickel-Plated Handles, 3 7/8&quot; Cut, 8&quot;L"/>
    <x v="3290"/>
    <n v="5"/>
    <n v="20.16"/>
    <x v="4"/>
    <x v="2"/>
  </r>
  <r>
    <n v="45070"/>
    <x v="469"/>
    <x v="6"/>
    <x v="0"/>
    <x v="0"/>
    <s v="Xerox 1911"/>
    <x v="3291"/>
    <n v="4"/>
    <n v="91.97"/>
    <x v="4"/>
    <x v="2"/>
  </r>
  <r>
    <n v="45070"/>
    <x v="285"/>
    <x v="2"/>
    <x v="0"/>
    <x v="4"/>
    <s v="BIC Liqua Brite Liner"/>
    <x v="1306"/>
    <n v="3"/>
    <n v="3.33"/>
    <x v="4"/>
    <x v="2"/>
  </r>
  <r>
    <n v="45071"/>
    <x v="640"/>
    <x v="4"/>
    <x v="1"/>
    <x v="8"/>
    <s v="Eldon Expressions Mahogany Wood Desk Collection"/>
    <x v="2119"/>
    <n v="4"/>
    <n v="6.24"/>
    <x v="4"/>
    <x v="2"/>
  </r>
  <r>
    <n v="45071"/>
    <x v="640"/>
    <x v="4"/>
    <x v="0"/>
    <x v="0"/>
    <s v="Wirebound Service Call Books, 5 1/2&quot; x 4&quot;"/>
    <x v="49"/>
    <n v="2"/>
    <n v="9.2899999999999991"/>
    <x v="4"/>
    <x v="2"/>
  </r>
  <r>
    <n v="45071"/>
    <x v="640"/>
    <x v="4"/>
    <x v="0"/>
    <x v="2"/>
    <s v="Fellowes Strictly Business Drawer File, Letter/Legal Size"/>
    <x v="3292"/>
    <n v="9"/>
    <n v="152.12"/>
    <x v="4"/>
    <x v="2"/>
  </r>
  <r>
    <n v="45072"/>
    <x v="102"/>
    <x v="0"/>
    <x v="0"/>
    <x v="0"/>
    <s v="Xerox 212"/>
    <x v="320"/>
    <n v="2"/>
    <n v="3.63"/>
    <x v="4"/>
    <x v="2"/>
  </r>
  <r>
    <n v="45072"/>
    <x v="102"/>
    <x v="0"/>
    <x v="1"/>
    <x v="5"/>
    <s v="Office Star Flex Back Scooter Chair with White Frame"/>
    <x v="3293"/>
    <n v="5"/>
    <n v="-88.78"/>
    <x v="4"/>
    <x v="2"/>
  </r>
  <r>
    <n v="45072"/>
    <x v="102"/>
    <x v="0"/>
    <x v="0"/>
    <x v="0"/>
    <s v="Universal Premium White Copier/Laser Paper (20Lb. and 87 Bright)"/>
    <x v="632"/>
    <n v="3"/>
    <n v="5.2"/>
    <x v="4"/>
    <x v="2"/>
  </r>
  <r>
    <n v="45072"/>
    <x v="102"/>
    <x v="0"/>
    <x v="2"/>
    <x v="9"/>
    <s v="Logitech G13 Programmable Gameboard with LCD Display"/>
    <x v="3294"/>
    <n v="1"/>
    <n v="-7.2"/>
    <x v="4"/>
    <x v="2"/>
  </r>
  <r>
    <n v="45072"/>
    <x v="263"/>
    <x v="44"/>
    <x v="0"/>
    <x v="0"/>
    <s v="Weyerhaeuser First Choice Laser/Copy Paper (20Lb. and 88 Bright)"/>
    <x v="5"/>
    <n v="3"/>
    <n v="9.33"/>
    <x v="4"/>
    <x v="2"/>
  </r>
  <r>
    <n v="45072"/>
    <x v="263"/>
    <x v="44"/>
    <x v="0"/>
    <x v="3"/>
    <s v="Wilson Jones Turn Tabs Binder Tool for Ring Binders"/>
    <x v="99"/>
    <n v="2"/>
    <n v="4.43"/>
    <x v="4"/>
    <x v="2"/>
  </r>
  <r>
    <n v="45072"/>
    <x v="263"/>
    <x v="44"/>
    <x v="0"/>
    <x v="0"/>
    <s v="Telephone Message Books with Fax/Mobile Section, 5 1/2&quot; x 3 3/16&quot;"/>
    <x v="3295"/>
    <n v="2"/>
    <n v="5.84"/>
    <x v="4"/>
    <x v="2"/>
  </r>
  <r>
    <n v="45072"/>
    <x v="263"/>
    <x v="44"/>
    <x v="1"/>
    <x v="8"/>
    <s v="9-3/4 Diameter Round Wall Clock"/>
    <x v="3296"/>
    <n v="3"/>
    <n v="17.38"/>
    <x v="4"/>
    <x v="2"/>
  </r>
  <r>
    <n v="45072"/>
    <x v="495"/>
    <x v="2"/>
    <x v="0"/>
    <x v="4"/>
    <s v="OIC #2 Pencils, Medium Soft"/>
    <x v="3297"/>
    <n v="1"/>
    <n v="0.17"/>
    <x v="4"/>
    <x v="2"/>
  </r>
  <r>
    <n v="45072"/>
    <x v="495"/>
    <x v="2"/>
    <x v="0"/>
    <x v="12"/>
    <s v="Holmes HEPA Air Purifier"/>
    <x v="3298"/>
    <n v="2"/>
    <n v="6.53"/>
    <x v="4"/>
    <x v="2"/>
  </r>
  <r>
    <n v="45072"/>
    <x v="149"/>
    <x v="3"/>
    <x v="0"/>
    <x v="7"/>
    <s v="Alliance Big Bands Rubber Bands, 12/Pack"/>
    <x v="62"/>
    <n v="3"/>
    <n v="0"/>
    <x v="4"/>
    <x v="2"/>
  </r>
  <r>
    <n v="45072"/>
    <x v="149"/>
    <x v="3"/>
    <x v="0"/>
    <x v="0"/>
    <s v="Xerox 1946"/>
    <x v="413"/>
    <n v="7"/>
    <n v="21.77"/>
    <x v="4"/>
    <x v="2"/>
  </r>
  <r>
    <n v="45072"/>
    <x v="149"/>
    <x v="3"/>
    <x v="2"/>
    <x v="6"/>
    <s v="Cisco SPA508G"/>
    <x v="1536"/>
    <n v="4"/>
    <n v="23.76"/>
    <x v="4"/>
    <x v="2"/>
  </r>
  <r>
    <n v="45072"/>
    <x v="149"/>
    <x v="3"/>
    <x v="1"/>
    <x v="5"/>
    <s v="Global Low Back Tilter Chair"/>
    <x v="3299"/>
    <n v="6"/>
    <n v="-84.82"/>
    <x v="4"/>
    <x v="2"/>
  </r>
  <r>
    <n v="45072"/>
    <x v="149"/>
    <x v="3"/>
    <x v="2"/>
    <x v="15"/>
    <s v="Fellowes Powershred HS-440 4-Sheet High Security Shredder"/>
    <x v="3300"/>
    <n v="3"/>
    <n v="116.24"/>
    <x v="4"/>
    <x v="2"/>
  </r>
  <r>
    <n v="45072"/>
    <x v="552"/>
    <x v="16"/>
    <x v="0"/>
    <x v="2"/>
    <s v="Advantus Rolling Drawer Organizers"/>
    <x v="3301"/>
    <n v="6"/>
    <n v="13.85"/>
    <x v="4"/>
    <x v="2"/>
  </r>
  <r>
    <n v="45072"/>
    <x v="552"/>
    <x v="16"/>
    <x v="2"/>
    <x v="9"/>
    <s v="ImationÂ 32GB Pocket Pro USB 3.0Â Flash DriveÂ - 32 GB - Black - 1 P ..."/>
    <x v="3302"/>
    <n v="2"/>
    <n v="11.98"/>
    <x v="4"/>
    <x v="2"/>
  </r>
  <r>
    <n v="45072"/>
    <x v="752"/>
    <x v="21"/>
    <x v="1"/>
    <x v="8"/>
    <s v="Nu-Dell Float Frame 11 x 14 1/2"/>
    <x v="3303"/>
    <n v="3"/>
    <n v="11.31"/>
    <x v="4"/>
    <x v="2"/>
  </r>
  <r>
    <n v="45073"/>
    <x v="174"/>
    <x v="14"/>
    <x v="1"/>
    <x v="5"/>
    <s v="HON 5400 Series Task Chairs for Big and Tall"/>
    <x v="3304"/>
    <n v="5"/>
    <n v="700.98"/>
    <x v="4"/>
    <x v="2"/>
  </r>
  <r>
    <n v="45073"/>
    <x v="174"/>
    <x v="14"/>
    <x v="0"/>
    <x v="0"/>
    <s v="Xerox 1910"/>
    <x v="1399"/>
    <n v="3"/>
    <n v="69.180000000000007"/>
    <x v="4"/>
    <x v="2"/>
  </r>
  <r>
    <n v="45073"/>
    <x v="174"/>
    <x v="14"/>
    <x v="0"/>
    <x v="0"/>
    <s v="Xerox 1915"/>
    <x v="3305"/>
    <n v="3"/>
    <n v="150.97999999999999"/>
    <x v="4"/>
    <x v="2"/>
  </r>
  <r>
    <n v="45073"/>
    <x v="267"/>
    <x v="1"/>
    <x v="1"/>
    <x v="8"/>
    <s v="36X48 HARDFLOOR CHAIRMAT"/>
    <x v="2194"/>
    <n v="3"/>
    <n v="-33.36"/>
    <x v="4"/>
    <x v="2"/>
  </r>
  <r>
    <n v="45073"/>
    <x v="267"/>
    <x v="1"/>
    <x v="1"/>
    <x v="8"/>
    <s v="G.E. Halogen Desk Lamp Bulbs"/>
    <x v="614"/>
    <n v="2"/>
    <n v="-1.68"/>
    <x v="4"/>
    <x v="2"/>
  </r>
  <r>
    <n v="45073"/>
    <x v="267"/>
    <x v="1"/>
    <x v="0"/>
    <x v="2"/>
    <s v="Standard Rollaway File with Lock"/>
    <x v="3306"/>
    <n v="9"/>
    <n v="97.3"/>
    <x v="4"/>
    <x v="2"/>
  </r>
  <r>
    <n v="45073"/>
    <x v="462"/>
    <x v="3"/>
    <x v="0"/>
    <x v="0"/>
    <s v="Wirebound Message Books, Four 2 3/4 x 5 White Forms per Page"/>
    <x v="3307"/>
    <n v="2"/>
    <n v="6.15"/>
    <x v="4"/>
    <x v="2"/>
  </r>
  <r>
    <n v="45074"/>
    <x v="329"/>
    <x v="29"/>
    <x v="0"/>
    <x v="4"/>
    <s v="Boston School Pro Electric Pencil Sharpener, 1670"/>
    <x v="3308"/>
    <n v="6"/>
    <n v="50.19"/>
    <x v="4"/>
    <x v="2"/>
  </r>
  <r>
    <n v="45074"/>
    <x v="566"/>
    <x v="16"/>
    <x v="1"/>
    <x v="5"/>
    <s v="Novimex Fabric Task Chair"/>
    <x v="3309"/>
    <n v="8"/>
    <n v="-24.39"/>
    <x v="4"/>
    <x v="2"/>
  </r>
  <r>
    <n v="45074"/>
    <x v="566"/>
    <x v="16"/>
    <x v="0"/>
    <x v="0"/>
    <s v="Great White Multi-Use Recycled Paper (20Lb. and 84 Bright)"/>
    <x v="3310"/>
    <n v="13"/>
    <n v="19.440000000000001"/>
    <x v="4"/>
    <x v="2"/>
  </r>
  <r>
    <n v="45074"/>
    <x v="68"/>
    <x v="3"/>
    <x v="0"/>
    <x v="12"/>
    <s v="Kensington 7 Outlet MasterPiece HOMEOFFICE Power Control Center"/>
    <x v="3311"/>
    <n v="2"/>
    <n v="78.67"/>
    <x v="4"/>
    <x v="2"/>
  </r>
  <r>
    <n v="45074"/>
    <x v="68"/>
    <x v="3"/>
    <x v="0"/>
    <x v="0"/>
    <s v="Xerox 1991"/>
    <x v="1672"/>
    <n v="8"/>
    <n v="84.05"/>
    <x v="4"/>
    <x v="2"/>
  </r>
  <r>
    <n v="45074"/>
    <x v="68"/>
    <x v="3"/>
    <x v="2"/>
    <x v="9"/>
    <s v="ImationÂ Clip USBÂ flash driveÂ - 8 GB"/>
    <x v="3312"/>
    <n v="7"/>
    <n v="7.9"/>
    <x v="4"/>
    <x v="2"/>
  </r>
  <r>
    <n v="45074"/>
    <x v="68"/>
    <x v="3"/>
    <x v="0"/>
    <x v="3"/>
    <s v="Wilson Jones Hanging View Binder, White, 1&quot;"/>
    <x v="850"/>
    <n v="4"/>
    <n v="7.38"/>
    <x v="4"/>
    <x v="2"/>
  </r>
  <r>
    <n v="45074"/>
    <x v="68"/>
    <x v="3"/>
    <x v="2"/>
    <x v="15"/>
    <s v="Okidata C331dn Printer"/>
    <x v="2213"/>
    <n v="2"/>
    <n v="41.88"/>
    <x v="4"/>
    <x v="2"/>
  </r>
  <r>
    <n v="45074"/>
    <x v="150"/>
    <x v="20"/>
    <x v="0"/>
    <x v="14"/>
    <s v="Fiskars Softgrip Scissors"/>
    <x v="3197"/>
    <n v="5"/>
    <n v="15.37"/>
    <x v="4"/>
    <x v="2"/>
  </r>
  <r>
    <n v="45074"/>
    <x v="451"/>
    <x v="1"/>
    <x v="2"/>
    <x v="6"/>
    <s v="Wilson Electronics DB Pro Signal Booster"/>
    <x v="3313"/>
    <n v="1"/>
    <n v="25.06"/>
    <x v="4"/>
    <x v="2"/>
  </r>
  <r>
    <n v="45075"/>
    <x v="556"/>
    <x v="33"/>
    <x v="2"/>
    <x v="6"/>
    <s v="Panasonic KX-TG9471B"/>
    <x v="2239"/>
    <n v="5"/>
    <n v="274.39"/>
    <x v="4"/>
    <x v="2"/>
  </r>
  <r>
    <n v="45075"/>
    <x v="556"/>
    <x v="33"/>
    <x v="0"/>
    <x v="3"/>
    <s v="Presstex Flexible Ring Binders"/>
    <x v="3314"/>
    <n v="5"/>
    <n v="11.38"/>
    <x v="4"/>
    <x v="2"/>
  </r>
  <r>
    <n v="45075"/>
    <x v="745"/>
    <x v="15"/>
    <x v="0"/>
    <x v="3"/>
    <s v="GBC ProClick Spines for 32-Hole Punch"/>
    <x v="3315"/>
    <n v="3"/>
    <n v="-8.65"/>
    <x v="4"/>
    <x v="2"/>
  </r>
  <r>
    <n v="45075"/>
    <x v="745"/>
    <x v="15"/>
    <x v="0"/>
    <x v="4"/>
    <s v="Newell 333"/>
    <x v="192"/>
    <n v="2"/>
    <n v="0.33"/>
    <x v="4"/>
    <x v="2"/>
  </r>
  <r>
    <n v="45075"/>
    <x v="745"/>
    <x v="15"/>
    <x v="1"/>
    <x v="8"/>
    <s v="3M Polarizing Light Filter Sleeves"/>
    <x v="3316"/>
    <n v="3"/>
    <n v="14.55"/>
    <x v="4"/>
    <x v="2"/>
  </r>
  <r>
    <n v="45076"/>
    <x v="706"/>
    <x v="26"/>
    <x v="0"/>
    <x v="3"/>
    <s v="Vinyl Sectional Post Binders"/>
    <x v="3317"/>
    <n v="2"/>
    <n v="-15.08"/>
    <x v="4"/>
    <x v="2"/>
  </r>
  <r>
    <n v="45076"/>
    <x v="706"/>
    <x v="26"/>
    <x v="0"/>
    <x v="3"/>
    <s v="GBC Standard Therm-A-Bind Covers"/>
    <x v="1700"/>
    <n v="2"/>
    <n v="-11.96"/>
    <x v="4"/>
    <x v="2"/>
  </r>
  <r>
    <n v="45076"/>
    <x v="706"/>
    <x v="26"/>
    <x v="1"/>
    <x v="5"/>
    <s v="Global Troy Executive Leather Low-Back Tilter"/>
    <x v="690"/>
    <n v="2"/>
    <n v="50.1"/>
    <x v="4"/>
    <x v="2"/>
  </r>
  <r>
    <n v="45076"/>
    <x v="706"/>
    <x v="26"/>
    <x v="0"/>
    <x v="3"/>
    <s v="Storex Flexible Poly Binders with Double Pockets"/>
    <x v="2039"/>
    <n v="3"/>
    <n v="-1.9"/>
    <x v="4"/>
    <x v="2"/>
  </r>
  <r>
    <n v="45076"/>
    <x v="706"/>
    <x v="26"/>
    <x v="0"/>
    <x v="0"/>
    <s v="White Dual Perf Computer Printout Paper, 2700 Sheets, 1 Part, Heavyweight, 20 lbs., 14 7/8 x 11"/>
    <x v="3318"/>
    <n v="1"/>
    <n v="11.89"/>
    <x v="4"/>
    <x v="2"/>
  </r>
  <r>
    <n v="45076"/>
    <x v="758"/>
    <x v="25"/>
    <x v="0"/>
    <x v="3"/>
    <s v="Angle-D Ring Binders"/>
    <x v="462"/>
    <n v="2"/>
    <n v="-2.63"/>
    <x v="4"/>
    <x v="2"/>
  </r>
  <r>
    <n v="45076"/>
    <x v="196"/>
    <x v="10"/>
    <x v="2"/>
    <x v="16"/>
    <s v="Canon Imageclass D680 Copier / Fax"/>
    <x v="3319"/>
    <n v="2"/>
    <n v="70"/>
    <x v="4"/>
    <x v="2"/>
  </r>
  <r>
    <n v="45076"/>
    <x v="123"/>
    <x v="6"/>
    <x v="1"/>
    <x v="13"/>
    <s v="Hon Rectangular Conference Tables"/>
    <x v="3320"/>
    <n v="10"/>
    <n v="386.84"/>
    <x v="4"/>
    <x v="2"/>
  </r>
  <r>
    <n v="45076"/>
    <x v="123"/>
    <x v="6"/>
    <x v="2"/>
    <x v="9"/>
    <s v="Plantronics CS510 - Over-the-Head monaural Wireless Headset System"/>
    <x v="3321"/>
    <n v="6"/>
    <n v="653.29999999999995"/>
    <x v="4"/>
    <x v="2"/>
  </r>
  <r>
    <n v="45076"/>
    <x v="123"/>
    <x v="6"/>
    <x v="0"/>
    <x v="1"/>
    <s v="Avery 473"/>
    <x v="3322"/>
    <n v="6"/>
    <n v="29.81"/>
    <x v="4"/>
    <x v="2"/>
  </r>
  <r>
    <n v="45076"/>
    <x v="176"/>
    <x v="10"/>
    <x v="0"/>
    <x v="12"/>
    <s v="Euro-Pro Shark Turbo Vacuum"/>
    <x v="1099"/>
    <n v="5"/>
    <n v="9.2899999999999991"/>
    <x v="4"/>
    <x v="2"/>
  </r>
  <r>
    <n v="45076"/>
    <x v="483"/>
    <x v="3"/>
    <x v="0"/>
    <x v="0"/>
    <s v="Xerox 228"/>
    <x v="2167"/>
    <n v="6"/>
    <n v="18.66"/>
    <x v="4"/>
    <x v="2"/>
  </r>
  <r>
    <n v="45076"/>
    <x v="306"/>
    <x v="21"/>
    <x v="0"/>
    <x v="12"/>
    <s v="Acco 7-Outlet Masterpiece Power Center, Wihtout Fax/Phone Line Protection"/>
    <x v="3323"/>
    <n v="3"/>
    <n v="109.42"/>
    <x v="4"/>
    <x v="2"/>
  </r>
  <r>
    <n v="45076"/>
    <x v="306"/>
    <x v="21"/>
    <x v="1"/>
    <x v="8"/>
    <s v="DAX Charcoal/Nickel-Tone Document Frame, 5 x 7"/>
    <x v="3324"/>
    <n v="5"/>
    <n v="21.33"/>
    <x v="4"/>
    <x v="2"/>
  </r>
  <r>
    <n v="45076"/>
    <x v="306"/>
    <x v="21"/>
    <x v="0"/>
    <x v="2"/>
    <s v="Eldon Simplefile Box Office"/>
    <x v="3325"/>
    <n v="4"/>
    <n v="13.93"/>
    <x v="4"/>
    <x v="2"/>
  </r>
  <r>
    <n v="45076"/>
    <x v="306"/>
    <x v="21"/>
    <x v="0"/>
    <x v="4"/>
    <s v="Newell 333"/>
    <x v="638"/>
    <n v="2"/>
    <n v="1.45"/>
    <x v="4"/>
    <x v="2"/>
  </r>
  <r>
    <n v="45076"/>
    <x v="306"/>
    <x v="21"/>
    <x v="0"/>
    <x v="0"/>
    <s v="Xerox 1915"/>
    <x v="1365"/>
    <n v="6"/>
    <n v="301.97000000000003"/>
    <x v="4"/>
    <x v="2"/>
  </r>
  <r>
    <n v="45076"/>
    <x v="306"/>
    <x v="21"/>
    <x v="0"/>
    <x v="4"/>
    <s v="Newell 343"/>
    <x v="2742"/>
    <n v="5"/>
    <n v="3.97"/>
    <x v="4"/>
    <x v="2"/>
  </r>
  <r>
    <n v="45076"/>
    <x v="306"/>
    <x v="21"/>
    <x v="0"/>
    <x v="0"/>
    <s v="Xerox 217"/>
    <x v="413"/>
    <n v="7"/>
    <n v="21.77"/>
    <x v="4"/>
    <x v="2"/>
  </r>
  <r>
    <n v="45076"/>
    <x v="306"/>
    <x v="21"/>
    <x v="2"/>
    <x v="6"/>
    <s v="VTech DS6151"/>
    <x v="2850"/>
    <n v="1"/>
    <n v="35.28"/>
    <x v="4"/>
    <x v="2"/>
  </r>
  <r>
    <n v="45076"/>
    <x v="739"/>
    <x v="3"/>
    <x v="1"/>
    <x v="8"/>
    <s v="36X48 HARDFLOOR CHAIRMAT"/>
    <x v="3326"/>
    <n v="8"/>
    <n v="11.75"/>
    <x v="4"/>
    <x v="2"/>
  </r>
  <r>
    <n v="45076"/>
    <x v="615"/>
    <x v="6"/>
    <x v="0"/>
    <x v="10"/>
    <s v="Redi-Strip #10 Envelopes, 4 1/8 x 9 1/2"/>
    <x v="3327"/>
    <n v="9"/>
    <n v="12.74"/>
    <x v="4"/>
    <x v="2"/>
  </r>
  <r>
    <n v="45076"/>
    <x v="615"/>
    <x v="6"/>
    <x v="2"/>
    <x v="9"/>
    <s v="Sony Micro Vault Click 16 GB USB 2.0 Flash Drive"/>
    <x v="2906"/>
    <n v="2"/>
    <n v="26.88"/>
    <x v="4"/>
    <x v="2"/>
  </r>
  <r>
    <n v="45076"/>
    <x v="372"/>
    <x v="0"/>
    <x v="2"/>
    <x v="6"/>
    <s v="Anker 36W 4-Port USB Wall Charger Travel Power Adapter for iPhone 5s 5c 5"/>
    <x v="1813"/>
    <n v="5"/>
    <n v="8"/>
    <x v="4"/>
    <x v="2"/>
  </r>
  <r>
    <n v="45076"/>
    <x v="372"/>
    <x v="0"/>
    <x v="2"/>
    <x v="9"/>
    <s v="Sony Micro Vault Click 16 GB USB 2.0 Flash Drive"/>
    <x v="597"/>
    <n v="5"/>
    <n v="11.2"/>
    <x v="4"/>
    <x v="2"/>
  </r>
  <r>
    <n v="45077"/>
    <x v="443"/>
    <x v="1"/>
    <x v="1"/>
    <x v="8"/>
    <s v="Executive Impressions 16-1/2&quot; Circular Wall Clock"/>
    <x v="890"/>
    <n v="3"/>
    <n v="-12.83"/>
    <x v="4"/>
    <x v="2"/>
  </r>
  <r>
    <n v="45077"/>
    <x v="443"/>
    <x v="1"/>
    <x v="0"/>
    <x v="0"/>
    <s v="Xerox 1899"/>
    <x v="535"/>
    <n v="4"/>
    <n v="6.7"/>
    <x v="4"/>
    <x v="2"/>
  </r>
  <r>
    <n v="45077"/>
    <x v="443"/>
    <x v="1"/>
    <x v="1"/>
    <x v="5"/>
    <s v="Global Highback Leather Tilter in Burgundy"/>
    <x v="3328"/>
    <n v="3"/>
    <n v="-38.22"/>
    <x v="4"/>
    <x v="2"/>
  </r>
  <r>
    <n v="45077"/>
    <x v="443"/>
    <x v="1"/>
    <x v="0"/>
    <x v="0"/>
    <s v="Xerox 212"/>
    <x v="320"/>
    <n v="2"/>
    <n v="3.63"/>
    <x v="4"/>
    <x v="2"/>
  </r>
  <r>
    <n v="45077"/>
    <x v="685"/>
    <x v="20"/>
    <x v="0"/>
    <x v="3"/>
    <s v="Avery Hidden Tab Dividers for Binding Systems"/>
    <x v="2288"/>
    <n v="3"/>
    <n v="2.3199999999999998"/>
    <x v="4"/>
    <x v="2"/>
  </r>
  <r>
    <n v="45077"/>
    <x v="685"/>
    <x v="20"/>
    <x v="2"/>
    <x v="6"/>
    <s v="Jackery Bar Premium Fast-charging Portable Charger"/>
    <x v="3329"/>
    <n v="6"/>
    <n v="88.05"/>
    <x v="4"/>
    <x v="2"/>
  </r>
  <r>
    <n v="45079"/>
    <x v="385"/>
    <x v="2"/>
    <x v="0"/>
    <x v="2"/>
    <s v="Carina Double Wide Media Storage Towers in Natural &amp; Black"/>
    <x v="876"/>
    <n v="1"/>
    <n v="-12.96"/>
    <x v="5"/>
    <x v="2"/>
  </r>
  <r>
    <n v="45079"/>
    <x v="150"/>
    <x v="22"/>
    <x v="0"/>
    <x v="0"/>
    <s v="Riverleaf Stik-Withit Designer Note Cubes"/>
    <x v="1266"/>
    <n v="3"/>
    <n v="13.88"/>
    <x v="5"/>
    <x v="2"/>
  </r>
  <r>
    <n v="45079"/>
    <x v="150"/>
    <x v="22"/>
    <x v="0"/>
    <x v="3"/>
    <s v="Acco PRESSTEX Data Binder with Storage Hooks, Dark Blue, 14 7/8&quot; X 11&quot;"/>
    <x v="3330"/>
    <n v="12"/>
    <n v="18.72"/>
    <x v="5"/>
    <x v="2"/>
  </r>
  <r>
    <n v="45079"/>
    <x v="150"/>
    <x v="22"/>
    <x v="0"/>
    <x v="3"/>
    <s v="Acco Translucent Poly Ring Binders"/>
    <x v="3331"/>
    <n v="3"/>
    <n v="3.93"/>
    <x v="5"/>
    <x v="2"/>
  </r>
  <r>
    <n v="45080"/>
    <x v="85"/>
    <x v="3"/>
    <x v="1"/>
    <x v="13"/>
    <s v="Hon 61000 Series Interactive Training Tables"/>
    <x v="3235"/>
    <n v="2"/>
    <n v="-1.78"/>
    <x v="5"/>
    <x v="2"/>
  </r>
  <r>
    <n v="45081"/>
    <x v="502"/>
    <x v="6"/>
    <x v="0"/>
    <x v="0"/>
    <s v="Snap-A-Way Black Print Carbonless Ruled Speed Letter, Triplicate"/>
    <x v="1184"/>
    <n v="2"/>
    <n v="35.659999999999997"/>
    <x v="5"/>
    <x v="2"/>
  </r>
  <r>
    <n v="45081"/>
    <x v="318"/>
    <x v="1"/>
    <x v="0"/>
    <x v="0"/>
    <s v="Xerox 1957"/>
    <x v="499"/>
    <n v="5"/>
    <n v="9.4"/>
    <x v="5"/>
    <x v="2"/>
  </r>
  <r>
    <n v="45081"/>
    <x v="318"/>
    <x v="1"/>
    <x v="1"/>
    <x v="8"/>
    <s v="Luxo Professional Fluorescent Magnifier Lamp with Clamp-Mount Base"/>
    <x v="3332"/>
    <n v="5"/>
    <n v="-356.73"/>
    <x v="5"/>
    <x v="2"/>
  </r>
  <r>
    <n v="45081"/>
    <x v="318"/>
    <x v="1"/>
    <x v="1"/>
    <x v="8"/>
    <s v="Staple-based wall hangings"/>
    <x v="3333"/>
    <n v="3"/>
    <n v="-4.68"/>
    <x v="5"/>
    <x v="2"/>
  </r>
  <r>
    <n v="45081"/>
    <x v="318"/>
    <x v="1"/>
    <x v="2"/>
    <x v="6"/>
    <s v="PureGear Roll-On Screen Protector"/>
    <x v="665"/>
    <n v="2"/>
    <n v="11.19"/>
    <x v="5"/>
    <x v="2"/>
  </r>
  <r>
    <n v="45081"/>
    <x v="318"/>
    <x v="1"/>
    <x v="1"/>
    <x v="13"/>
    <s v="KI Conference Tables"/>
    <x v="3334"/>
    <n v="5"/>
    <n v="-120.51"/>
    <x v="5"/>
    <x v="2"/>
  </r>
  <r>
    <n v="45081"/>
    <x v="318"/>
    <x v="1"/>
    <x v="1"/>
    <x v="8"/>
    <s v="Eldon 100 Class Desk Accessories"/>
    <x v="3335"/>
    <n v="3"/>
    <n v="-2.83"/>
    <x v="5"/>
    <x v="2"/>
  </r>
  <r>
    <n v="45081"/>
    <x v="318"/>
    <x v="1"/>
    <x v="0"/>
    <x v="4"/>
    <s v="Binney &amp; Smith Crayola Metallic Colored Pencils, 8-Color Set"/>
    <x v="217"/>
    <n v="2"/>
    <n v="1.2"/>
    <x v="5"/>
    <x v="2"/>
  </r>
  <r>
    <n v="45081"/>
    <x v="647"/>
    <x v="20"/>
    <x v="0"/>
    <x v="0"/>
    <s v="Easy-staple paper"/>
    <x v="98"/>
    <n v="3"/>
    <n v="7.02"/>
    <x v="5"/>
    <x v="2"/>
  </r>
  <r>
    <n v="45081"/>
    <x v="647"/>
    <x v="20"/>
    <x v="2"/>
    <x v="15"/>
    <s v="Panasonic KX MC6040 Color Laser Multifunction Printer"/>
    <x v="3336"/>
    <n v="3"/>
    <n v="364.46"/>
    <x v="5"/>
    <x v="2"/>
  </r>
  <r>
    <n v="45081"/>
    <x v="647"/>
    <x v="20"/>
    <x v="1"/>
    <x v="11"/>
    <s v="Sauder Inglewood Library Bookcases"/>
    <x v="3337"/>
    <n v="1"/>
    <n v="5.13"/>
    <x v="5"/>
    <x v="2"/>
  </r>
  <r>
    <n v="45081"/>
    <x v="647"/>
    <x v="20"/>
    <x v="1"/>
    <x v="8"/>
    <s v="Linden 10&quot; Round Wall Clock, Black"/>
    <x v="3338"/>
    <n v="4"/>
    <n v="20.78"/>
    <x v="5"/>
    <x v="2"/>
  </r>
  <r>
    <n v="45082"/>
    <x v="179"/>
    <x v="2"/>
    <x v="0"/>
    <x v="2"/>
    <s v="Eldon Base for stackable storage shelf, platinum"/>
    <x v="3339"/>
    <n v="4"/>
    <n v="-23.36"/>
    <x v="5"/>
    <x v="2"/>
  </r>
  <r>
    <n v="45082"/>
    <x v="179"/>
    <x v="2"/>
    <x v="0"/>
    <x v="1"/>
    <s v="Avery 502"/>
    <x v="2026"/>
    <n v="3"/>
    <n v="2.65"/>
    <x v="5"/>
    <x v="2"/>
  </r>
  <r>
    <n v="45082"/>
    <x v="219"/>
    <x v="7"/>
    <x v="0"/>
    <x v="2"/>
    <s v="Standard Rollaway File with Lock"/>
    <x v="2856"/>
    <n v="2"/>
    <n v="93.7"/>
    <x v="5"/>
    <x v="2"/>
  </r>
  <r>
    <n v="45082"/>
    <x v="219"/>
    <x v="7"/>
    <x v="0"/>
    <x v="4"/>
    <s v="Newell 314"/>
    <x v="280"/>
    <n v="2"/>
    <n v="2.79"/>
    <x v="5"/>
    <x v="2"/>
  </r>
  <r>
    <n v="45082"/>
    <x v="219"/>
    <x v="7"/>
    <x v="0"/>
    <x v="1"/>
    <s v="Avery White Multi-Purpose Labels"/>
    <x v="98"/>
    <n v="3"/>
    <n v="6.87"/>
    <x v="5"/>
    <x v="2"/>
  </r>
  <r>
    <n v="45082"/>
    <x v="74"/>
    <x v="3"/>
    <x v="0"/>
    <x v="3"/>
    <s v="Avery Non-Stick Binders"/>
    <x v="3340"/>
    <n v="6"/>
    <n v="7"/>
    <x v="5"/>
    <x v="2"/>
  </r>
  <r>
    <n v="45082"/>
    <x v="74"/>
    <x v="3"/>
    <x v="0"/>
    <x v="12"/>
    <s v="Acco 6 Outlet Guardian Premium Surge Suppressor"/>
    <x v="1244"/>
    <n v="4"/>
    <n v="15.72"/>
    <x v="5"/>
    <x v="2"/>
  </r>
  <r>
    <n v="45082"/>
    <x v="590"/>
    <x v="22"/>
    <x v="0"/>
    <x v="14"/>
    <s v="Acme Box Cutter Scissors"/>
    <x v="3341"/>
    <n v="6"/>
    <n v="15.96"/>
    <x v="5"/>
    <x v="2"/>
  </r>
  <r>
    <n v="45083"/>
    <x v="554"/>
    <x v="1"/>
    <x v="2"/>
    <x v="6"/>
    <s v="Cisco Small Business SPA 502G VoIP phone"/>
    <x v="3342"/>
    <n v="4"/>
    <n v="28.72"/>
    <x v="5"/>
    <x v="2"/>
  </r>
  <r>
    <n v="45083"/>
    <x v="56"/>
    <x v="32"/>
    <x v="0"/>
    <x v="2"/>
    <s v="Letter Size Cart"/>
    <x v="2641"/>
    <n v="5"/>
    <n v="207.15"/>
    <x v="5"/>
    <x v="2"/>
  </r>
  <r>
    <n v="45083"/>
    <x v="759"/>
    <x v="32"/>
    <x v="0"/>
    <x v="0"/>
    <s v="Xerox 1935"/>
    <x v="1479"/>
    <n v="4"/>
    <n v="48.54"/>
    <x v="5"/>
    <x v="2"/>
  </r>
  <r>
    <n v="45083"/>
    <x v="584"/>
    <x v="13"/>
    <x v="2"/>
    <x v="9"/>
    <s v="Logitech Trackman Marble Mouse"/>
    <x v="1468"/>
    <n v="6"/>
    <n v="75.569999999999993"/>
    <x v="5"/>
    <x v="2"/>
  </r>
  <r>
    <n v="45083"/>
    <x v="584"/>
    <x v="13"/>
    <x v="2"/>
    <x v="9"/>
    <s v="Kingston Digital DataTraveler 16GB USB 2.0"/>
    <x v="3077"/>
    <n v="3"/>
    <n v="5.0999999999999996"/>
    <x v="5"/>
    <x v="2"/>
  </r>
  <r>
    <n v="45083"/>
    <x v="584"/>
    <x v="13"/>
    <x v="2"/>
    <x v="9"/>
    <s v="Plantronics S12 Corded Telephone Headset System"/>
    <x v="1880"/>
    <n v="3"/>
    <n v="129.35"/>
    <x v="5"/>
    <x v="2"/>
  </r>
  <r>
    <n v="45083"/>
    <x v="584"/>
    <x v="13"/>
    <x v="0"/>
    <x v="0"/>
    <s v="Xerox 191"/>
    <x v="2268"/>
    <n v="3"/>
    <n v="28.17"/>
    <x v="5"/>
    <x v="2"/>
  </r>
  <r>
    <n v="45083"/>
    <x v="584"/>
    <x v="13"/>
    <x v="0"/>
    <x v="3"/>
    <s v="Trimflex Flexible Post Binders"/>
    <x v="1904"/>
    <n v="3"/>
    <n v="30.79"/>
    <x v="5"/>
    <x v="2"/>
  </r>
  <r>
    <n v="45083"/>
    <x v="584"/>
    <x v="13"/>
    <x v="0"/>
    <x v="3"/>
    <s v="Avery Binder Labels"/>
    <x v="2069"/>
    <n v="3"/>
    <n v="5.6"/>
    <x v="5"/>
    <x v="2"/>
  </r>
  <r>
    <n v="45083"/>
    <x v="584"/>
    <x v="13"/>
    <x v="0"/>
    <x v="0"/>
    <s v="Xerox 230"/>
    <x v="115"/>
    <n v="2"/>
    <n v="6.22"/>
    <x v="5"/>
    <x v="2"/>
  </r>
  <r>
    <n v="45083"/>
    <x v="237"/>
    <x v="3"/>
    <x v="0"/>
    <x v="1"/>
    <s v="Avery 488"/>
    <x v="3343"/>
    <n v="7"/>
    <n v="10.58"/>
    <x v="5"/>
    <x v="2"/>
  </r>
  <r>
    <n v="45083"/>
    <x v="237"/>
    <x v="3"/>
    <x v="0"/>
    <x v="0"/>
    <s v="Xerox Blank Computer Paper"/>
    <x v="3344"/>
    <n v="5"/>
    <n v="46.95"/>
    <x v="5"/>
    <x v="2"/>
  </r>
  <r>
    <n v="45083"/>
    <x v="5"/>
    <x v="3"/>
    <x v="2"/>
    <x v="6"/>
    <s v="Samsung Galaxy Mega 6.3"/>
    <x v="3345"/>
    <n v="9"/>
    <n v="226.79"/>
    <x v="5"/>
    <x v="2"/>
  </r>
  <r>
    <n v="45083"/>
    <x v="5"/>
    <x v="3"/>
    <x v="2"/>
    <x v="9"/>
    <s v="Rosewill 107 Normal Keys USB Wired Standard Keyboard"/>
    <x v="2503"/>
    <n v="2"/>
    <n v="3.77"/>
    <x v="5"/>
    <x v="2"/>
  </r>
  <r>
    <n v="45083"/>
    <x v="5"/>
    <x v="3"/>
    <x v="2"/>
    <x v="6"/>
    <s v="Bose SoundLink Bluetooth Speaker"/>
    <x v="3346"/>
    <n v="3"/>
    <n v="161.19"/>
    <x v="5"/>
    <x v="2"/>
  </r>
  <r>
    <n v="45083"/>
    <x v="760"/>
    <x v="10"/>
    <x v="1"/>
    <x v="8"/>
    <s v="Electrix Halogen Magnifier Lamp"/>
    <x v="3347"/>
    <n v="3"/>
    <n v="34.97"/>
    <x v="5"/>
    <x v="2"/>
  </r>
  <r>
    <n v="45083"/>
    <x v="760"/>
    <x v="10"/>
    <x v="1"/>
    <x v="8"/>
    <s v="Deflect-o EconoMat Nonstudded, No Bevel Mat"/>
    <x v="3144"/>
    <n v="2"/>
    <n v="0"/>
    <x v="5"/>
    <x v="2"/>
  </r>
  <r>
    <n v="45084"/>
    <x v="476"/>
    <x v="20"/>
    <x v="0"/>
    <x v="0"/>
    <s v="Xerox 226"/>
    <x v="331"/>
    <n v="5"/>
    <n v="15.55"/>
    <x v="5"/>
    <x v="2"/>
  </r>
  <r>
    <n v="45084"/>
    <x v="365"/>
    <x v="3"/>
    <x v="0"/>
    <x v="3"/>
    <s v="Avery Hanging File Binders"/>
    <x v="3348"/>
    <n v="1"/>
    <n v="1.55"/>
    <x v="5"/>
    <x v="2"/>
  </r>
  <r>
    <n v="45084"/>
    <x v="365"/>
    <x v="3"/>
    <x v="0"/>
    <x v="0"/>
    <s v="While You Were Out Pads, 50 per Pad, 4 x 5 1/4, Green Cycle"/>
    <x v="2929"/>
    <n v="1"/>
    <n v="2.3199999999999998"/>
    <x v="5"/>
    <x v="2"/>
  </r>
  <r>
    <n v="45084"/>
    <x v="761"/>
    <x v="2"/>
    <x v="0"/>
    <x v="7"/>
    <s v="Ideal Clamps"/>
    <x v="1838"/>
    <n v="6"/>
    <n v="3.5"/>
    <x v="5"/>
    <x v="2"/>
  </r>
  <r>
    <n v="45086"/>
    <x v="193"/>
    <x v="3"/>
    <x v="2"/>
    <x v="6"/>
    <s v="Avaya 4621SW VoIP phone"/>
    <x v="2779"/>
    <n v="3"/>
    <n v="19.97"/>
    <x v="5"/>
    <x v="2"/>
  </r>
  <r>
    <n v="45086"/>
    <x v="460"/>
    <x v="16"/>
    <x v="2"/>
    <x v="15"/>
    <s v="Cisco CP-7937G Unified IP Conference Station Phone"/>
    <x v="3349"/>
    <n v="2"/>
    <n v="-27.83"/>
    <x v="5"/>
    <x v="2"/>
  </r>
  <r>
    <n v="45086"/>
    <x v="622"/>
    <x v="3"/>
    <x v="1"/>
    <x v="5"/>
    <s v="Global Deluxe Stacking Chair, Gray"/>
    <x v="205"/>
    <n v="3"/>
    <n v="13.76"/>
    <x v="5"/>
    <x v="2"/>
  </r>
  <r>
    <n v="45086"/>
    <x v="499"/>
    <x v="28"/>
    <x v="1"/>
    <x v="13"/>
    <s v="Bush Cubix Conference Tables, Fully Assembled"/>
    <x v="3350"/>
    <n v="3"/>
    <n v="173.24"/>
    <x v="5"/>
    <x v="2"/>
  </r>
  <r>
    <n v="45087"/>
    <x v="635"/>
    <x v="3"/>
    <x v="0"/>
    <x v="1"/>
    <s v="Avery 473"/>
    <x v="2363"/>
    <n v="2"/>
    <n v="9.94"/>
    <x v="5"/>
    <x v="2"/>
  </r>
  <r>
    <n v="45087"/>
    <x v="635"/>
    <x v="3"/>
    <x v="1"/>
    <x v="13"/>
    <s v="Bretford Â“Just In TimeÂ” Height-Adjustable Multi-Task Work Tables"/>
    <x v="3351"/>
    <n v="4"/>
    <n v="-217.05"/>
    <x v="5"/>
    <x v="2"/>
  </r>
  <r>
    <n v="45087"/>
    <x v="635"/>
    <x v="3"/>
    <x v="0"/>
    <x v="0"/>
    <s v="Xerox 226"/>
    <x v="331"/>
    <n v="5"/>
    <n v="15.55"/>
    <x v="5"/>
    <x v="2"/>
  </r>
  <r>
    <n v="45087"/>
    <x v="733"/>
    <x v="2"/>
    <x v="0"/>
    <x v="1"/>
    <s v="Avery 487"/>
    <x v="3352"/>
    <n v="8"/>
    <n v="7.97"/>
    <x v="5"/>
    <x v="2"/>
  </r>
  <r>
    <n v="45088"/>
    <x v="126"/>
    <x v="0"/>
    <x v="0"/>
    <x v="3"/>
    <s v="Computer Printout Index Tabs"/>
    <x v="1151"/>
    <n v="4"/>
    <n v="-2.15"/>
    <x v="5"/>
    <x v="2"/>
  </r>
  <r>
    <n v="45088"/>
    <x v="126"/>
    <x v="0"/>
    <x v="0"/>
    <x v="3"/>
    <s v="GBC Wire Binding Combs"/>
    <x v="3353"/>
    <n v="4"/>
    <n v="-13.65"/>
    <x v="5"/>
    <x v="2"/>
  </r>
  <r>
    <n v="45088"/>
    <x v="126"/>
    <x v="0"/>
    <x v="1"/>
    <x v="8"/>
    <s v="Stacking Tray, Side-Loading, Legal, Smoke"/>
    <x v="1503"/>
    <n v="7"/>
    <n v="-9.09"/>
    <x v="5"/>
    <x v="2"/>
  </r>
  <r>
    <n v="45088"/>
    <x v="414"/>
    <x v="20"/>
    <x v="2"/>
    <x v="9"/>
    <s v="Razer Kraken PRO Over Ear PC and Music Headset"/>
    <x v="104"/>
    <n v="3"/>
    <n v="71.989999999999995"/>
    <x v="5"/>
    <x v="2"/>
  </r>
  <r>
    <n v="45088"/>
    <x v="145"/>
    <x v="22"/>
    <x v="0"/>
    <x v="1"/>
    <s v="Avery 486"/>
    <x v="471"/>
    <n v="2"/>
    <n v="6.87"/>
    <x v="5"/>
    <x v="2"/>
  </r>
  <r>
    <n v="45088"/>
    <x v="145"/>
    <x v="22"/>
    <x v="0"/>
    <x v="3"/>
    <s v="Wilson Jones Turn Tabs Binder Tool for Ring Binders"/>
    <x v="3354"/>
    <n v="14"/>
    <n v="17.54"/>
    <x v="5"/>
    <x v="2"/>
  </r>
  <r>
    <n v="45088"/>
    <x v="145"/>
    <x v="22"/>
    <x v="2"/>
    <x v="9"/>
    <s v="Logitech G35 7.1-Channel Surround Sound Headset"/>
    <x v="2516"/>
    <n v="3"/>
    <n v="132.59"/>
    <x v="5"/>
    <x v="2"/>
  </r>
  <r>
    <n v="45088"/>
    <x v="9"/>
    <x v="3"/>
    <x v="1"/>
    <x v="13"/>
    <s v="Bretford Rectangular Conference Table Tops"/>
    <x v="3355"/>
    <n v="3"/>
    <n v="33.85"/>
    <x v="5"/>
    <x v="2"/>
  </r>
  <r>
    <n v="45089"/>
    <x v="762"/>
    <x v="3"/>
    <x v="0"/>
    <x v="1"/>
    <s v="Self-Adhesive Address Labels for Typewriters by Universal"/>
    <x v="471"/>
    <n v="2"/>
    <n v="6.87"/>
    <x v="5"/>
    <x v="2"/>
  </r>
  <r>
    <n v="45089"/>
    <x v="660"/>
    <x v="33"/>
    <x v="0"/>
    <x v="12"/>
    <s v="1.7 Cubic Foot Compact &quot;Cube&quot; Office Refrigerators"/>
    <x v="467"/>
    <n v="1"/>
    <n v="56.2"/>
    <x v="5"/>
    <x v="2"/>
  </r>
  <r>
    <n v="45089"/>
    <x v="660"/>
    <x v="33"/>
    <x v="0"/>
    <x v="3"/>
    <s v="Avery Heavy-Duty EZD  Binder With Locking Rings"/>
    <x v="677"/>
    <n v="3"/>
    <n v="8.0399999999999991"/>
    <x v="5"/>
    <x v="2"/>
  </r>
  <r>
    <n v="45089"/>
    <x v="236"/>
    <x v="7"/>
    <x v="1"/>
    <x v="8"/>
    <s v="Artistic Insta-Plaque"/>
    <x v="2238"/>
    <n v="3"/>
    <n v="18.350000000000001"/>
    <x v="5"/>
    <x v="2"/>
  </r>
  <r>
    <n v="45089"/>
    <x v="236"/>
    <x v="7"/>
    <x v="0"/>
    <x v="3"/>
    <s v="DXL Angle-View Binders with Locking Rings by Samsill"/>
    <x v="2511"/>
    <n v="4"/>
    <n v="13.88"/>
    <x v="5"/>
    <x v="2"/>
  </r>
  <r>
    <n v="45089"/>
    <x v="236"/>
    <x v="7"/>
    <x v="0"/>
    <x v="2"/>
    <s v="Companion Letter/Legal File, Black"/>
    <x v="3356"/>
    <n v="6"/>
    <n v="63.44"/>
    <x v="5"/>
    <x v="2"/>
  </r>
  <r>
    <n v="45089"/>
    <x v="236"/>
    <x v="7"/>
    <x v="0"/>
    <x v="10"/>
    <s v="Globe Weis Peel &amp; Seel First Class Envelopes"/>
    <x v="3357"/>
    <n v="9"/>
    <n v="51.76"/>
    <x v="5"/>
    <x v="2"/>
  </r>
  <r>
    <n v="45089"/>
    <x v="236"/>
    <x v="7"/>
    <x v="2"/>
    <x v="6"/>
    <s v="KLD Oscar II Style Snap-on Ultra Thin Side Flip Synthetic Leather Cover Case for HTC One HTC M7"/>
    <x v="3358"/>
    <n v="7"/>
    <n v="19.73"/>
    <x v="5"/>
    <x v="2"/>
  </r>
  <r>
    <n v="45089"/>
    <x v="675"/>
    <x v="1"/>
    <x v="2"/>
    <x v="15"/>
    <s v="Canon Color ImageCLASS MF8580Cdw Wireless Laser All-In-One Printer, Copier, Scanner"/>
    <x v="3359"/>
    <n v="3"/>
    <n v="43.2"/>
    <x v="5"/>
    <x v="2"/>
  </r>
  <r>
    <n v="45089"/>
    <x v="675"/>
    <x v="1"/>
    <x v="0"/>
    <x v="0"/>
    <s v="Xerox 1908"/>
    <x v="3360"/>
    <n v="7"/>
    <n v="113.64"/>
    <x v="5"/>
    <x v="2"/>
  </r>
  <r>
    <n v="45089"/>
    <x v="353"/>
    <x v="1"/>
    <x v="0"/>
    <x v="0"/>
    <s v="Xerox 1978"/>
    <x v="3361"/>
    <n v="5"/>
    <n v="8.3800000000000008"/>
    <x v="5"/>
    <x v="2"/>
  </r>
  <r>
    <n v="45089"/>
    <x v="710"/>
    <x v="20"/>
    <x v="0"/>
    <x v="0"/>
    <s v="IBM Multi-Purpose Copy Paper, 8 1/2 x 11&quot;, Case"/>
    <x v="805"/>
    <n v="3"/>
    <n v="41.82"/>
    <x v="5"/>
    <x v="2"/>
  </r>
  <r>
    <n v="45089"/>
    <x v="710"/>
    <x v="20"/>
    <x v="0"/>
    <x v="12"/>
    <s v="Bionaire 99.97% HEPA Air Cleaner"/>
    <x v="3362"/>
    <n v="3"/>
    <n v="18.399999999999999"/>
    <x v="5"/>
    <x v="2"/>
  </r>
  <r>
    <n v="45089"/>
    <x v="400"/>
    <x v="3"/>
    <x v="0"/>
    <x v="0"/>
    <s v="IBM Multi-Purpose Copy Paper, 8 1/2 x 11&quot;, Case"/>
    <x v="3308"/>
    <n v="6"/>
    <n v="83.65"/>
    <x v="5"/>
    <x v="2"/>
  </r>
  <r>
    <n v="45089"/>
    <x v="400"/>
    <x v="3"/>
    <x v="0"/>
    <x v="0"/>
    <s v="Xerox 228"/>
    <x v="115"/>
    <n v="2"/>
    <n v="6.22"/>
    <x v="5"/>
    <x v="2"/>
  </r>
  <r>
    <n v="45089"/>
    <x v="299"/>
    <x v="0"/>
    <x v="0"/>
    <x v="12"/>
    <s v="APC 7 Outlet Network SurgeArrest Surge Protector"/>
    <x v="3363"/>
    <n v="4"/>
    <n v="-160.96"/>
    <x v="5"/>
    <x v="2"/>
  </r>
  <r>
    <n v="45089"/>
    <x v="299"/>
    <x v="0"/>
    <x v="1"/>
    <x v="8"/>
    <s v="Dax Clear Box Frame"/>
    <x v="3029"/>
    <n v="2"/>
    <n v="-4.54"/>
    <x v="5"/>
    <x v="2"/>
  </r>
  <r>
    <n v="45089"/>
    <x v="299"/>
    <x v="0"/>
    <x v="0"/>
    <x v="4"/>
    <s v="Nontoxic Chalk"/>
    <x v="652"/>
    <n v="8"/>
    <n v="3.94"/>
    <x v="5"/>
    <x v="2"/>
  </r>
  <r>
    <n v="45089"/>
    <x v="299"/>
    <x v="0"/>
    <x v="0"/>
    <x v="0"/>
    <s v="Xerox 1975"/>
    <x v="143"/>
    <n v="3"/>
    <n v="5.64"/>
    <x v="5"/>
    <x v="2"/>
  </r>
  <r>
    <n v="45089"/>
    <x v="299"/>
    <x v="0"/>
    <x v="1"/>
    <x v="5"/>
    <s v="Global Enterprise Series Seating High-Back Swivel/Tilt Chairs"/>
    <x v="3364"/>
    <n v="2"/>
    <n v="-119.23"/>
    <x v="5"/>
    <x v="2"/>
  </r>
  <r>
    <n v="45089"/>
    <x v="299"/>
    <x v="0"/>
    <x v="0"/>
    <x v="2"/>
    <s v="Staple magnet"/>
    <x v="3365"/>
    <n v="9"/>
    <n v="6.75"/>
    <x v="5"/>
    <x v="2"/>
  </r>
  <r>
    <n v="45089"/>
    <x v="299"/>
    <x v="0"/>
    <x v="0"/>
    <x v="3"/>
    <s v="Acco Pressboard Covers with Storage Hooks, 14 7/8&quot; x 11&quot;, Executive Red"/>
    <x v="3366"/>
    <n v="2"/>
    <n v="-2.67"/>
    <x v="5"/>
    <x v="2"/>
  </r>
  <r>
    <n v="45090"/>
    <x v="90"/>
    <x v="14"/>
    <x v="2"/>
    <x v="6"/>
    <s v="Ooma Telo VoIP Home Phone System"/>
    <x v="883"/>
    <n v="3"/>
    <n v="94.49"/>
    <x v="5"/>
    <x v="2"/>
  </r>
  <r>
    <n v="45090"/>
    <x v="331"/>
    <x v="42"/>
    <x v="0"/>
    <x v="1"/>
    <s v="Avery 51"/>
    <x v="282"/>
    <n v="3"/>
    <n v="8.69"/>
    <x v="5"/>
    <x v="2"/>
  </r>
  <r>
    <n v="45090"/>
    <x v="217"/>
    <x v="20"/>
    <x v="0"/>
    <x v="3"/>
    <s v="Premium Transparent Presentation Covers by GBC"/>
    <x v="213"/>
    <n v="2"/>
    <n v="11.75"/>
    <x v="5"/>
    <x v="2"/>
  </r>
  <r>
    <n v="45091"/>
    <x v="298"/>
    <x v="3"/>
    <x v="0"/>
    <x v="4"/>
    <s v="Newell 326"/>
    <x v="2887"/>
    <n v="4"/>
    <n v="2.04"/>
    <x v="5"/>
    <x v="2"/>
  </r>
  <r>
    <n v="45091"/>
    <x v="298"/>
    <x v="3"/>
    <x v="1"/>
    <x v="8"/>
    <s v="GE General Purpose, Extra Long Life, Showcase &amp; Floodlight Incandescent Bulbs"/>
    <x v="3367"/>
    <n v="3"/>
    <n v="4.0999999999999996"/>
    <x v="5"/>
    <x v="2"/>
  </r>
  <r>
    <n v="45091"/>
    <x v="298"/>
    <x v="3"/>
    <x v="2"/>
    <x v="9"/>
    <s v="Logitech ClearChat Comfort/USB Headset H390"/>
    <x v="3368"/>
    <n v="1"/>
    <n v="9.67"/>
    <x v="5"/>
    <x v="2"/>
  </r>
  <r>
    <n v="45091"/>
    <x v="298"/>
    <x v="3"/>
    <x v="0"/>
    <x v="4"/>
    <s v="Newell 346"/>
    <x v="406"/>
    <n v="3"/>
    <n v="2.5099999999999998"/>
    <x v="5"/>
    <x v="2"/>
  </r>
  <r>
    <n v="45091"/>
    <x v="167"/>
    <x v="3"/>
    <x v="1"/>
    <x v="11"/>
    <s v="Bush Heritage Pine Collection 5-Shelf Bookcase, Albany Pine Finish, *Special Order"/>
    <x v="3369"/>
    <n v="5"/>
    <n v="35.25"/>
    <x v="5"/>
    <x v="2"/>
  </r>
  <r>
    <n v="45091"/>
    <x v="290"/>
    <x v="3"/>
    <x v="1"/>
    <x v="13"/>
    <s v="Bush Cubix Conference Tables, Fully Assembled"/>
    <x v="3370"/>
    <n v="7"/>
    <n v="80.84"/>
    <x v="5"/>
    <x v="2"/>
  </r>
  <r>
    <n v="45091"/>
    <x v="763"/>
    <x v="2"/>
    <x v="1"/>
    <x v="13"/>
    <s v="Global Adaptabilities Conference Tables"/>
    <x v="3371"/>
    <n v="2"/>
    <n v="-118.01"/>
    <x v="5"/>
    <x v="2"/>
  </r>
  <r>
    <n v="45091"/>
    <x v="98"/>
    <x v="16"/>
    <x v="0"/>
    <x v="3"/>
    <s v="GBC Twin Loop Wire Binding Elements"/>
    <x v="3372"/>
    <n v="4"/>
    <n v="-26.62"/>
    <x v="5"/>
    <x v="2"/>
  </r>
  <r>
    <n v="45091"/>
    <x v="98"/>
    <x v="16"/>
    <x v="2"/>
    <x v="9"/>
    <s v="Verbatim Slim CD and DVD Storage Cases, 50/Pack"/>
    <x v="1025"/>
    <n v="2"/>
    <n v="2.31"/>
    <x v="5"/>
    <x v="2"/>
  </r>
  <r>
    <n v="45091"/>
    <x v="278"/>
    <x v="22"/>
    <x v="1"/>
    <x v="13"/>
    <s v="Hon Non-Folding Utility Tables"/>
    <x v="3373"/>
    <n v="7"/>
    <n v="334.55"/>
    <x v="5"/>
    <x v="2"/>
  </r>
  <r>
    <n v="45092"/>
    <x v="462"/>
    <x v="0"/>
    <x v="0"/>
    <x v="0"/>
    <s v="Xerox 19"/>
    <x v="2027"/>
    <n v="7"/>
    <n v="54.22"/>
    <x v="5"/>
    <x v="2"/>
  </r>
  <r>
    <n v="45093"/>
    <x v="649"/>
    <x v="3"/>
    <x v="0"/>
    <x v="0"/>
    <s v="Wirebound Message Books, Four 2 3/4&quot; x 5&quot; Forms per Page, 600 Sets per Book"/>
    <x v="1301"/>
    <n v="5"/>
    <n v="21.78"/>
    <x v="5"/>
    <x v="2"/>
  </r>
  <r>
    <n v="45093"/>
    <x v="594"/>
    <x v="15"/>
    <x v="2"/>
    <x v="15"/>
    <s v="Penpower WorldCard Pro Card Scanner"/>
    <x v="3374"/>
    <n v="1"/>
    <n v="-1.83"/>
    <x v="5"/>
    <x v="2"/>
  </r>
  <r>
    <n v="45093"/>
    <x v="612"/>
    <x v="7"/>
    <x v="0"/>
    <x v="1"/>
    <s v="Avery 518"/>
    <x v="412"/>
    <n v="3"/>
    <n v="4.54"/>
    <x v="5"/>
    <x v="2"/>
  </r>
  <r>
    <n v="45094"/>
    <x v="764"/>
    <x v="20"/>
    <x v="0"/>
    <x v="2"/>
    <s v="Home/Office Personal File Carts"/>
    <x v="3375"/>
    <n v="6"/>
    <n v="52.14"/>
    <x v="5"/>
    <x v="2"/>
  </r>
  <r>
    <n v="45094"/>
    <x v="764"/>
    <x v="20"/>
    <x v="0"/>
    <x v="0"/>
    <s v="Xerox 232"/>
    <x v="331"/>
    <n v="5"/>
    <n v="15.55"/>
    <x v="5"/>
    <x v="2"/>
  </r>
  <r>
    <n v="45094"/>
    <x v="764"/>
    <x v="20"/>
    <x v="1"/>
    <x v="5"/>
    <s v="Novimex Turbo Task Chair"/>
    <x v="3376"/>
    <n v="5"/>
    <n v="7.1"/>
    <x v="5"/>
    <x v="2"/>
  </r>
  <r>
    <n v="45094"/>
    <x v="764"/>
    <x v="20"/>
    <x v="0"/>
    <x v="0"/>
    <s v="Array Parchment Paper, Assorted Colors"/>
    <x v="93"/>
    <n v="2"/>
    <n v="6.99"/>
    <x v="5"/>
    <x v="2"/>
  </r>
  <r>
    <n v="45094"/>
    <x v="764"/>
    <x v="20"/>
    <x v="2"/>
    <x v="9"/>
    <s v="ImationÂ 8gb Micro Traveldrive Usb 2.0Â Flash Drive"/>
    <x v="3158"/>
    <n v="2"/>
    <n v="3.3"/>
    <x v="5"/>
    <x v="2"/>
  </r>
  <r>
    <n v="45094"/>
    <x v="764"/>
    <x v="20"/>
    <x v="0"/>
    <x v="3"/>
    <s v="Plastic Binding Combs"/>
    <x v="3377"/>
    <n v="4"/>
    <n v="16.36"/>
    <x v="5"/>
    <x v="2"/>
  </r>
  <r>
    <n v="45094"/>
    <x v="764"/>
    <x v="20"/>
    <x v="0"/>
    <x v="4"/>
    <s v="Prang Dustless Chalk Sticks"/>
    <x v="3378"/>
    <n v="1"/>
    <n v="0.84"/>
    <x v="5"/>
    <x v="2"/>
  </r>
  <r>
    <n v="45094"/>
    <x v="466"/>
    <x v="3"/>
    <x v="0"/>
    <x v="0"/>
    <s v="Xerox 1934"/>
    <x v="2663"/>
    <n v="2"/>
    <n v="54.86"/>
    <x v="5"/>
    <x v="2"/>
  </r>
  <r>
    <n v="45094"/>
    <x v="667"/>
    <x v="20"/>
    <x v="0"/>
    <x v="2"/>
    <s v="Rogers Jumbo File, Granite"/>
    <x v="1854"/>
    <n v="3"/>
    <n v="0.41"/>
    <x v="5"/>
    <x v="2"/>
  </r>
  <r>
    <n v="45094"/>
    <x v="30"/>
    <x v="3"/>
    <x v="1"/>
    <x v="11"/>
    <s v="Bush Heritage Pine Collection 5-Shelf Bookcase, Albany Pine Finish, *Special Order"/>
    <x v="3379"/>
    <n v="2"/>
    <n v="14.1"/>
    <x v="5"/>
    <x v="2"/>
  </r>
  <r>
    <n v="45094"/>
    <x v="30"/>
    <x v="3"/>
    <x v="0"/>
    <x v="1"/>
    <s v="Avery 496"/>
    <x v="1356"/>
    <n v="6"/>
    <n v="10.8"/>
    <x v="5"/>
    <x v="2"/>
  </r>
  <r>
    <n v="45094"/>
    <x v="30"/>
    <x v="3"/>
    <x v="0"/>
    <x v="0"/>
    <s v="Xerox 1914"/>
    <x v="3380"/>
    <n v="4"/>
    <n v="107.72"/>
    <x v="5"/>
    <x v="2"/>
  </r>
  <r>
    <n v="45094"/>
    <x v="164"/>
    <x v="26"/>
    <x v="1"/>
    <x v="8"/>
    <s v="Rubbermaid ClusterMat Chairmats, Mat Size- 66&quot; x 60&quot;, Lip 20&quot; x 11&quot; -90 Degree Angle"/>
    <x v="2203"/>
    <n v="3"/>
    <n v="-13.32"/>
    <x v="5"/>
    <x v="2"/>
  </r>
  <r>
    <n v="45094"/>
    <x v="164"/>
    <x v="26"/>
    <x v="1"/>
    <x v="5"/>
    <s v="Global Manager's Adjustable Task Chair, Storm"/>
    <x v="3381"/>
    <n v="4"/>
    <n v="54.35"/>
    <x v="5"/>
    <x v="2"/>
  </r>
  <r>
    <n v="45094"/>
    <x v="85"/>
    <x v="37"/>
    <x v="0"/>
    <x v="3"/>
    <s v="Ibico Presentation Index for Binding Systems"/>
    <x v="109"/>
    <n v="2"/>
    <n v="3.74"/>
    <x v="5"/>
    <x v="2"/>
  </r>
  <r>
    <n v="45094"/>
    <x v="85"/>
    <x v="37"/>
    <x v="2"/>
    <x v="6"/>
    <s v="Wireless Extenders zBoost YX545 SOHO Signal Booster"/>
    <x v="3382"/>
    <n v="3"/>
    <n v="153.08000000000001"/>
    <x v="5"/>
    <x v="2"/>
  </r>
  <r>
    <n v="45094"/>
    <x v="85"/>
    <x v="37"/>
    <x v="0"/>
    <x v="4"/>
    <s v="Newell 35"/>
    <x v="1026"/>
    <n v="3"/>
    <n v="2.85"/>
    <x v="5"/>
    <x v="2"/>
  </r>
  <r>
    <n v="45094"/>
    <x v="491"/>
    <x v="20"/>
    <x v="1"/>
    <x v="13"/>
    <s v="Hon 2111 Invitation Series Corner Table"/>
    <x v="3383"/>
    <n v="3"/>
    <n v="-213.56"/>
    <x v="5"/>
    <x v="2"/>
  </r>
  <r>
    <n v="45095"/>
    <x v="239"/>
    <x v="1"/>
    <x v="0"/>
    <x v="0"/>
    <s v="Xerox 1937"/>
    <x v="3384"/>
    <n v="2"/>
    <n v="26.9"/>
    <x v="5"/>
    <x v="2"/>
  </r>
  <r>
    <n v="45095"/>
    <x v="660"/>
    <x v="2"/>
    <x v="0"/>
    <x v="0"/>
    <s v="Xerox 1900"/>
    <x v="966"/>
    <n v="2"/>
    <n v="2.14"/>
    <x v="5"/>
    <x v="2"/>
  </r>
  <r>
    <n v="45095"/>
    <x v="660"/>
    <x v="2"/>
    <x v="0"/>
    <x v="3"/>
    <s v="DXL Angle-View Binders with Locking Rings by Samsill"/>
    <x v="3385"/>
    <n v="2"/>
    <n v="-3.86"/>
    <x v="5"/>
    <x v="2"/>
  </r>
  <r>
    <n v="45095"/>
    <x v="660"/>
    <x v="2"/>
    <x v="0"/>
    <x v="12"/>
    <s v="Harmony Air Purifier"/>
    <x v="3386"/>
    <n v="3"/>
    <n v="90.72"/>
    <x v="5"/>
    <x v="2"/>
  </r>
  <r>
    <n v="45096"/>
    <x v="385"/>
    <x v="3"/>
    <x v="0"/>
    <x v="0"/>
    <s v="Message Book, Standard Line &quot;While You Were Out&quot;, 5 1/2&quot; X 4&quot;, 200 Sets/Book"/>
    <x v="2446"/>
    <n v="2"/>
    <n v="8.0500000000000007"/>
    <x v="5"/>
    <x v="2"/>
  </r>
  <r>
    <n v="45097"/>
    <x v="352"/>
    <x v="7"/>
    <x v="2"/>
    <x v="9"/>
    <s v="ImationÂ 8gb Micro Traveldrive Usb 2.0Â Flash Drive"/>
    <x v="706"/>
    <n v="3"/>
    <n v="4.95"/>
    <x v="5"/>
    <x v="2"/>
  </r>
  <r>
    <n v="45097"/>
    <x v="352"/>
    <x v="7"/>
    <x v="2"/>
    <x v="6"/>
    <s v="LF Elite 3D Dazzle Designer Hard Case Cover, Lf Stylus Pen and Wiper For Apple Iphone 5c Mini Lite"/>
    <x v="3387"/>
    <n v="2"/>
    <n v="6.1"/>
    <x v="5"/>
    <x v="2"/>
  </r>
  <r>
    <n v="45097"/>
    <x v="679"/>
    <x v="3"/>
    <x v="0"/>
    <x v="4"/>
    <s v="DIXON Oriole Pencils"/>
    <x v="2144"/>
    <n v="2"/>
    <n v="1.34"/>
    <x v="5"/>
    <x v="2"/>
  </r>
  <r>
    <n v="45097"/>
    <x v="679"/>
    <x v="3"/>
    <x v="0"/>
    <x v="0"/>
    <s v="Xerox 202"/>
    <x v="2167"/>
    <n v="6"/>
    <n v="18.66"/>
    <x v="5"/>
    <x v="2"/>
  </r>
  <r>
    <n v="45097"/>
    <x v="651"/>
    <x v="2"/>
    <x v="0"/>
    <x v="0"/>
    <s v="Wirebound Message Books, 2 7/8&quot; x 5&quot;, 3 Forms per Page"/>
    <x v="3388"/>
    <n v="8"/>
    <n v="15.21"/>
    <x v="5"/>
    <x v="2"/>
  </r>
  <r>
    <n v="45097"/>
    <x v="651"/>
    <x v="2"/>
    <x v="0"/>
    <x v="3"/>
    <s v="JM Magazine Binder"/>
    <x v="3389"/>
    <n v="6"/>
    <n v="-21.79"/>
    <x v="5"/>
    <x v="2"/>
  </r>
  <r>
    <n v="45097"/>
    <x v="651"/>
    <x v="2"/>
    <x v="0"/>
    <x v="0"/>
    <s v="Xerox 202"/>
    <x v="143"/>
    <n v="3"/>
    <n v="5.44"/>
    <x v="5"/>
    <x v="2"/>
  </r>
  <r>
    <n v="45097"/>
    <x v="651"/>
    <x v="2"/>
    <x v="0"/>
    <x v="12"/>
    <s v="Sanyo 2.5 Cubic Foot Mid-Size Office Refrigerators"/>
    <x v="3390"/>
    <n v="2"/>
    <n v="33.58"/>
    <x v="5"/>
    <x v="2"/>
  </r>
  <r>
    <n v="45097"/>
    <x v="554"/>
    <x v="3"/>
    <x v="0"/>
    <x v="0"/>
    <s v="Xerox 1898"/>
    <x v="3391"/>
    <n v="7"/>
    <n v="22.44"/>
    <x v="5"/>
    <x v="2"/>
  </r>
  <r>
    <n v="45097"/>
    <x v="554"/>
    <x v="3"/>
    <x v="0"/>
    <x v="3"/>
    <s v="GBC Plastic Binding Combs"/>
    <x v="3392"/>
    <n v="3"/>
    <n v="6.42"/>
    <x v="5"/>
    <x v="2"/>
  </r>
  <r>
    <n v="45097"/>
    <x v="554"/>
    <x v="3"/>
    <x v="0"/>
    <x v="12"/>
    <s v="Belkin 6 Outlet Metallic Surge Strip"/>
    <x v="3393"/>
    <n v="2"/>
    <n v="5.66"/>
    <x v="5"/>
    <x v="2"/>
  </r>
  <r>
    <n v="45097"/>
    <x v="554"/>
    <x v="3"/>
    <x v="0"/>
    <x v="2"/>
    <s v="Fellowes Bankers Box Recycled Super Stor/Drawer"/>
    <x v="583"/>
    <n v="3"/>
    <n v="9.7200000000000006"/>
    <x v="5"/>
    <x v="2"/>
  </r>
  <r>
    <n v="45097"/>
    <x v="554"/>
    <x v="3"/>
    <x v="1"/>
    <x v="5"/>
    <s v="Hon Valutask Swivel Chairs"/>
    <x v="1718"/>
    <n v="2"/>
    <n v="-8.08"/>
    <x v="5"/>
    <x v="2"/>
  </r>
  <r>
    <n v="45097"/>
    <x v="400"/>
    <x v="0"/>
    <x v="2"/>
    <x v="9"/>
    <s v="Logitech Trackman Marble Mouse"/>
    <x v="574"/>
    <n v="4"/>
    <n v="26.39"/>
    <x v="5"/>
    <x v="2"/>
  </r>
  <r>
    <n v="45097"/>
    <x v="400"/>
    <x v="0"/>
    <x v="0"/>
    <x v="0"/>
    <s v="Xerox 206"/>
    <x v="320"/>
    <n v="2"/>
    <n v="3.63"/>
    <x v="5"/>
    <x v="2"/>
  </r>
  <r>
    <n v="45097"/>
    <x v="183"/>
    <x v="39"/>
    <x v="2"/>
    <x v="9"/>
    <s v="ImationÂ 30456 USBÂ Flash DriveÂ 8GB"/>
    <x v="1837"/>
    <n v="1"/>
    <n v="0.55000000000000004"/>
    <x v="5"/>
    <x v="2"/>
  </r>
  <r>
    <n v="45097"/>
    <x v="183"/>
    <x v="39"/>
    <x v="1"/>
    <x v="8"/>
    <s v="Executive Impressions 13&quot; Clairmont Wall Clock"/>
    <x v="880"/>
    <n v="3"/>
    <n v="23.65"/>
    <x v="5"/>
    <x v="2"/>
  </r>
  <r>
    <n v="45098"/>
    <x v="423"/>
    <x v="20"/>
    <x v="0"/>
    <x v="3"/>
    <s v="SpineVue Locking Slant-D Ring Binders by Cardinal"/>
    <x v="3394"/>
    <n v="5"/>
    <n v="12.8"/>
    <x v="5"/>
    <x v="2"/>
  </r>
  <r>
    <n v="45098"/>
    <x v="423"/>
    <x v="20"/>
    <x v="0"/>
    <x v="3"/>
    <s v="Premium Transparent Presentation Covers, No Pattern/Clear, 8 1/2&quot; x 11&quot;"/>
    <x v="3395"/>
    <n v="6"/>
    <n v="60.5"/>
    <x v="5"/>
    <x v="2"/>
  </r>
  <r>
    <n v="45098"/>
    <x v="423"/>
    <x v="20"/>
    <x v="1"/>
    <x v="11"/>
    <s v="O'Sullivan Living Dimensions 5-Shelf Bookcases"/>
    <x v="516"/>
    <n v="2"/>
    <n v="-44.2"/>
    <x v="5"/>
    <x v="2"/>
  </r>
  <r>
    <n v="45098"/>
    <x v="590"/>
    <x v="1"/>
    <x v="0"/>
    <x v="3"/>
    <s v="Avery Durable Slant Ring Binders With Label Holder"/>
    <x v="3396"/>
    <n v="1"/>
    <n v="-1.34"/>
    <x v="5"/>
    <x v="2"/>
  </r>
  <r>
    <n v="45100"/>
    <x v="576"/>
    <x v="20"/>
    <x v="0"/>
    <x v="1"/>
    <s v="Avery 4027 File Folder Labels for Dot Matrix Printers, 5000 Labels per Box, White"/>
    <x v="3397"/>
    <n v="4"/>
    <n v="56.18"/>
    <x v="5"/>
    <x v="2"/>
  </r>
  <r>
    <n v="45100"/>
    <x v="576"/>
    <x v="20"/>
    <x v="0"/>
    <x v="1"/>
    <s v="Avery 52"/>
    <x v="3398"/>
    <n v="5"/>
    <n v="8.67"/>
    <x v="5"/>
    <x v="2"/>
  </r>
  <r>
    <n v="45100"/>
    <x v="576"/>
    <x v="20"/>
    <x v="0"/>
    <x v="2"/>
    <s v="Fellowes Bankers Box Staxonsteel Drawer File/Stacking System"/>
    <x v="3399"/>
    <n v="5"/>
    <n v="38.99"/>
    <x v="5"/>
    <x v="2"/>
  </r>
  <r>
    <n v="45100"/>
    <x v="576"/>
    <x v="20"/>
    <x v="0"/>
    <x v="0"/>
    <s v="Tops White Computer Printout Paper"/>
    <x v="1155"/>
    <n v="3"/>
    <n v="68.959999999999994"/>
    <x v="5"/>
    <x v="2"/>
  </r>
  <r>
    <n v="45100"/>
    <x v="576"/>
    <x v="20"/>
    <x v="0"/>
    <x v="7"/>
    <s v="Translucent Push Pins by OIC"/>
    <x v="2530"/>
    <n v="2"/>
    <n v="1.47"/>
    <x v="5"/>
    <x v="2"/>
  </r>
  <r>
    <n v="45100"/>
    <x v="585"/>
    <x v="20"/>
    <x v="0"/>
    <x v="14"/>
    <s v="Compact Automatic Electric Letter Opener"/>
    <x v="3400"/>
    <n v="7"/>
    <n v="16.7"/>
    <x v="5"/>
    <x v="2"/>
  </r>
  <r>
    <n v="45100"/>
    <x v="131"/>
    <x v="3"/>
    <x v="0"/>
    <x v="2"/>
    <s v="Mobile Personal File Cube"/>
    <x v="3401"/>
    <n v="4"/>
    <n v="25.29"/>
    <x v="5"/>
    <x v="2"/>
  </r>
  <r>
    <n v="45100"/>
    <x v="131"/>
    <x v="3"/>
    <x v="0"/>
    <x v="1"/>
    <s v="Avery 516"/>
    <x v="1888"/>
    <n v="3"/>
    <n v="10.31"/>
    <x v="5"/>
    <x v="2"/>
  </r>
  <r>
    <n v="45100"/>
    <x v="131"/>
    <x v="3"/>
    <x v="2"/>
    <x v="6"/>
    <s v="Nortel Meridian M3904 Professional Digital phone"/>
    <x v="3402"/>
    <n v="7"/>
    <n v="97.01"/>
    <x v="5"/>
    <x v="2"/>
  </r>
  <r>
    <n v="45100"/>
    <x v="131"/>
    <x v="3"/>
    <x v="0"/>
    <x v="0"/>
    <s v="Xerox 1884"/>
    <x v="381"/>
    <n v="1"/>
    <n v="9.39"/>
    <x v="5"/>
    <x v="2"/>
  </r>
  <r>
    <n v="45100"/>
    <x v="533"/>
    <x v="20"/>
    <x v="0"/>
    <x v="1"/>
    <s v="Avery 487"/>
    <x v="3403"/>
    <n v="7"/>
    <n v="12.14"/>
    <x v="5"/>
    <x v="2"/>
  </r>
  <r>
    <n v="45101"/>
    <x v="649"/>
    <x v="3"/>
    <x v="2"/>
    <x v="6"/>
    <s v="Macally Suction Cup Mount"/>
    <x v="3404"/>
    <n v="4"/>
    <n v="-9.56"/>
    <x v="5"/>
    <x v="2"/>
  </r>
  <r>
    <n v="45101"/>
    <x v="19"/>
    <x v="18"/>
    <x v="2"/>
    <x v="6"/>
    <s v="Panasonic KX TS208W Corded phone"/>
    <x v="3405"/>
    <n v="9"/>
    <n v="123.45"/>
    <x v="5"/>
    <x v="2"/>
  </r>
  <r>
    <n v="45101"/>
    <x v="526"/>
    <x v="0"/>
    <x v="0"/>
    <x v="12"/>
    <s v="Holmes HEPA Air Purifier"/>
    <x v="3406"/>
    <n v="2"/>
    <n v="-19.600000000000001"/>
    <x v="5"/>
    <x v="2"/>
  </r>
  <r>
    <n v="45101"/>
    <x v="655"/>
    <x v="3"/>
    <x v="2"/>
    <x v="15"/>
    <s v="Okidata MB760 Printer"/>
    <x v="3407"/>
    <n v="4"/>
    <n v="503.64"/>
    <x v="5"/>
    <x v="2"/>
  </r>
  <r>
    <n v="45101"/>
    <x v="655"/>
    <x v="3"/>
    <x v="0"/>
    <x v="0"/>
    <s v="Xerox 189"/>
    <x v="681"/>
    <n v="1"/>
    <n v="50.33"/>
    <x v="5"/>
    <x v="2"/>
  </r>
  <r>
    <n v="45101"/>
    <x v="655"/>
    <x v="3"/>
    <x v="0"/>
    <x v="12"/>
    <s v="APC 7 Outlet Network SurgeArrest Surge Protector"/>
    <x v="1332"/>
    <n v="3"/>
    <n v="72.430000000000007"/>
    <x v="5"/>
    <x v="2"/>
  </r>
  <r>
    <n v="45102"/>
    <x v="161"/>
    <x v="2"/>
    <x v="1"/>
    <x v="5"/>
    <s v="Global Leather Highback Executive Chair with Pneumatic Height Adjustment, Black"/>
    <x v="3408"/>
    <n v="3"/>
    <n v="-18.09"/>
    <x v="5"/>
    <x v="2"/>
  </r>
  <r>
    <n v="45102"/>
    <x v="161"/>
    <x v="2"/>
    <x v="0"/>
    <x v="3"/>
    <s v="GBC Wire Binding Strips"/>
    <x v="3409"/>
    <n v="4"/>
    <n v="-27.93"/>
    <x v="5"/>
    <x v="2"/>
  </r>
  <r>
    <n v="45102"/>
    <x v="161"/>
    <x v="2"/>
    <x v="0"/>
    <x v="2"/>
    <s v="Gould Plastics 9-Pocket Panel Bin, 18-3/8w x 5-1/4d x 20-1/2h, Black"/>
    <x v="2261"/>
    <n v="6"/>
    <n v="-50.87"/>
    <x v="5"/>
    <x v="2"/>
  </r>
  <r>
    <n v="45102"/>
    <x v="83"/>
    <x v="3"/>
    <x v="0"/>
    <x v="12"/>
    <s v="Fellowes Mighty 8 Compact Surge Protector"/>
    <x v="3410"/>
    <n v="3"/>
    <n v="17.03"/>
    <x v="5"/>
    <x v="2"/>
  </r>
  <r>
    <n v="45102"/>
    <x v="391"/>
    <x v="0"/>
    <x v="1"/>
    <x v="5"/>
    <s v="Global Value Mid-Back Manager's Chair, Gray"/>
    <x v="3411"/>
    <n v="2"/>
    <n v="-6.09"/>
    <x v="5"/>
    <x v="2"/>
  </r>
  <r>
    <n v="45102"/>
    <x v="391"/>
    <x v="0"/>
    <x v="1"/>
    <x v="8"/>
    <s v="Eldon Executive Woodline II Cherry Finish Desk Accessories"/>
    <x v="3412"/>
    <n v="2"/>
    <n v="-26.17"/>
    <x v="5"/>
    <x v="2"/>
  </r>
  <r>
    <n v="45103"/>
    <x v="130"/>
    <x v="20"/>
    <x v="0"/>
    <x v="4"/>
    <s v="Prang Colored Pencils"/>
    <x v="2742"/>
    <n v="5"/>
    <n v="6.62"/>
    <x v="5"/>
    <x v="2"/>
  </r>
  <r>
    <n v="45103"/>
    <x v="130"/>
    <x v="20"/>
    <x v="0"/>
    <x v="2"/>
    <s v="Fellowes Strictly Business Drawer File, Letter/Legal Size"/>
    <x v="1605"/>
    <n v="5"/>
    <n v="84.51"/>
    <x v="5"/>
    <x v="2"/>
  </r>
  <r>
    <n v="45103"/>
    <x v="344"/>
    <x v="43"/>
    <x v="0"/>
    <x v="2"/>
    <s v="Woodgrain Magazine Files by Perma"/>
    <x v="1119"/>
    <n v="5"/>
    <n v="1.04"/>
    <x v="5"/>
    <x v="2"/>
  </r>
  <r>
    <n v="45103"/>
    <x v="314"/>
    <x v="0"/>
    <x v="2"/>
    <x v="9"/>
    <s v="Memorex Mini Travel Drive 4 GB USB 2.0 Flash Drive"/>
    <x v="486"/>
    <n v="2"/>
    <n v="3.57"/>
    <x v="5"/>
    <x v="2"/>
  </r>
  <r>
    <n v="45103"/>
    <x v="416"/>
    <x v="3"/>
    <x v="1"/>
    <x v="8"/>
    <s v="Eldon Expressions Wood Desk Accessories, Oak"/>
    <x v="2701"/>
    <n v="3"/>
    <n v="6.42"/>
    <x v="5"/>
    <x v="2"/>
  </r>
  <r>
    <n v="45103"/>
    <x v="765"/>
    <x v="1"/>
    <x v="0"/>
    <x v="4"/>
    <s v="Newell 311"/>
    <x v="3413"/>
    <n v="3"/>
    <n v="0.46"/>
    <x v="5"/>
    <x v="2"/>
  </r>
  <r>
    <n v="45103"/>
    <x v="659"/>
    <x v="14"/>
    <x v="0"/>
    <x v="0"/>
    <s v="White Dual Perf Computer Printout Paper, 2700 Sheets, 1 Part, Heavyweight, 20 lbs., 14 7/8 x 11"/>
    <x v="2741"/>
    <n v="9"/>
    <n v="180.77"/>
    <x v="5"/>
    <x v="2"/>
  </r>
  <r>
    <n v="45103"/>
    <x v="659"/>
    <x v="14"/>
    <x v="0"/>
    <x v="3"/>
    <s v="Insertable Tab Post Binder Dividers"/>
    <x v="202"/>
    <n v="1"/>
    <n v="3.77"/>
    <x v="5"/>
    <x v="2"/>
  </r>
  <r>
    <n v="45103"/>
    <x v="659"/>
    <x v="14"/>
    <x v="0"/>
    <x v="2"/>
    <s v="SAFCO Mobile Desk Side File, Wire Frame"/>
    <x v="3414"/>
    <n v="4"/>
    <n v="44.47"/>
    <x v="5"/>
    <x v="2"/>
  </r>
  <r>
    <n v="45103"/>
    <x v="512"/>
    <x v="3"/>
    <x v="0"/>
    <x v="14"/>
    <s v="Premier Electric Letter Opener"/>
    <x v="3415"/>
    <n v="2"/>
    <n v="11.59"/>
    <x v="5"/>
    <x v="2"/>
  </r>
  <r>
    <n v="45103"/>
    <x v="512"/>
    <x v="3"/>
    <x v="0"/>
    <x v="7"/>
    <s v="OIC Binder Clips"/>
    <x v="558"/>
    <n v="5"/>
    <n v="8.9499999999999993"/>
    <x v="5"/>
    <x v="2"/>
  </r>
  <r>
    <n v="45103"/>
    <x v="512"/>
    <x v="3"/>
    <x v="0"/>
    <x v="0"/>
    <s v="Ampad Phone Message Book, Recycled, 400 Message Capacity, 5 Â¾Â” x 11Â”"/>
    <x v="3416"/>
    <n v="2"/>
    <n v="5.62"/>
    <x v="5"/>
    <x v="2"/>
  </r>
  <r>
    <n v="45103"/>
    <x v="379"/>
    <x v="20"/>
    <x v="2"/>
    <x v="9"/>
    <s v="AmazonBasics 3-Button USB Wired Mouse"/>
    <x v="3417"/>
    <n v="3"/>
    <n v="9.02"/>
    <x v="5"/>
    <x v="2"/>
  </r>
  <r>
    <n v="45103"/>
    <x v="379"/>
    <x v="20"/>
    <x v="2"/>
    <x v="9"/>
    <s v="Perixx PERIBOARD-512B, Ergonomic Split Keyboard"/>
    <x v="3418"/>
    <n v="4"/>
    <n v="9.8000000000000007"/>
    <x v="5"/>
    <x v="2"/>
  </r>
  <r>
    <n v="45103"/>
    <x v="379"/>
    <x v="20"/>
    <x v="1"/>
    <x v="8"/>
    <s v="DAX Executive Solid Wood Document Frame, Desktop or Hang, Mahogany, 5 x 7"/>
    <x v="3419"/>
    <n v="3"/>
    <n v="12.83"/>
    <x v="5"/>
    <x v="2"/>
  </r>
  <r>
    <n v="45103"/>
    <x v="766"/>
    <x v="4"/>
    <x v="2"/>
    <x v="6"/>
    <s v="Cisco IPÂ PhoneÂ 7961G VoIPÂ phoneÂ - Dark gray"/>
    <x v="3420"/>
    <n v="1"/>
    <n v="39.43"/>
    <x v="5"/>
    <x v="2"/>
  </r>
  <r>
    <n v="45104"/>
    <x v="121"/>
    <x v="1"/>
    <x v="0"/>
    <x v="0"/>
    <s v="Wirebound Message Books, Four 2 3/4 x 5 White Forms per Page"/>
    <x v="3421"/>
    <n v="7"/>
    <n v="12.18"/>
    <x v="5"/>
    <x v="2"/>
  </r>
  <r>
    <n v="45104"/>
    <x v="121"/>
    <x v="1"/>
    <x v="1"/>
    <x v="5"/>
    <s v="Global Commerce Series Low-Back Swivel/Tilt Chairs"/>
    <x v="3422"/>
    <n v="3"/>
    <n v="-7.71"/>
    <x v="5"/>
    <x v="2"/>
  </r>
  <r>
    <n v="45104"/>
    <x v="461"/>
    <x v="3"/>
    <x v="2"/>
    <x v="6"/>
    <s v="Ooma Telo VoIP Home Phone System"/>
    <x v="472"/>
    <n v="2"/>
    <n v="12.6"/>
    <x v="5"/>
    <x v="2"/>
  </r>
  <r>
    <n v="45105"/>
    <x v="334"/>
    <x v="1"/>
    <x v="2"/>
    <x v="6"/>
    <s v="Polycom CX300 Desktop Phone USB VoIP phone"/>
    <x v="671"/>
    <n v="3"/>
    <n v="36"/>
    <x v="5"/>
    <x v="2"/>
  </r>
  <r>
    <n v="45105"/>
    <x v="10"/>
    <x v="3"/>
    <x v="0"/>
    <x v="3"/>
    <s v="Recycled Pressboard Report Cover with Reinforced Top Hinge"/>
    <x v="1126"/>
    <n v="3"/>
    <n v="2.81"/>
    <x v="5"/>
    <x v="2"/>
  </r>
  <r>
    <n v="45105"/>
    <x v="10"/>
    <x v="3"/>
    <x v="0"/>
    <x v="3"/>
    <s v="GBC Premium Transparent Covers with Diagonal Lined Pattern"/>
    <x v="213"/>
    <n v="2"/>
    <n v="11.75"/>
    <x v="5"/>
    <x v="2"/>
  </r>
  <r>
    <n v="45105"/>
    <x v="652"/>
    <x v="23"/>
    <x v="1"/>
    <x v="5"/>
    <s v="Global Armless Task Chair, Royal Blue"/>
    <x v="2428"/>
    <n v="2"/>
    <n v="20.73"/>
    <x v="5"/>
    <x v="2"/>
  </r>
  <r>
    <n v="45105"/>
    <x v="652"/>
    <x v="23"/>
    <x v="0"/>
    <x v="12"/>
    <s v="Disposable Triple-Filter Dust Bags"/>
    <x v="1615"/>
    <n v="2"/>
    <n v="2.27"/>
    <x v="5"/>
    <x v="2"/>
  </r>
  <r>
    <n v="45105"/>
    <x v="652"/>
    <x v="23"/>
    <x v="0"/>
    <x v="0"/>
    <s v="Xerox 1960"/>
    <x v="32"/>
    <n v="2"/>
    <n v="27.88"/>
    <x v="5"/>
    <x v="2"/>
  </r>
  <r>
    <n v="45105"/>
    <x v="652"/>
    <x v="23"/>
    <x v="0"/>
    <x v="3"/>
    <s v="Ibico Presentation Index for Binding Systems"/>
    <x v="109"/>
    <n v="2"/>
    <n v="3.74"/>
    <x v="5"/>
    <x v="2"/>
  </r>
  <r>
    <n v="45105"/>
    <x v="652"/>
    <x v="23"/>
    <x v="0"/>
    <x v="12"/>
    <s v="Holmes Replacement Filter for HEPA Air Cleaner, Very Large Room, HEPA Filter"/>
    <x v="3423"/>
    <n v="4"/>
    <n v="121.11"/>
    <x v="5"/>
    <x v="2"/>
  </r>
  <r>
    <n v="45106"/>
    <x v="261"/>
    <x v="9"/>
    <x v="0"/>
    <x v="2"/>
    <s v="Fellowes Bankers Box Stor/Drawer Steel Plus"/>
    <x v="1593"/>
    <n v="6"/>
    <n v="19.190000000000001"/>
    <x v="5"/>
    <x v="2"/>
  </r>
  <r>
    <n v="45107"/>
    <x v="413"/>
    <x v="4"/>
    <x v="0"/>
    <x v="4"/>
    <s v="Bulldog Vacuum Base Pencil Sharpener"/>
    <x v="3424"/>
    <n v="3"/>
    <n v="9.7100000000000009"/>
    <x v="5"/>
    <x v="2"/>
  </r>
  <r>
    <n v="45107"/>
    <x v="413"/>
    <x v="4"/>
    <x v="1"/>
    <x v="11"/>
    <s v="O'Sullivan 2-Door Barrister Bookcase in Odessa Pine"/>
    <x v="3425"/>
    <n v="7"/>
    <n v="291.38"/>
    <x v="5"/>
    <x v="2"/>
  </r>
  <r>
    <n v="45107"/>
    <x v="303"/>
    <x v="1"/>
    <x v="2"/>
    <x v="9"/>
    <s v="Kingston Digital DataTraveler 16GB USB 2.0"/>
    <x v="1815"/>
    <n v="7"/>
    <n v="-0.63"/>
    <x v="5"/>
    <x v="2"/>
  </r>
  <r>
    <n v="45108"/>
    <x v="705"/>
    <x v="9"/>
    <x v="0"/>
    <x v="3"/>
    <s v="Wilson Jones Hanging View Binder, White, 1&quot;"/>
    <x v="3426"/>
    <n v="2"/>
    <n v="6.53"/>
    <x v="6"/>
    <x v="2"/>
  </r>
  <r>
    <n v="45108"/>
    <x v="705"/>
    <x v="9"/>
    <x v="0"/>
    <x v="0"/>
    <s v="Xerox 210"/>
    <x v="115"/>
    <n v="2"/>
    <n v="6.22"/>
    <x v="6"/>
    <x v="2"/>
  </r>
  <r>
    <n v="45108"/>
    <x v="705"/>
    <x v="9"/>
    <x v="0"/>
    <x v="3"/>
    <s v="Binding Machine Supplies"/>
    <x v="3427"/>
    <n v="2"/>
    <n v="28"/>
    <x v="6"/>
    <x v="2"/>
  </r>
  <r>
    <n v="45108"/>
    <x v="306"/>
    <x v="27"/>
    <x v="2"/>
    <x v="16"/>
    <s v="Hewlett Packard 310 Color Digital Copier"/>
    <x v="3428"/>
    <n v="5"/>
    <n v="449.99"/>
    <x v="6"/>
    <x v="2"/>
  </r>
  <r>
    <n v="45108"/>
    <x v="720"/>
    <x v="20"/>
    <x v="0"/>
    <x v="1"/>
    <s v="Avery 477"/>
    <x v="3268"/>
    <n v="1"/>
    <n v="14.04"/>
    <x v="6"/>
    <x v="2"/>
  </r>
  <r>
    <n v="45108"/>
    <x v="720"/>
    <x v="20"/>
    <x v="2"/>
    <x v="9"/>
    <s v="KeyTronicÂ KT400U2 -Â KeyboardÂ - Black"/>
    <x v="2511"/>
    <n v="3"/>
    <n v="6.17"/>
    <x v="6"/>
    <x v="2"/>
  </r>
  <r>
    <n v="45108"/>
    <x v="720"/>
    <x v="20"/>
    <x v="0"/>
    <x v="0"/>
    <s v="Southworth 25% Cotton Antique Laid Paper &amp; Envelopes"/>
    <x v="3429"/>
    <n v="9"/>
    <n v="33.78"/>
    <x v="6"/>
    <x v="2"/>
  </r>
  <r>
    <n v="45108"/>
    <x v="327"/>
    <x v="22"/>
    <x v="0"/>
    <x v="3"/>
    <s v="Zipper Ring Binder Pockets"/>
    <x v="359"/>
    <n v="1"/>
    <n v="0.9"/>
    <x v="6"/>
    <x v="2"/>
  </r>
  <r>
    <n v="45109"/>
    <x v="169"/>
    <x v="3"/>
    <x v="1"/>
    <x v="5"/>
    <s v="Hon Deluxe Fabric Upholstered Stacking Chairs"/>
    <x v="3430"/>
    <n v="1"/>
    <n v="19.52"/>
    <x v="6"/>
    <x v="2"/>
  </r>
  <r>
    <n v="45109"/>
    <x v="175"/>
    <x v="6"/>
    <x v="0"/>
    <x v="4"/>
    <s v="Avery Hi-Liter Pen Style Six-Color Fluorescent Set"/>
    <x v="3431"/>
    <n v="2"/>
    <n v="3.16"/>
    <x v="6"/>
    <x v="2"/>
  </r>
  <r>
    <n v="45109"/>
    <x v="400"/>
    <x v="0"/>
    <x v="1"/>
    <x v="5"/>
    <s v="Global Airflow Leather Mesh Back Chair, Black"/>
    <x v="3108"/>
    <n v="5"/>
    <n v="0"/>
    <x v="6"/>
    <x v="2"/>
  </r>
  <r>
    <n v="45109"/>
    <x v="400"/>
    <x v="0"/>
    <x v="0"/>
    <x v="0"/>
    <s v="Xerox 201"/>
    <x v="598"/>
    <n v="8"/>
    <n v="14.52"/>
    <x v="6"/>
    <x v="2"/>
  </r>
  <r>
    <n v="45110"/>
    <x v="606"/>
    <x v="3"/>
    <x v="0"/>
    <x v="0"/>
    <s v="Xerox 200"/>
    <x v="115"/>
    <n v="2"/>
    <n v="6.22"/>
    <x v="6"/>
    <x v="2"/>
  </r>
  <r>
    <n v="45110"/>
    <x v="606"/>
    <x v="3"/>
    <x v="0"/>
    <x v="7"/>
    <s v="Brites Rubber Bands, 1 1/2 oz. Box"/>
    <x v="2530"/>
    <n v="2"/>
    <n v="0.08"/>
    <x v="6"/>
    <x v="2"/>
  </r>
  <r>
    <n v="45110"/>
    <x v="78"/>
    <x v="20"/>
    <x v="0"/>
    <x v="12"/>
    <s v="Avanti 1.7 Cu. Ft. Refrigerator"/>
    <x v="3432"/>
    <n v="7"/>
    <n v="197.92"/>
    <x v="6"/>
    <x v="2"/>
  </r>
  <r>
    <n v="45110"/>
    <x v="76"/>
    <x v="2"/>
    <x v="0"/>
    <x v="0"/>
    <s v="Xerox 1925"/>
    <x v="1099"/>
    <n v="5"/>
    <n v="38.729999999999997"/>
    <x v="6"/>
    <x v="2"/>
  </r>
  <r>
    <n v="45111"/>
    <x v="266"/>
    <x v="3"/>
    <x v="1"/>
    <x v="8"/>
    <s v="Master Caster Door Stop, Brown"/>
    <x v="3433"/>
    <n v="5"/>
    <n v="8.64"/>
    <x v="6"/>
    <x v="2"/>
  </r>
  <r>
    <n v="45111"/>
    <x v="266"/>
    <x v="3"/>
    <x v="0"/>
    <x v="10"/>
    <s v="Inter-Office Recycled Envelopes, Brown Kraft, Button-String,10&quot; x 13&quot; , 100/Box"/>
    <x v="3434"/>
    <n v="2"/>
    <n v="20.66"/>
    <x v="6"/>
    <x v="2"/>
  </r>
  <r>
    <n v="45111"/>
    <x v="266"/>
    <x v="3"/>
    <x v="1"/>
    <x v="11"/>
    <s v="Atlantic Metals Mobile 5-Shelf Bookcases, Custom Colors"/>
    <x v="3435"/>
    <n v="5"/>
    <n v="225.74"/>
    <x v="6"/>
    <x v="2"/>
  </r>
  <r>
    <n v="45111"/>
    <x v="266"/>
    <x v="3"/>
    <x v="0"/>
    <x v="2"/>
    <s v="Eldon Shelf Savers Cubes and Bins"/>
    <x v="1792"/>
    <n v="4"/>
    <n v="0.56000000000000005"/>
    <x v="6"/>
    <x v="2"/>
  </r>
  <r>
    <n v="45111"/>
    <x v="81"/>
    <x v="22"/>
    <x v="1"/>
    <x v="8"/>
    <s v="Master Caster Door Stop, Brown"/>
    <x v="3433"/>
    <n v="5"/>
    <n v="8.64"/>
    <x v="6"/>
    <x v="2"/>
  </r>
  <r>
    <n v="45111"/>
    <x v="81"/>
    <x v="22"/>
    <x v="2"/>
    <x v="6"/>
    <s v="Avaya 4621SW VoIP phone"/>
    <x v="2779"/>
    <n v="3"/>
    <n v="19.97"/>
    <x v="6"/>
    <x v="2"/>
  </r>
  <r>
    <n v="45111"/>
    <x v="81"/>
    <x v="22"/>
    <x v="2"/>
    <x v="6"/>
    <s v="OtterBox Defender Series Case - Samsung Galaxy S4"/>
    <x v="1553"/>
    <n v="3"/>
    <n v="9"/>
    <x v="6"/>
    <x v="2"/>
  </r>
  <r>
    <n v="45114"/>
    <x v="571"/>
    <x v="16"/>
    <x v="0"/>
    <x v="14"/>
    <s v="Acme Softgrip Scissors"/>
    <x v="2420"/>
    <n v="7"/>
    <n v="5.13"/>
    <x v="6"/>
    <x v="2"/>
  </r>
  <r>
    <n v="45114"/>
    <x v="195"/>
    <x v="3"/>
    <x v="1"/>
    <x v="8"/>
    <s v="Howard Miller 11-1/2&quot; Diameter Grantwood Wall Clock"/>
    <x v="3436"/>
    <n v="5"/>
    <n v="73.319999999999993"/>
    <x v="6"/>
    <x v="2"/>
  </r>
  <r>
    <n v="45114"/>
    <x v="45"/>
    <x v="1"/>
    <x v="1"/>
    <x v="8"/>
    <s v="Flat Face Poster Frame"/>
    <x v="3437"/>
    <n v="8"/>
    <n v="-27.13"/>
    <x v="6"/>
    <x v="2"/>
  </r>
  <r>
    <n v="45114"/>
    <x v="45"/>
    <x v="1"/>
    <x v="0"/>
    <x v="7"/>
    <s v="Acco Hot Clips Clips to Go"/>
    <x v="3438"/>
    <n v="1"/>
    <n v="0.82"/>
    <x v="6"/>
    <x v="2"/>
  </r>
  <r>
    <n v="45114"/>
    <x v="45"/>
    <x v="1"/>
    <x v="0"/>
    <x v="0"/>
    <s v="Tops Wirebound Message Log Books"/>
    <x v="3439"/>
    <n v="9"/>
    <n v="7.7"/>
    <x v="6"/>
    <x v="2"/>
  </r>
  <r>
    <n v="45114"/>
    <x v="45"/>
    <x v="1"/>
    <x v="1"/>
    <x v="5"/>
    <s v="Global Ergonomic Managers Chair"/>
    <x v="3440"/>
    <n v="2"/>
    <n v="-14.48"/>
    <x v="6"/>
    <x v="2"/>
  </r>
  <r>
    <n v="45114"/>
    <x v="757"/>
    <x v="3"/>
    <x v="1"/>
    <x v="5"/>
    <s v="Global Leather Task Chair, Black"/>
    <x v="341"/>
    <n v="4"/>
    <n v="-3.6"/>
    <x v="6"/>
    <x v="2"/>
  </r>
  <r>
    <n v="45114"/>
    <x v="757"/>
    <x v="3"/>
    <x v="2"/>
    <x v="16"/>
    <s v="Canon PC1060 Personal Laser Copier"/>
    <x v="962"/>
    <n v="5"/>
    <n v="944.99"/>
    <x v="6"/>
    <x v="2"/>
  </r>
  <r>
    <n v="45114"/>
    <x v="757"/>
    <x v="3"/>
    <x v="0"/>
    <x v="0"/>
    <s v="Xerox 1942"/>
    <x v="732"/>
    <n v="1"/>
    <n v="24.47"/>
    <x v="6"/>
    <x v="2"/>
  </r>
  <r>
    <n v="45114"/>
    <x v="570"/>
    <x v="2"/>
    <x v="0"/>
    <x v="1"/>
    <s v="Permanent Self-Adhesive File Folder Labels for Typewriters, 1 1/8 x 3 1/2, White"/>
    <x v="3058"/>
    <n v="2"/>
    <n v="3.28"/>
    <x v="6"/>
    <x v="2"/>
  </r>
  <r>
    <n v="45114"/>
    <x v="570"/>
    <x v="2"/>
    <x v="2"/>
    <x v="6"/>
    <s v="Panasonic KX T7731-B Digital phone"/>
    <x v="2566"/>
    <n v="1"/>
    <n v="-13"/>
    <x v="6"/>
    <x v="2"/>
  </r>
  <r>
    <n v="45114"/>
    <x v="570"/>
    <x v="2"/>
    <x v="0"/>
    <x v="3"/>
    <s v="Acco Pressboard Covers with Storage Hooks, 14 7/8&quot; x 11&quot;, Executive Red"/>
    <x v="3441"/>
    <n v="5"/>
    <n v="-4.76"/>
    <x v="6"/>
    <x v="2"/>
  </r>
  <r>
    <n v="45114"/>
    <x v="570"/>
    <x v="2"/>
    <x v="0"/>
    <x v="3"/>
    <s v="GBC Standard Plastic Binding Systems' Combs"/>
    <x v="395"/>
    <n v="5"/>
    <n v="-7.85"/>
    <x v="6"/>
    <x v="2"/>
  </r>
  <r>
    <n v="45114"/>
    <x v="655"/>
    <x v="27"/>
    <x v="0"/>
    <x v="0"/>
    <s v="Xerox 226"/>
    <x v="115"/>
    <n v="2"/>
    <n v="6.22"/>
    <x v="6"/>
    <x v="2"/>
  </r>
  <r>
    <n v="45114"/>
    <x v="655"/>
    <x v="27"/>
    <x v="0"/>
    <x v="4"/>
    <s v="Boston KS Multi-Size Manual Pencil Sharpener"/>
    <x v="758"/>
    <n v="2"/>
    <n v="12.87"/>
    <x v="6"/>
    <x v="2"/>
  </r>
  <r>
    <n v="45115"/>
    <x v="759"/>
    <x v="0"/>
    <x v="2"/>
    <x v="6"/>
    <s v="Cisco SPA 502G IP Phone"/>
    <x v="3442"/>
    <n v="9"/>
    <n v="107.96"/>
    <x v="6"/>
    <x v="2"/>
  </r>
  <r>
    <n v="45115"/>
    <x v="759"/>
    <x v="0"/>
    <x v="0"/>
    <x v="4"/>
    <s v="Newell 345"/>
    <x v="2959"/>
    <n v="3"/>
    <n v="3.57"/>
    <x v="6"/>
    <x v="2"/>
  </r>
  <r>
    <n v="45115"/>
    <x v="364"/>
    <x v="26"/>
    <x v="0"/>
    <x v="3"/>
    <s v="GBC Twin Loop Wire Binding Elements"/>
    <x v="3443"/>
    <n v="2"/>
    <n v="-13.31"/>
    <x v="6"/>
    <x v="2"/>
  </r>
  <r>
    <n v="45115"/>
    <x v="364"/>
    <x v="26"/>
    <x v="0"/>
    <x v="2"/>
    <s v="Perma STOR-ALL Hanging File Box, 13 1/8&quot;W x 12 1/4&quot;D x 10 1/2&quot;H"/>
    <x v="278"/>
    <n v="7"/>
    <n v="-1.26"/>
    <x v="6"/>
    <x v="2"/>
  </r>
  <r>
    <n v="45115"/>
    <x v="364"/>
    <x v="26"/>
    <x v="0"/>
    <x v="3"/>
    <s v="Wilson Jones Active Use Binders"/>
    <x v="1615"/>
    <n v="4"/>
    <n v="-6.12"/>
    <x v="6"/>
    <x v="2"/>
  </r>
  <r>
    <n v="45115"/>
    <x v="364"/>
    <x v="26"/>
    <x v="1"/>
    <x v="5"/>
    <s v="SAFCO Arco Folding Chair"/>
    <x v="1543"/>
    <n v="3"/>
    <n v="74.569999999999993"/>
    <x v="6"/>
    <x v="2"/>
  </r>
  <r>
    <n v="45115"/>
    <x v="393"/>
    <x v="22"/>
    <x v="2"/>
    <x v="6"/>
    <s v="Logitech Mobile Speakerphone P710e -Â speaker phone"/>
    <x v="1693"/>
    <n v="1"/>
    <n v="9.4499999999999993"/>
    <x v="6"/>
    <x v="2"/>
  </r>
  <r>
    <n v="45115"/>
    <x v="393"/>
    <x v="22"/>
    <x v="0"/>
    <x v="3"/>
    <s v="Fellowes Twister Kit, Gray/Clear, 3/pkg"/>
    <x v="50"/>
    <n v="3"/>
    <n v="6.03"/>
    <x v="6"/>
    <x v="2"/>
  </r>
  <r>
    <n v="45115"/>
    <x v="368"/>
    <x v="16"/>
    <x v="2"/>
    <x v="6"/>
    <s v="Jabra SPEAK 410 Multidevice Speakerphone"/>
    <x v="3444"/>
    <n v="5"/>
    <n v="51.5"/>
    <x v="6"/>
    <x v="2"/>
  </r>
  <r>
    <n v="45115"/>
    <x v="368"/>
    <x v="16"/>
    <x v="0"/>
    <x v="0"/>
    <s v="Xerox 1921"/>
    <x v="1721"/>
    <n v="2"/>
    <n v="5"/>
    <x v="6"/>
    <x v="2"/>
  </r>
  <r>
    <n v="45115"/>
    <x v="424"/>
    <x v="43"/>
    <x v="0"/>
    <x v="0"/>
    <s v="Xerox 213"/>
    <x v="115"/>
    <n v="2"/>
    <n v="6.22"/>
    <x v="6"/>
    <x v="2"/>
  </r>
  <r>
    <n v="45116"/>
    <x v="104"/>
    <x v="20"/>
    <x v="1"/>
    <x v="5"/>
    <s v="Hon GuestStacker Chair"/>
    <x v="3445"/>
    <n v="2"/>
    <n v="72.53"/>
    <x v="6"/>
    <x v="2"/>
  </r>
  <r>
    <n v="45116"/>
    <x v="104"/>
    <x v="20"/>
    <x v="1"/>
    <x v="8"/>
    <s v="Deflect-o EconoMat Studded, No Bevel Mat for Low Pile Carpeting"/>
    <x v="3446"/>
    <n v="4"/>
    <n v="14.88"/>
    <x v="6"/>
    <x v="2"/>
  </r>
  <r>
    <n v="45117"/>
    <x v="158"/>
    <x v="12"/>
    <x v="0"/>
    <x v="2"/>
    <s v="Sterilite Officeware Hinged File Box"/>
    <x v="3447"/>
    <n v="2"/>
    <n v="1.47"/>
    <x v="6"/>
    <x v="2"/>
  </r>
  <r>
    <n v="45117"/>
    <x v="564"/>
    <x v="0"/>
    <x v="0"/>
    <x v="2"/>
    <s v="Fellowes Strictly Business Drawer File, Letter/Legal Size"/>
    <x v="3448"/>
    <n v="3"/>
    <n v="-33.799999999999997"/>
    <x v="6"/>
    <x v="2"/>
  </r>
  <r>
    <n v="45117"/>
    <x v="564"/>
    <x v="0"/>
    <x v="0"/>
    <x v="4"/>
    <s v="Boston Heavy-Duty Trimline Electric Pencil Sharpeners"/>
    <x v="3449"/>
    <n v="4"/>
    <n v="17.350000000000001"/>
    <x v="6"/>
    <x v="2"/>
  </r>
  <r>
    <n v="45117"/>
    <x v="327"/>
    <x v="12"/>
    <x v="0"/>
    <x v="3"/>
    <s v="GBC Standard Therm-A-Bind Covers"/>
    <x v="3450"/>
    <n v="6"/>
    <n v="-35.880000000000003"/>
    <x v="6"/>
    <x v="2"/>
  </r>
  <r>
    <n v="45117"/>
    <x v="400"/>
    <x v="2"/>
    <x v="2"/>
    <x v="15"/>
    <s v="Brother MFC-9340CDW LED All-In-One Printer, Copier Scanner"/>
    <x v="3451"/>
    <n v="3"/>
    <n v="-319.19"/>
    <x v="6"/>
    <x v="2"/>
  </r>
  <r>
    <n v="45119"/>
    <x v="94"/>
    <x v="3"/>
    <x v="2"/>
    <x v="6"/>
    <s v="Cisco SPA525G2 IP Phone - Wireless"/>
    <x v="3452"/>
    <n v="6"/>
    <n v="7.18"/>
    <x v="6"/>
    <x v="2"/>
  </r>
  <r>
    <n v="45121"/>
    <x v="442"/>
    <x v="12"/>
    <x v="2"/>
    <x v="6"/>
    <s v="LG Electronics Tone+ HBS-730 Bluetooth Headset"/>
    <x v="3453"/>
    <n v="8"/>
    <n v="38.090000000000003"/>
    <x v="6"/>
    <x v="2"/>
  </r>
  <r>
    <n v="45121"/>
    <x v="633"/>
    <x v="2"/>
    <x v="0"/>
    <x v="14"/>
    <s v="Acme Stainless Steel Office Snips"/>
    <x v="3454"/>
    <n v="2"/>
    <n v="1.02"/>
    <x v="6"/>
    <x v="2"/>
  </r>
  <r>
    <n v="45121"/>
    <x v="490"/>
    <x v="20"/>
    <x v="0"/>
    <x v="2"/>
    <s v="Personal Folder Holder, Ebony"/>
    <x v="1737"/>
    <n v="1"/>
    <n v="3.36"/>
    <x v="6"/>
    <x v="2"/>
  </r>
  <r>
    <n v="45121"/>
    <x v="490"/>
    <x v="20"/>
    <x v="0"/>
    <x v="3"/>
    <s v="Acco Hanging Data Binders"/>
    <x v="1876"/>
    <n v="3"/>
    <n v="3.2"/>
    <x v="6"/>
    <x v="2"/>
  </r>
  <r>
    <n v="45121"/>
    <x v="490"/>
    <x v="20"/>
    <x v="0"/>
    <x v="7"/>
    <s v="Ideal Clamps"/>
    <x v="3455"/>
    <n v="7"/>
    <n v="6.89"/>
    <x v="6"/>
    <x v="2"/>
  </r>
  <r>
    <n v="45121"/>
    <x v="490"/>
    <x v="20"/>
    <x v="0"/>
    <x v="4"/>
    <s v="Newell 315"/>
    <x v="2821"/>
    <n v="7"/>
    <n v="10.47"/>
    <x v="6"/>
    <x v="2"/>
  </r>
  <r>
    <n v="45121"/>
    <x v="490"/>
    <x v="20"/>
    <x v="0"/>
    <x v="3"/>
    <s v="Pressboard Data Binders by Wilson Jones"/>
    <x v="1009"/>
    <n v="2"/>
    <n v="2.88"/>
    <x v="6"/>
    <x v="2"/>
  </r>
  <r>
    <n v="45121"/>
    <x v="490"/>
    <x v="20"/>
    <x v="1"/>
    <x v="11"/>
    <s v="O'Sullivan 2-Door Barrister Bookcase in Odessa Pine"/>
    <x v="3456"/>
    <n v="4"/>
    <n v="21.72"/>
    <x v="6"/>
    <x v="2"/>
  </r>
  <r>
    <n v="45121"/>
    <x v="240"/>
    <x v="0"/>
    <x v="2"/>
    <x v="6"/>
    <s v="Blue Parrot B250XT Professional Grade Wireless BluetoothÂ HeadsetÂ with"/>
    <x v="3457"/>
    <n v="7"/>
    <n v="52.49"/>
    <x v="6"/>
    <x v="2"/>
  </r>
  <r>
    <n v="45121"/>
    <x v="696"/>
    <x v="20"/>
    <x v="0"/>
    <x v="3"/>
    <s v="GBC Standard Plastic Binding Systems Combs"/>
    <x v="3458"/>
    <n v="2"/>
    <n v="5.13"/>
    <x v="6"/>
    <x v="2"/>
  </r>
  <r>
    <n v="45121"/>
    <x v="663"/>
    <x v="33"/>
    <x v="2"/>
    <x v="9"/>
    <s v="HP Standard 104 key PS/2 Keyboard"/>
    <x v="1354"/>
    <n v="2"/>
    <n v="7.25"/>
    <x v="6"/>
    <x v="2"/>
  </r>
  <r>
    <n v="45121"/>
    <x v="238"/>
    <x v="20"/>
    <x v="0"/>
    <x v="7"/>
    <s v="Acco Hot Clips Clips to Go"/>
    <x v="3459"/>
    <n v="9"/>
    <n v="13.32"/>
    <x v="6"/>
    <x v="2"/>
  </r>
  <r>
    <n v="45121"/>
    <x v="143"/>
    <x v="0"/>
    <x v="0"/>
    <x v="0"/>
    <s v="Xerox 1914"/>
    <x v="3380"/>
    <n v="5"/>
    <n v="79.69"/>
    <x v="6"/>
    <x v="2"/>
  </r>
  <r>
    <n v="45121"/>
    <x v="767"/>
    <x v="4"/>
    <x v="0"/>
    <x v="3"/>
    <s v="Cardinal Holdit Data Disk Pockets"/>
    <x v="131"/>
    <n v="5"/>
    <n v="17.11"/>
    <x v="6"/>
    <x v="2"/>
  </r>
  <r>
    <n v="45121"/>
    <x v="767"/>
    <x v="4"/>
    <x v="1"/>
    <x v="8"/>
    <s v="Howard Miller 13-3/4&quot; Diameter Brushed Chrome Round Wall Clock"/>
    <x v="3460"/>
    <n v="1"/>
    <n v="15.53"/>
    <x v="6"/>
    <x v="2"/>
  </r>
  <r>
    <n v="45121"/>
    <x v="745"/>
    <x v="3"/>
    <x v="2"/>
    <x v="6"/>
    <s v="Panasonic Kx-TS550"/>
    <x v="2982"/>
    <n v="3"/>
    <n v="12.42"/>
    <x v="6"/>
    <x v="2"/>
  </r>
  <r>
    <n v="45121"/>
    <x v="745"/>
    <x v="3"/>
    <x v="0"/>
    <x v="12"/>
    <s v="Holmes 99% HEPA Air Purifier"/>
    <x v="3461"/>
    <n v="7"/>
    <n v="50.03"/>
    <x v="6"/>
    <x v="2"/>
  </r>
  <r>
    <n v="45121"/>
    <x v="745"/>
    <x v="3"/>
    <x v="1"/>
    <x v="8"/>
    <s v="Deflect-O Glasstique Clear Desk Accessories"/>
    <x v="3462"/>
    <n v="4"/>
    <n v="10.16"/>
    <x v="6"/>
    <x v="2"/>
  </r>
  <r>
    <n v="45122"/>
    <x v="511"/>
    <x v="27"/>
    <x v="0"/>
    <x v="14"/>
    <s v="Fiskars Home &amp; Office Scissors"/>
    <x v="255"/>
    <n v="5"/>
    <n v="12.43"/>
    <x v="6"/>
    <x v="2"/>
  </r>
  <r>
    <n v="45122"/>
    <x v="231"/>
    <x v="11"/>
    <x v="1"/>
    <x v="5"/>
    <s v="Bevis Steel Folding Chairs"/>
    <x v="367"/>
    <n v="3"/>
    <n v="23.03"/>
    <x v="6"/>
    <x v="2"/>
  </r>
  <r>
    <n v="45122"/>
    <x v="231"/>
    <x v="11"/>
    <x v="0"/>
    <x v="0"/>
    <s v="Xerox 1909"/>
    <x v="1479"/>
    <n v="5"/>
    <n v="34.29"/>
    <x v="6"/>
    <x v="2"/>
  </r>
  <r>
    <n v="45123"/>
    <x v="450"/>
    <x v="0"/>
    <x v="0"/>
    <x v="2"/>
    <s v="Personal Filing Tote with Lid, Black/Gray"/>
    <x v="3463"/>
    <n v="3"/>
    <n v="3.72"/>
    <x v="6"/>
    <x v="2"/>
  </r>
  <r>
    <n v="45123"/>
    <x v="450"/>
    <x v="0"/>
    <x v="0"/>
    <x v="0"/>
    <s v="Southworth 25% Cotton Antique Laid Paper &amp; Envelopes"/>
    <x v="215"/>
    <n v="3"/>
    <n v="6.26"/>
    <x v="6"/>
    <x v="2"/>
  </r>
  <r>
    <n v="45123"/>
    <x v="74"/>
    <x v="2"/>
    <x v="2"/>
    <x v="6"/>
    <s v="Mophie Juice Pack Helium for iPhone"/>
    <x v="902"/>
    <n v="3"/>
    <n v="-28.8"/>
    <x v="6"/>
    <x v="2"/>
  </r>
  <r>
    <n v="45123"/>
    <x v="74"/>
    <x v="2"/>
    <x v="2"/>
    <x v="6"/>
    <s v="GE 2-Jack Phone Line Splitter"/>
    <x v="2860"/>
    <n v="4"/>
    <n v="-115.35"/>
    <x v="6"/>
    <x v="2"/>
  </r>
  <r>
    <n v="45123"/>
    <x v="74"/>
    <x v="2"/>
    <x v="0"/>
    <x v="14"/>
    <s v="Acme Value Line Scissors"/>
    <x v="1821"/>
    <n v="2"/>
    <n v="0.73"/>
    <x v="6"/>
    <x v="2"/>
  </r>
  <r>
    <n v="45123"/>
    <x v="231"/>
    <x v="0"/>
    <x v="1"/>
    <x v="8"/>
    <s v="Staple-based wall hangings"/>
    <x v="3464"/>
    <n v="3"/>
    <n v="-3.82"/>
    <x v="6"/>
    <x v="2"/>
  </r>
  <r>
    <n v="45123"/>
    <x v="104"/>
    <x v="9"/>
    <x v="0"/>
    <x v="10"/>
    <s v="Poly String Tie Envelopes"/>
    <x v="3465"/>
    <n v="5"/>
    <n v="4.79"/>
    <x v="6"/>
    <x v="2"/>
  </r>
  <r>
    <n v="45123"/>
    <x v="104"/>
    <x v="9"/>
    <x v="0"/>
    <x v="4"/>
    <s v="Eberhard Faber 3 1/2&quot; Golf Pencils"/>
    <x v="417"/>
    <n v="3"/>
    <n v="5.58"/>
    <x v="6"/>
    <x v="2"/>
  </r>
  <r>
    <n v="45123"/>
    <x v="104"/>
    <x v="9"/>
    <x v="0"/>
    <x v="3"/>
    <s v="Wilson Jones Turn Tabs Binder Tool for Ring Binders"/>
    <x v="2563"/>
    <n v="5"/>
    <n v="11.09"/>
    <x v="6"/>
    <x v="2"/>
  </r>
  <r>
    <n v="45123"/>
    <x v="104"/>
    <x v="9"/>
    <x v="2"/>
    <x v="9"/>
    <s v="ImationÂ SecureÂ DriveÂ + Hardware Encrypted USBÂ flash driveÂ - 16 GB"/>
    <x v="3466"/>
    <n v="2"/>
    <n v="18.239999999999998"/>
    <x v="6"/>
    <x v="2"/>
  </r>
  <r>
    <n v="45123"/>
    <x v="104"/>
    <x v="9"/>
    <x v="0"/>
    <x v="3"/>
    <s v="Recycled Pressboard Report Cover with Reinforced Top Hinge"/>
    <x v="1484"/>
    <n v="2"/>
    <n v="3.17"/>
    <x v="6"/>
    <x v="2"/>
  </r>
  <r>
    <n v="45123"/>
    <x v="104"/>
    <x v="9"/>
    <x v="0"/>
    <x v="0"/>
    <s v="HP Office Paper (20Lb. and 87 Bright)"/>
    <x v="2973"/>
    <n v="9"/>
    <n v="28.86"/>
    <x v="6"/>
    <x v="2"/>
  </r>
  <r>
    <n v="45124"/>
    <x v="141"/>
    <x v="3"/>
    <x v="0"/>
    <x v="2"/>
    <s v="Eldon Base for stackable storage shelf, platinum"/>
    <x v="2532"/>
    <n v="2"/>
    <n v="3.89"/>
    <x v="6"/>
    <x v="2"/>
  </r>
  <r>
    <n v="45124"/>
    <x v="212"/>
    <x v="23"/>
    <x v="0"/>
    <x v="12"/>
    <s v="Kensington 4 Outlet MasterPiece Compact Power Control Center"/>
    <x v="3467"/>
    <n v="2"/>
    <n v="45.54"/>
    <x v="6"/>
    <x v="2"/>
  </r>
  <r>
    <n v="45124"/>
    <x v="212"/>
    <x v="23"/>
    <x v="2"/>
    <x v="6"/>
    <s v="Bose SoundLink Bluetooth Speaker"/>
    <x v="3468"/>
    <n v="3"/>
    <n v="280.58999999999997"/>
    <x v="6"/>
    <x v="2"/>
  </r>
  <r>
    <n v="45124"/>
    <x v="212"/>
    <x v="23"/>
    <x v="0"/>
    <x v="0"/>
    <s v="Eaton Premium Continuous-Feed Paper, 25% Cotton, Letter Size, White, 1000 Shts/Box"/>
    <x v="288"/>
    <n v="1"/>
    <n v="26.63"/>
    <x v="6"/>
    <x v="2"/>
  </r>
  <r>
    <n v="45124"/>
    <x v="182"/>
    <x v="24"/>
    <x v="0"/>
    <x v="0"/>
    <s v="Strathmore Photo Frame Cards"/>
    <x v="1888"/>
    <n v="3"/>
    <n v="10.09"/>
    <x v="6"/>
    <x v="2"/>
  </r>
  <r>
    <n v="45124"/>
    <x v="182"/>
    <x v="24"/>
    <x v="0"/>
    <x v="2"/>
    <s v="Carina 42&quot;Hx23 3/4&quot;W Media Storage Unit"/>
    <x v="151"/>
    <n v="3"/>
    <n v="4.8600000000000003"/>
    <x v="6"/>
    <x v="2"/>
  </r>
  <r>
    <n v="45124"/>
    <x v="182"/>
    <x v="24"/>
    <x v="0"/>
    <x v="0"/>
    <s v="Rediform Wirebound &quot;Phone Memo&quot; Message Book, 11 x 5-3/4"/>
    <x v="228"/>
    <n v="1"/>
    <n v="3.74"/>
    <x v="6"/>
    <x v="2"/>
  </r>
  <r>
    <n v="45124"/>
    <x v="182"/>
    <x v="24"/>
    <x v="0"/>
    <x v="0"/>
    <s v="Xerox 1993"/>
    <x v="1778"/>
    <n v="8"/>
    <n v="25.4"/>
    <x v="6"/>
    <x v="2"/>
  </r>
  <r>
    <n v="45124"/>
    <x v="182"/>
    <x v="24"/>
    <x v="0"/>
    <x v="2"/>
    <s v="Tennsco 6- and 18-Compartment Lockers"/>
    <x v="3469"/>
    <n v="1"/>
    <n v="47.73"/>
    <x v="6"/>
    <x v="2"/>
  </r>
  <r>
    <n v="45124"/>
    <x v="380"/>
    <x v="22"/>
    <x v="1"/>
    <x v="8"/>
    <s v="Eldon Image Series Black Desk Accessories"/>
    <x v="67"/>
    <n v="3"/>
    <n v="4.47"/>
    <x v="6"/>
    <x v="2"/>
  </r>
  <r>
    <n v="45124"/>
    <x v="380"/>
    <x v="22"/>
    <x v="2"/>
    <x v="9"/>
    <s v="First Data TMFD35 PIN Pad"/>
    <x v="3470"/>
    <n v="3"/>
    <n v="89.96"/>
    <x v="6"/>
    <x v="2"/>
  </r>
  <r>
    <n v="45124"/>
    <x v="380"/>
    <x v="22"/>
    <x v="1"/>
    <x v="8"/>
    <s v="Eldon 300 Class Desk Accessories, Black"/>
    <x v="3471"/>
    <n v="5"/>
    <n v="10.89"/>
    <x v="6"/>
    <x v="2"/>
  </r>
  <r>
    <n v="45124"/>
    <x v="380"/>
    <x v="22"/>
    <x v="0"/>
    <x v="1"/>
    <s v="Round Specialty Laser Printer Labels"/>
    <x v="1708"/>
    <n v="7"/>
    <n v="41.22"/>
    <x v="6"/>
    <x v="2"/>
  </r>
  <r>
    <n v="45124"/>
    <x v="380"/>
    <x v="22"/>
    <x v="0"/>
    <x v="2"/>
    <s v="Home/Office Personal File Carts"/>
    <x v="1211"/>
    <n v="2"/>
    <n v="17.38"/>
    <x v="6"/>
    <x v="2"/>
  </r>
  <r>
    <n v="45124"/>
    <x v="380"/>
    <x v="22"/>
    <x v="2"/>
    <x v="6"/>
    <s v="Cyber Acoustics AC-202b Speech Recognition Stereo Headset"/>
    <x v="451"/>
    <n v="2"/>
    <n v="-4.68"/>
    <x v="6"/>
    <x v="2"/>
  </r>
  <r>
    <n v="45124"/>
    <x v="380"/>
    <x v="22"/>
    <x v="0"/>
    <x v="3"/>
    <s v="Pressboard Data Binder, Crimson, 12&quot; X 8 1/2&quot;"/>
    <x v="3472"/>
    <n v="3"/>
    <n v="4.17"/>
    <x v="6"/>
    <x v="2"/>
  </r>
  <r>
    <n v="45124"/>
    <x v="372"/>
    <x v="20"/>
    <x v="0"/>
    <x v="12"/>
    <s v="Belkin F5C206VTEL 6 Outlet Surge"/>
    <x v="3473"/>
    <n v="2"/>
    <n v="13.79"/>
    <x v="6"/>
    <x v="2"/>
  </r>
  <r>
    <n v="45125"/>
    <x v="637"/>
    <x v="26"/>
    <x v="1"/>
    <x v="5"/>
    <s v="Hon GuestStacker Chair"/>
    <x v="2267"/>
    <n v="3"/>
    <n v="40.799999999999997"/>
    <x v="6"/>
    <x v="2"/>
  </r>
  <r>
    <n v="45125"/>
    <x v="637"/>
    <x v="26"/>
    <x v="0"/>
    <x v="3"/>
    <s v="Round Ring Binders"/>
    <x v="267"/>
    <n v="3"/>
    <n v="-1.44"/>
    <x v="6"/>
    <x v="2"/>
  </r>
  <r>
    <n v="45125"/>
    <x v="637"/>
    <x v="26"/>
    <x v="1"/>
    <x v="5"/>
    <s v="Hon 4700 Series Mobuis Mid-Back Task Chairs with Adjustable Arms"/>
    <x v="3474"/>
    <n v="3"/>
    <n v="10.68"/>
    <x v="6"/>
    <x v="2"/>
  </r>
  <r>
    <n v="45125"/>
    <x v="637"/>
    <x v="26"/>
    <x v="0"/>
    <x v="2"/>
    <s v="Sauder Facets Collection Locker/File Cabinet, Sky Alder Finish"/>
    <x v="3475"/>
    <n v="2"/>
    <n v="0"/>
    <x v="6"/>
    <x v="2"/>
  </r>
  <r>
    <n v="45125"/>
    <x v="637"/>
    <x v="26"/>
    <x v="0"/>
    <x v="2"/>
    <s v="Fellowes Strictly Business Drawer File, Letter/Legal Size"/>
    <x v="3448"/>
    <n v="3"/>
    <n v="-33.799999999999997"/>
    <x v="6"/>
    <x v="2"/>
  </r>
  <r>
    <n v="45125"/>
    <x v="121"/>
    <x v="5"/>
    <x v="1"/>
    <x v="5"/>
    <s v="Hon Olson Stacker Stools"/>
    <x v="3476"/>
    <n v="1"/>
    <n v="39.43"/>
    <x v="6"/>
    <x v="2"/>
  </r>
  <r>
    <n v="45125"/>
    <x v="359"/>
    <x v="12"/>
    <x v="0"/>
    <x v="14"/>
    <s v="Elite 5&quot; Scissors"/>
    <x v="3477"/>
    <n v="5"/>
    <n v="4.2300000000000004"/>
    <x v="6"/>
    <x v="2"/>
  </r>
  <r>
    <n v="45125"/>
    <x v="743"/>
    <x v="0"/>
    <x v="2"/>
    <x v="9"/>
    <s v="SanDisk Cruzer 4 GB USB Flash Drive"/>
    <x v="3478"/>
    <n v="3"/>
    <n v="3.31"/>
    <x v="6"/>
    <x v="2"/>
  </r>
  <r>
    <n v="45125"/>
    <x v="608"/>
    <x v="12"/>
    <x v="2"/>
    <x v="6"/>
    <s v="iHome FM Clock Radio with Lightning Dock"/>
    <x v="3479"/>
    <n v="1"/>
    <n v="3.5"/>
    <x v="6"/>
    <x v="2"/>
  </r>
  <r>
    <n v="45125"/>
    <x v="646"/>
    <x v="2"/>
    <x v="0"/>
    <x v="4"/>
    <s v="Newell 326"/>
    <x v="652"/>
    <n v="8"/>
    <n v="1.27"/>
    <x v="6"/>
    <x v="2"/>
  </r>
  <r>
    <n v="45125"/>
    <x v="646"/>
    <x v="2"/>
    <x v="0"/>
    <x v="2"/>
    <s v="Steel Personal Filing/Posting Tote"/>
    <x v="3480"/>
    <n v="10"/>
    <n v="24.86"/>
    <x v="6"/>
    <x v="2"/>
  </r>
  <r>
    <n v="45125"/>
    <x v="646"/>
    <x v="2"/>
    <x v="0"/>
    <x v="0"/>
    <s v="Xerox 196"/>
    <x v="535"/>
    <n v="4"/>
    <n v="6.7"/>
    <x v="6"/>
    <x v="2"/>
  </r>
  <r>
    <n v="45126"/>
    <x v="55"/>
    <x v="29"/>
    <x v="1"/>
    <x v="8"/>
    <s v="Advantus Employee of the Month Certificate Frame, 11 x 13-1/2"/>
    <x v="2681"/>
    <n v="6"/>
    <n v="76.09"/>
    <x v="6"/>
    <x v="2"/>
  </r>
  <r>
    <n v="45126"/>
    <x v="55"/>
    <x v="29"/>
    <x v="0"/>
    <x v="3"/>
    <s v="Premium Transparent Presentation Covers, No Pattern/Clear, 8 1/2&quot; x 11&quot;"/>
    <x v="3481"/>
    <n v="2"/>
    <n v="35.68"/>
    <x v="6"/>
    <x v="2"/>
  </r>
  <r>
    <n v="45126"/>
    <x v="55"/>
    <x v="29"/>
    <x v="0"/>
    <x v="2"/>
    <s v="Rogers Deluxe File Chest"/>
    <x v="692"/>
    <n v="4"/>
    <n v="0.88"/>
    <x v="6"/>
    <x v="2"/>
  </r>
  <r>
    <n v="45126"/>
    <x v="55"/>
    <x v="29"/>
    <x v="0"/>
    <x v="0"/>
    <s v="Xerox 1893"/>
    <x v="3482"/>
    <n v="6"/>
    <n v="120.51"/>
    <x v="6"/>
    <x v="2"/>
  </r>
  <r>
    <n v="45126"/>
    <x v="55"/>
    <x v="29"/>
    <x v="0"/>
    <x v="3"/>
    <s v="Avery Printable Repositionable Plastic Tabs"/>
    <x v="3483"/>
    <n v="1"/>
    <n v="4.04"/>
    <x v="6"/>
    <x v="2"/>
  </r>
  <r>
    <n v="45126"/>
    <x v="55"/>
    <x v="29"/>
    <x v="1"/>
    <x v="11"/>
    <s v="Hon 4-Shelf Metal Bookcases"/>
    <x v="3484"/>
    <n v="5"/>
    <n v="126.23"/>
    <x v="6"/>
    <x v="2"/>
  </r>
  <r>
    <n v="45126"/>
    <x v="492"/>
    <x v="3"/>
    <x v="2"/>
    <x v="6"/>
    <s v="Griffin GC36547 PowerJolt SE Lightning Charger"/>
    <x v="695"/>
    <n v="2"/>
    <n v="4.5"/>
    <x v="6"/>
    <x v="2"/>
  </r>
  <r>
    <n v="45126"/>
    <x v="492"/>
    <x v="3"/>
    <x v="2"/>
    <x v="9"/>
    <s v="Logitech G35 7.1-Channel Surround Sound Headset"/>
    <x v="2516"/>
    <n v="3"/>
    <n v="132.59"/>
    <x v="6"/>
    <x v="2"/>
  </r>
  <r>
    <n v="45127"/>
    <x v="137"/>
    <x v="20"/>
    <x v="2"/>
    <x v="6"/>
    <s v="invisibleSHIELD by ZAGG Smudge-Free Screen Protector"/>
    <x v="3485"/>
    <n v="5"/>
    <n v="43.18"/>
    <x v="6"/>
    <x v="2"/>
  </r>
  <r>
    <n v="45128"/>
    <x v="369"/>
    <x v="2"/>
    <x v="0"/>
    <x v="3"/>
    <s v="GBC Instant Report Kit"/>
    <x v="1343"/>
    <n v="1"/>
    <n v="-1.29"/>
    <x v="6"/>
    <x v="2"/>
  </r>
  <r>
    <n v="45128"/>
    <x v="739"/>
    <x v="10"/>
    <x v="0"/>
    <x v="4"/>
    <s v="Boston 16765 Mini Stand Up Battery Pencil Sharpener"/>
    <x v="3124"/>
    <n v="2"/>
    <n v="1.4"/>
    <x v="6"/>
    <x v="2"/>
  </r>
  <r>
    <n v="45128"/>
    <x v="739"/>
    <x v="10"/>
    <x v="0"/>
    <x v="3"/>
    <s v="Wilson Jones 1&quot; Hanging DublLock Ring Binders"/>
    <x v="573"/>
    <n v="7"/>
    <n v="-8.1300000000000008"/>
    <x v="6"/>
    <x v="2"/>
  </r>
  <r>
    <n v="45128"/>
    <x v="739"/>
    <x v="10"/>
    <x v="0"/>
    <x v="2"/>
    <s v="Safco Steel Mobile File Cart"/>
    <x v="2622"/>
    <n v="1"/>
    <n v="4.17"/>
    <x v="6"/>
    <x v="2"/>
  </r>
  <r>
    <n v="45128"/>
    <x v="739"/>
    <x v="10"/>
    <x v="0"/>
    <x v="2"/>
    <s v="Fellowes Mobile File Cart, Black"/>
    <x v="3486"/>
    <n v="2"/>
    <n v="8.7100000000000009"/>
    <x v="6"/>
    <x v="2"/>
  </r>
  <r>
    <n v="45128"/>
    <x v="443"/>
    <x v="25"/>
    <x v="0"/>
    <x v="1"/>
    <s v="Avery 494"/>
    <x v="2176"/>
    <n v="3"/>
    <n v="2.04"/>
    <x v="6"/>
    <x v="2"/>
  </r>
  <r>
    <n v="45128"/>
    <x v="443"/>
    <x v="25"/>
    <x v="1"/>
    <x v="5"/>
    <s v="Leather Task Chair, Black"/>
    <x v="3487"/>
    <n v="5"/>
    <n v="0"/>
    <x v="6"/>
    <x v="2"/>
  </r>
  <r>
    <n v="45128"/>
    <x v="105"/>
    <x v="3"/>
    <x v="0"/>
    <x v="10"/>
    <s v="Ames Color-File Green Diamond Border X-ray Mailers"/>
    <x v="3488"/>
    <n v="5"/>
    <n v="197.35"/>
    <x v="6"/>
    <x v="2"/>
  </r>
  <r>
    <n v="45128"/>
    <x v="105"/>
    <x v="3"/>
    <x v="0"/>
    <x v="1"/>
    <s v="Self-Adhesive Removable Labels"/>
    <x v="374"/>
    <n v="1"/>
    <n v="1.51"/>
    <x v="6"/>
    <x v="2"/>
  </r>
  <r>
    <n v="45129"/>
    <x v="729"/>
    <x v="3"/>
    <x v="0"/>
    <x v="1"/>
    <s v="Self-Adhesive Removable Labels"/>
    <x v="3489"/>
    <n v="2"/>
    <n v="3.02"/>
    <x v="6"/>
    <x v="2"/>
  </r>
  <r>
    <n v="45129"/>
    <x v="740"/>
    <x v="2"/>
    <x v="0"/>
    <x v="4"/>
    <s v="12 Colored Short Pencils"/>
    <x v="2299"/>
    <n v="2"/>
    <n v="0.36"/>
    <x v="6"/>
    <x v="2"/>
  </r>
  <r>
    <n v="45129"/>
    <x v="740"/>
    <x v="2"/>
    <x v="1"/>
    <x v="8"/>
    <s v="Master Caster Door Stop, Large Neon Orange"/>
    <x v="563"/>
    <n v="2"/>
    <n v="3.35"/>
    <x v="6"/>
    <x v="2"/>
  </r>
  <r>
    <n v="45129"/>
    <x v="380"/>
    <x v="14"/>
    <x v="2"/>
    <x v="9"/>
    <s v="Plantronics Audio 995 Wireless Stereo Headset"/>
    <x v="3490"/>
    <n v="1"/>
    <n v="36.28"/>
    <x v="6"/>
    <x v="2"/>
  </r>
  <r>
    <n v="45129"/>
    <x v="380"/>
    <x v="14"/>
    <x v="0"/>
    <x v="2"/>
    <s v="Fellowes Staxonsteel Drawer Files"/>
    <x v="3491"/>
    <n v="5"/>
    <n v="135.22"/>
    <x v="6"/>
    <x v="2"/>
  </r>
  <r>
    <n v="45129"/>
    <x v="380"/>
    <x v="14"/>
    <x v="0"/>
    <x v="4"/>
    <s v="Avery Hi-Liter Smear-Safe Highlighters"/>
    <x v="2861"/>
    <n v="5"/>
    <n v="10.51"/>
    <x v="6"/>
    <x v="2"/>
  </r>
  <r>
    <n v="45129"/>
    <x v="380"/>
    <x v="14"/>
    <x v="0"/>
    <x v="0"/>
    <s v="Xerox 192"/>
    <x v="331"/>
    <n v="5"/>
    <n v="15.55"/>
    <x v="6"/>
    <x v="2"/>
  </r>
  <r>
    <n v="45129"/>
    <x v="61"/>
    <x v="17"/>
    <x v="0"/>
    <x v="14"/>
    <s v="Fiskars 8&quot; Scissors, 2/Pack"/>
    <x v="3492"/>
    <n v="5"/>
    <n v="25"/>
    <x v="6"/>
    <x v="2"/>
  </r>
  <r>
    <n v="45129"/>
    <x v="591"/>
    <x v="36"/>
    <x v="0"/>
    <x v="12"/>
    <s v="Belkin F9H710-06 7 Outlet SurgeMaster Surge Protector"/>
    <x v="1859"/>
    <n v="2"/>
    <n v="10.55"/>
    <x v="6"/>
    <x v="2"/>
  </r>
  <r>
    <n v="45129"/>
    <x v="591"/>
    <x v="36"/>
    <x v="0"/>
    <x v="0"/>
    <s v="Xerox 216"/>
    <x v="1778"/>
    <n v="8"/>
    <n v="24.88"/>
    <x v="6"/>
    <x v="2"/>
  </r>
  <r>
    <n v="45129"/>
    <x v="591"/>
    <x v="36"/>
    <x v="1"/>
    <x v="8"/>
    <s v="Eldon Stackable Tray, Side-Load, Legal, Smoke"/>
    <x v="2100"/>
    <n v="3"/>
    <n v="9.32"/>
    <x v="6"/>
    <x v="2"/>
  </r>
  <r>
    <n v="45129"/>
    <x v="591"/>
    <x v="36"/>
    <x v="0"/>
    <x v="3"/>
    <s v="Wilson Jones Easy Flow II Sheet Lifters"/>
    <x v="3493"/>
    <n v="3"/>
    <n v="2.59"/>
    <x v="6"/>
    <x v="2"/>
  </r>
  <r>
    <n v="45130"/>
    <x v="403"/>
    <x v="16"/>
    <x v="0"/>
    <x v="4"/>
    <s v="Boston 16801 Nautilus Battery Pencil Sharpener"/>
    <x v="3494"/>
    <n v="2"/>
    <n v="2.64"/>
    <x v="6"/>
    <x v="2"/>
  </r>
  <r>
    <n v="45130"/>
    <x v="403"/>
    <x v="16"/>
    <x v="0"/>
    <x v="12"/>
    <s v="Holmes Replacement Filter for HEPA Air Cleaner, Large Room"/>
    <x v="1942"/>
    <n v="2"/>
    <n v="6.52"/>
    <x v="6"/>
    <x v="2"/>
  </r>
  <r>
    <n v="45130"/>
    <x v="403"/>
    <x v="16"/>
    <x v="2"/>
    <x v="15"/>
    <s v="Zebra GX420t Direct Thermal/Thermal Transfer Printer"/>
    <x v="3495"/>
    <n v="1"/>
    <n v="-111.5"/>
    <x v="6"/>
    <x v="2"/>
  </r>
  <r>
    <n v="45130"/>
    <x v="82"/>
    <x v="1"/>
    <x v="0"/>
    <x v="3"/>
    <s v="GBC Laser Imprintable Binding System Covers, Desert Sand"/>
    <x v="3496"/>
    <n v="4"/>
    <n v="-18.84"/>
    <x v="6"/>
    <x v="2"/>
  </r>
  <r>
    <n v="45130"/>
    <x v="74"/>
    <x v="0"/>
    <x v="0"/>
    <x v="4"/>
    <s v="Newell 339"/>
    <x v="192"/>
    <n v="2"/>
    <n v="0.33"/>
    <x v="6"/>
    <x v="2"/>
  </r>
  <r>
    <n v="45130"/>
    <x v="74"/>
    <x v="0"/>
    <x v="0"/>
    <x v="0"/>
    <s v="Xerox 231"/>
    <x v="193"/>
    <n v="1"/>
    <n v="1.81"/>
    <x v="6"/>
    <x v="2"/>
  </r>
  <r>
    <n v="45130"/>
    <x v="74"/>
    <x v="0"/>
    <x v="0"/>
    <x v="4"/>
    <s v="Boston 1645 Deluxe Heavier-Duty Electric Pencil Sharpener"/>
    <x v="3497"/>
    <n v="5"/>
    <n v="15.39"/>
    <x v="6"/>
    <x v="2"/>
  </r>
  <r>
    <n v="45130"/>
    <x v="74"/>
    <x v="0"/>
    <x v="0"/>
    <x v="3"/>
    <s v="Storex Dura Pro Binders"/>
    <x v="2307"/>
    <n v="4"/>
    <n v="-8.32"/>
    <x v="6"/>
    <x v="2"/>
  </r>
  <r>
    <n v="45130"/>
    <x v="74"/>
    <x v="0"/>
    <x v="0"/>
    <x v="14"/>
    <s v="Acme Elite Stainless Steel Scissors"/>
    <x v="3498"/>
    <n v="2"/>
    <n v="1"/>
    <x v="6"/>
    <x v="2"/>
  </r>
  <r>
    <n v="45130"/>
    <x v="325"/>
    <x v="0"/>
    <x v="2"/>
    <x v="6"/>
    <s v="Griffin GC17055 Auxiliary Audio Cable"/>
    <x v="3499"/>
    <n v="8"/>
    <n v="11.51"/>
    <x v="6"/>
    <x v="2"/>
  </r>
  <r>
    <n v="45131"/>
    <x v="504"/>
    <x v="20"/>
    <x v="1"/>
    <x v="5"/>
    <s v="Office Star - Contemporary Swivel Chair with Padded Adjustable Arms and Flex Back"/>
    <x v="3500"/>
    <n v="2"/>
    <n v="31.02"/>
    <x v="6"/>
    <x v="2"/>
  </r>
  <r>
    <n v="45131"/>
    <x v="229"/>
    <x v="8"/>
    <x v="0"/>
    <x v="4"/>
    <s v="Panasonic KP-4ABK Battery-Operated Pencil Sharpener"/>
    <x v="3194"/>
    <n v="5"/>
    <n v="21.23"/>
    <x v="6"/>
    <x v="2"/>
  </r>
  <r>
    <n v="45132"/>
    <x v="42"/>
    <x v="3"/>
    <x v="0"/>
    <x v="3"/>
    <s v="Clear Mylar Reinforcing Strips"/>
    <x v="3501"/>
    <n v="8"/>
    <n v="40.369999999999997"/>
    <x v="6"/>
    <x v="2"/>
  </r>
  <r>
    <n v="45132"/>
    <x v="42"/>
    <x v="3"/>
    <x v="1"/>
    <x v="8"/>
    <s v="Howard Miller 14-1/2&quot; Diameter Chrome Round Wall Clock"/>
    <x v="3502"/>
    <n v="4"/>
    <n v="81.84"/>
    <x v="6"/>
    <x v="2"/>
  </r>
  <r>
    <n v="45132"/>
    <x v="42"/>
    <x v="3"/>
    <x v="1"/>
    <x v="5"/>
    <s v="DMI Arturo Collection Mission-style Design Wood Chair"/>
    <x v="1520"/>
    <n v="2"/>
    <n v="18.12"/>
    <x v="6"/>
    <x v="2"/>
  </r>
  <r>
    <n v="45132"/>
    <x v="42"/>
    <x v="3"/>
    <x v="1"/>
    <x v="8"/>
    <s v="Deflect-O Glasstique Clear Desk Accessories"/>
    <x v="3503"/>
    <n v="9"/>
    <n v="22.87"/>
    <x v="6"/>
    <x v="2"/>
  </r>
  <r>
    <n v="45132"/>
    <x v="710"/>
    <x v="10"/>
    <x v="2"/>
    <x v="16"/>
    <s v="Hewlett Packard LaserJet 3310 Copier"/>
    <x v="3504"/>
    <n v="4"/>
    <n v="192"/>
    <x v="6"/>
    <x v="2"/>
  </r>
  <r>
    <n v="45132"/>
    <x v="768"/>
    <x v="3"/>
    <x v="0"/>
    <x v="7"/>
    <s v="OIC Binder Clips"/>
    <x v="2771"/>
    <n v="6"/>
    <n v="10.74"/>
    <x v="6"/>
    <x v="2"/>
  </r>
  <r>
    <n v="45132"/>
    <x v="390"/>
    <x v="10"/>
    <x v="0"/>
    <x v="12"/>
    <s v="Tripp Lite Isotel 6 Outlet Surge Protector with Fax/Modem Protection"/>
    <x v="3505"/>
    <n v="5"/>
    <n v="27.44"/>
    <x v="6"/>
    <x v="2"/>
  </r>
  <r>
    <n v="45132"/>
    <x v="484"/>
    <x v="0"/>
    <x v="0"/>
    <x v="1"/>
    <s v="Avery 493"/>
    <x v="2382"/>
    <n v="4"/>
    <n v="5.7"/>
    <x v="6"/>
    <x v="2"/>
  </r>
  <r>
    <n v="45132"/>
    <x v="711"/>
    <x v="29"/>
    <x v="0"/>
    <x v="2"/>
    <s v="Akro Stacking Bins"/>
    <x v="3506"/>
    <n v="1"/>
    <n v="0.32"/>
    <x v="6"/>
    <x v="2"/>
  </r>
  <r>
    <n v="45132"/>
    <x v="711"/>
    <x v="29"/>
    <x v="0"/>
    <x v="0"/>
    <s v="Advantus Motivational Note Cards"/>
    <x v="3507"/>
    <n v="5"/>
    <n v="32.1"/>
    <x v="6"/>
    <x v="2"/>
  </r>
  <r>
    <n v="45132"/>
    <x v="711"/>
    <x v="29"/>
    <x v="1"/>
    <x v="13"/>
    <s v="Office Impressions End Table, 20-1/2&quot;H x 24&quot;W x 20&quot;D"/>
    <x v="3508"/>
    <n v="8"/>
    <n v="388.81"/>
    <x v="6"/>
    <x v="2"/>
  </r>
  <r>
    <n v="45132"/>
    <x v="307"/>
    <x v="6"/>
    <x v="0"/>
    <x v="3"/>
    <s v="Avery 3 1/2&quot; Diskette Storage Pages, 10/Pack"/>
    <x v="3509"/>
    <n v="1"/>
    <n v="4.8"/>
    <x v="6"/>
    <x v="2"/>
  </r>
  <r>
    <n v="45132"/>
    <x v="734"/>
    <x v="0"/>
    <x v="0"/>
    <x v="10"/>
    <s v="Quality Park Security Envelopes"/>
    <x v="753"/>
    <n v="1"/>
    <n v="7.07"/>
    <x v="6"/>
    <x v="2"/>
  </r>
  <r>
    <n v="45132"/>
    <x v="288"/>
    <x v="3"/>
    <x v="0"/>
    <x v="4"/>
    <s v="Newell 325"/>
    <x v="3510"/>
    <n v="9"/>
    <n v="11.15"/>
    <x v="6"/>
    <x v="2"/>
  </r>
  <r>
    <n v="45132"/>
    <x v="562"/>
    <x v="21"/>
    <x v="0"/>
    <x v="0"/>
    <s v="Speediset Carbonless Redi-Letter 7&quot; x 8 1/2&quot;"/>
    <x v="3511"/>
    <n v="2"/>
    <n v="9.69"/>
    <x v="6"/>
    <x v="2"/>
  </r>
  <r>
    <n v="45132"/>
    <x v="562"/>
    <x v="21"/>
    <x v="2"/>
    <x v="9"/>
    <s v="Memorex Froggy Flash Drive 8 GB"/>
    <x v="3512"/>
    <n v="7"/>
    <n v="48.46"/>
    <x v="6"/>
    <x v="2"/>
  </r>
  <r>
    <n v="45132"/>
    <x v="562"/>
    <x v="21"/>
    <x v="2"/>
    <x v="6"/>
    <s v="LG Electronics Tone+ HBS-730 Bluetooth Headset"/>
    <x v="3513"/>
    <n v="5"/>
    <n v="83.31"/>
    <x v="6"/>
    <x v="2"/>
  </r>
  <r>
    <n v="45132"/>
    <x v="562"/>
    <x v="21"/>
    <x v="1"/>
    <x v="5"/>
    <s v="Office Star Flex Back Scooter Chair with Aluminum Finish Frame"/>
    <x v="3514"/>
    <n v="4"/>
    <n v="96.85"/>
    <x v="6"/>
    <x v="2"/>
  </r>
  <r>
    <n v="45132"/>
    <x v="562"/>
    <x v="21"/>
    <x v="1"/>
    <x v="8"/>
    <s v="Eldon Expressions Desk Accessory, Wood Photo Frame, Mahogany"/>
    <x v="3515"/>
    <n v="5"/>
    <n v="27.61"/>
    <x v="6"/>
    <x v="2"/>
  </r>
  <r>
    <n v="45135"/>
    <x v="528"/>
    <x v="14"/>
    <x v="0"/>
    <x v="7"/>
    <s v="Staples"/>
    <x v="3516"/>
    <n v="7"/>
    <n v="9.1999999999999993"/>
    <x v="6"/>
    <x v="2"/>
  </r>
  <r>
    <n v="45135"/>
    <x v="528"/>
    <x v="14"/>
    <x v="0"/>
    <x v="0"/>
    <s v="Xerox 1889"/>
    <x v="854"/>
    <n v="2"/>
    <n v="53.86"/>
    <x v="6"/>
    <x v="2"/>
  </r>
  <r>
    <n v="45135"/>
    <x v="580"/>
    <x v="3"/>
    <x v="0"/>
    <x v="1"/>
    <s v="Avery 495"/>
    <x v="282"/>
    <n v="3"/>
    <n v="8.69"/>
    <x v="6"/>
    <x v="2"/>
  </r>
  <r>
    <n v="45135"/>
    <x v="635"/>
    <x v="2"/>
    <x v="1"/>
    <x v="11"/>
    <s v="Safco Value Mate Series Steel Bookcases, Baked Enamel Finish on Steel, Gray"/>
    <x v="3517"/>
    <n v="5"/>
    <n v="-78.08"/>
    <x v="6"/>
    <x v="2"/>
  </r>
  <r>
    <n v="45135"/>
    <x v="635"/>
    <x v="2"/>
    <x v="0"/>
    <x v="3"/>
    <s v="GBC Ibimaster 500 Manual ProClick Binding System"/>
    <x v="2418"/>
    <n v="6"/>
    <n v="-913.18"/>
    <x v="6"/>
    <x v="2"/>
  </r>
  <r>
    <n v="45135"/>
    <x v="635"/>
    <x v="2"/>
    <x v="0"/>
    <x v="12"/>
    <s v="Hoover Replacement Belts For Soft Guard &amp; Commercial Ltweight Upright Vacs, 2/Pk"/>
    <x v="1932"/>
    <n v="3"/>
    <n v="0.71"/>
    <x v="6"/>
    <x v="2"/>
  </r>
  <r>
    <n v="45135"/>
    <x v="429"/>
    <x v="0"/>
    <x v="1"/>
    <x v="8"/>
    <s v="Eldon Image Series Desk Accessories, Ebony"/>
    <x v="3156"/>
    <n v="5"/>
    <n v="-9.8800000000000008"/>
    <x v="6"/>
    <x v="2"/>
  </r>
  <r>
    <n v="45135"/>
    <x v="429"/>
    <x v="0"/>
    <x v="1"/>
    <x v="8"/>
    <s v="Tenex Chairmat w/ Average Lip, 45&quot; x 53&quot;"/>
    <x v="3518"/>
    <n v="5"/>
    <n v="-378.4"/>
    <x v="6"/>
    <x v="2"/>
  </r>
  <r>
    <n v="45136"/>
    <x v="4"/>
    <x v="2"/>
    <x v="0"/>
    <x v="2"/>
    <s v="Gould Plastics 9-Pocket Panel Bin, 18-3/8w x 5-1/4d x 20-1/2h, Black"/>
    <x v="2617"/>
    <n v="2"/>
    <n v="-16.96"/>
    <x v="6"/>
    <x v="2"/>
  </r>
  <r>
    <n v="45136"/>
    <x v="517"/>
    <x v="16"/>
    <x v="0"/>
    <x v="3"/>
    <s v="Avery Triangle Shaped Sheet Lifters, Black, 2/Pack"/>
    <x v="2854"/>
    <n v="3"/>
    <n v="-1.48"/>
    <x v="6"/>
    <x v="2"/>
  </r>
  <r>
    <n v="45136"/>
    <x v="718"/>
    <x v="25"/>
    <x v="0"/>
    <x v="2"/>
    <s v="Fellowes High-Stak Drawer Files"/>
    <x v="3519"/>
    <n v="5"/>
    <n v="26.43"/>
    <x v="6"/>
    <x v="2"/>
  </r>
  <r>
    <n v="45136"/>
    <x v="718"/>
    <x v="25"/>
    <x v="0"/>
    <x v="3"/>
    <s v="Premier Elliptical Ring Binder, Black"/>
    <x v="3520"/>
    <n v="3"/>
    <n v="-20.09"/>
    <x v="6"/>
    <x v="2"/>
  </r>
  <r>
    <n v="45137"/>
    <x v="471"/>
    <x v="0"/>
    <x v="0"/>
    <x v="3"/>
    <s v="GBC VeloBind Cover Sets"/>
    <x v="1515"/>
    <n v="3"/>
    <n v="-13.9"/>
    <x v="6"/>
    <x v="2"/>
  </r>
  <r>
    <n v="45137"/>
    <x v="175"/>
    <x v="1"/>
    <x v="0"/>
    <x v="1"/>
    <s v="Avery 498"/>
    <x v="3521"/>
    <n v="4"/>
    <n v="3.12"/>
    <x v="6"/>
    <x v="2"/>
  </r>
  <r>
    <n v="45137"/>
    <x v="175"/>
    <x v="1"/>
    <x v="0"/>
    <x v="2"/>
    <s v="Tennsco 16-Compartment Lockers with Coat Rack"/>
    <x v="2058"/>
    <n v="2"/>
    <n v="51.83"/>
    <x v="6"/>
    <x v="2"/>
  </r>
  <r>
    <n v="45137"/>
    <x v="274"/>
    <x v="3"/>
    <x v="0"/>
    <x v="12"/>
    <s v="Hoover Shoulder Vac Commercial Portable Vacuum"/>
    <x v="2642"/>
    <n v="2"/>
    <n v="178.91"/>
    <x v="6"/>
    <x v="2"/>
  </r>
  <r>
    <n v="45138"/>
    <x v="318"/>
    <x v="14"/>
    <x v="0"/>
    <x v="12"/>
    <s v="Honeywell Quietcare HEPA Air Cleaner"/>
    <x v="3522"/>
    <n v="4"/>
    <n v="72.36"/>
    <x v="6"/>
    <x v="2"/>
  </r>
  <r>
    <n v="45138"/>
    <x v="318"/>
    <x v="14"/>
    <x v="2"/>
    <x v="6"/>
    <s v="ClearOne Communications CHAT 70 OCÂ Speaker Phone"/>
    <x v="3523"/>
    <n v="4"/>
    <n v="165.35"/>
    <x v="6"/>
    <x v="2"/>
  </r>
  <r>
    <n v="45138"/>
    <x v="318"/>
    <x v="14"/>
    <x v="2"/>
    <x v="6"/>
    <s v="Polycom SoundPoint Pro SE-225 Corded phone"/>
    <x v="3524"/>
    <n v="1"/>
    <n v="33.32"/>
    <x v="6"/>
    <x v="2"/>
  </r>
  <r>
    <n v="45138"/>
    <x v="318"/>
    <x v="14"/>
    <x v="1"/>
    <x v="8"/>
    <s v="Eldon ClusterMat Chair Mat with Cordless Antistatic Protection"/>
    <x v="52"/>
    <n v="3"/>
    <n v="30.02"/>
    <x v="6"/>
    <x v="2"/>
  </r>
  <r>
    <n v="45138"/>
    <x v="123"/>
    <x v="3"/>
    <x v="1"/>
    <x v="13"/>
    <s v="Laminate Occasional Tables"/>
    <x v="3525"/>
    <n v="7"/>
    <n v="-32.369999999999997"/>
    <x v="6"/>
    <x v="2"/>
  </r>
  <r>
    <n v="45139"/>
    <x v="113"/>
    <x v="0"/>
    <x v="0"/>
    <x v="0"/>
    <s v="Easy-staple paper"/>
    <x v="578"/>
    <n v="2"/>
    <n v="6.63"/>
    <x v="7"/>
    <x v="2"/>
  </r>
  <r>
    <n v="45139"/>
    <x v="93"/>
    <x v="3"/>
    <x v="2"/>
    <x v="6"/>
    <s v="Apple iPhone 5"/>
    <x v="3526"/>
    <n v="2"/>
    <n v="90.98"/>
    <x v="7"/>
    <x v="2"/>
  </r>
  <r>
    <n v="45139"/>
    <x v="93"/>
    <x v="3"/>
    <x v="0"/>
    <x v="12"/>
    <s v="Belkin F5C206VTEL 6 Outlet Surge"/>
    <x v="3473"/>
    <n v="2"/>
    <n v="13.79"/>
    <x v="7"/>
    <x v="2"/>
  </r>
  <r>
    <n v="45139"/>
    <x v="580"/>
    <x v="2"/>
    <x v="1"/>
    <x v="8"/>
    <s v="Eldon 500 Class Desk Accessories"/>
    <x v="3527"/>
    <n v="2"/>
    <n v="3.14"/>
    <x v="7"/>
    <x v="2"/>
  </r>
  <r>
    <n v="45140"/>
    <x v="45"/>
    <x v="3"/>
    <x v="1"/>
    <x v="13"/>
    <s v="Barricks Non-Folding Utility Table with Steel Legs, Laminate Tops"/>
    <x v="3528"/>
    <n v="2"/>
    <n v="15.35"/>
    <x v="7"/>
    <x v="2"/>
  </r>
  <r>
    <n v="45140"/>
    <x v="45"/>
    <x v="3"/>
    <x v="2"/>
    <x v="6"/>
    <s v="Nortel Business Series Terminal T7208 Digital phone"/>
    <x v="1268"/>
    <n v="3"/>
    <n v="33.36"/>
    <x v="7"/>
    <x v="2"/>
  </r>
  <r>
    <n v="45140"/>
    <x v="45"/>
    <x v="3"/>
    <x v="0"/>
    <x v="3"/>
    <s v="XtraLife ClearVue Slant-D Ring Binders by Cardinal"/>
    <x v="1503"/>
    <n v="2"/>
    <n v="4.7"/>
    <x v="7"/>
    <x v="2"/>
  </r>
  <r>
    <n v="45141"/>
    <x v="769"/>
    <x v="39"/>
    <x v="0"/>
    <x v="10"/>
    <s v="Tyvek  Top-Opening Peel &amp; Seel Envelopes, Plain White"/>
    <x v="3529"/>
    <n v="3"/>
    <n v="38.32"/>
    <x v="7"/>
    <x v="2"/>
  </r>
  <r>
    <n v="45141"/>
    <x v="769"/>
    <x v="39"/>
    <x v="2"/>
    <x v="9"/>
    <s v="Sony Micro Vault Click 4 GB USB 2.0 Flash Drive"/>
    <x v="3530"/>
    <n v="12"/>
    <n v="23.42"/>
    <x v="7"/>
    <x v="2"/>
  </r>
  <r>
    <n v="45142"/>
    <x v="770"/>
    <x v="6"/>
    <x v="0"/>
    <x v="14"/>
    <s v="Acme 10&quot; Easy Grip Assistive Scissors"/>
    <x v="1938"/>
    <n v="2"/>
    <n v="10.52"/>
    <x v="7"/>
    <x v="2"/>
  </r>
  <r>
    <n v="45142"/>
    <x v="770"/>
    <x v="6"/>
    <x v="0"/>
    <x v="1"/>
    <s v="Avery 476"/>
    <x v="1546"/>
    <n v="1"/>
    <n v="1.9"/>
    <x v="7"/>
    <x v="2"/>
  </r>
  <r>
    <n v="45142"/>
    <x v="770"/>
    <x v="6"/>
    <x v="1"/>
    <x v="8"/>
    <s v="Advantus Panel Wall Certificate Holder - 8.5x11"/>
    <x v="3531"/>
    <n v="9"/>
    <n v="46.12"/>
    <x v="7"/>
    <x v="2"/>
  </r>
  <r>
    <n v="45142"/>
    <x v="770"/>
    <x v="6"/>
    <x v="0"/>
    <x v="1"/>
    <s v="Avery 478"/>
    <x v="1445"/>
    <n v="2"/>
    <n v="4.8099999999999996"/>
    <x v="7"/>
    <x v="2"/>
  </r>
  <r>
    <n v="45142"/>
    <x v="565"/>
    <x v="1"/>
    <x v="0"/>
    <x v="3"/>
    <s v="Ibico Presentation Index for Binding Systems"/>
    <x v="444"/>
    <n v="5"/>
    <n v="-6.57"/>
    <x v="7"/>
    <x v="2"/>
  </r>
  <r>
    <n v="45142"/>
    <x v="49"/>
    <x v="3"/>
    <x v="2"/>
    <x v="6"/>
    <s v="Mitel 5320 IP Phone VoIP phone"/>
    <x v="250"/>
    <n v="2"/>
    <n v="30.24"/>
    <x v="7"/>
    <x v="2"/>
  </r>
  <r>
    <n v="45142"/>
    <x v="49"/>
    <x v="3"/>
    <x v="0"/>
    <x v="3"/>
    <s v="Wilson Jones Leather-Like Binders with DublLock Round Rings"/>
    <x v="3532"/>
    <n v="3"/>
    <n v="7.07"/>
    <x v="7"/>
    <x v="2"/>
  </r>
  <r>
    <n v="45142"/>
    <x v="49"/>
    <x v="3"/>
    <x v="0"/>
    <x v="3"/>
    <s v="Pressboard Covers with Storage Hooks, 9 1/2&quot; x 11&quot;, Light Blue"/>
    <x v="1"/>
    <n v="3"/>
    <n v="3.98"/>
    <x v="7"/>
    <x v="2"/>
  </r>
  <r>
    <n v="45143"/>
    <x v="591"/>
    <x v="33"/>
    <x v="0"/>
    <x v="4"/>
    <s v="Boston Model 1800 Electric Pencil Sharpener, Gray"/>
    <x v="3533"/>
    <n v="7"/>
    <n v="59.12"/>
    <x v="7"/>
    <x v="2"/>
  </r>
  <r>
    <n v="45144"/>
    <x v="123"/>
    <x v="20"/>
    <x v="0"/>
    <x v="0"/>
    <s v="Easy-staple paper"/>
    <x v="3036"/>
    <n v="2"/>
    <n v="33.31"/>
    <x v="7"/>
    <x v="2"/>
  </r>
  <r>
    <n v="45144"/>
    <x v="339"/>
    <x v="3"/>
    <x v="2"/>
    <x v="6"/>
    <s v="Panasonic KX-TG6844B Expandable Digital Cordless Telephone"/>
    <x v="1536"/>
    <n v="4"/>
    <n v="18.48"/>
    <x v="7"/>
    <x v="2"/>
  </r>
  <r>
    <n v="45144"/>
    <x v="272"/>
    <x v="20"/>
    <x v="0"/>
    <x v="4"/>
    <s v="Dixon Prang Watercolor Pencils, 10-Color Set with Brush"/>
    <x v="776"/>
    <n v="9"/>
    <n v="15.72"/>
    <x v="7"/>
    <x v="2"/>
  </r>
  <r>
    <n v="45145"/>
    <x v="360"/>
    <x v="22"/>
    <x v="2"/>
    <x v="9"/>
    <s v="LogitechÂ Illuminated - Keyboard"/>
    <x v="1141"/>
    <n v="3"/>
    <n v="86.39"/>
    <x v="7"/>
    <x v="2"/>
  </r>
  <r>
    <n v="45146"/>
    <x v="453"/>
    <x v="0"/>
    <x v="0"/>
    <x v="7"/>
    <s v="OIC Bulk Pack Metal Binder Clips"/>
    <x v="2126"/>
    <n v="4"/>
    <n v="3.63"/>
    <x v="7"/>
    <x v="2"/>
  </r>
  <r>
    <n v="45146"/>
    <x v="453"/>
    <x v="0"/>
    <x v="0"/>
    <x v="0"/>
    <s v="Ink Jet Note and Greeting Cards, 8-1/2&quot; x 5-1/2&quot; Card Size"/>
    <x v="3534"/>
    <n v="3"/>
    <n v="17.53"/>
    <x v="7"/>
    <x v="2"/>
  </r>
  <r>
    <n v="45146"/>
    <x v="619"/>
    <x v="29"/>
    <x v="0"/>
    <x v="7"/>
    <s v="Alliance Super-Size Bands, Assorted Sizes"/>
    <x v="47"/>
    <n v="3"/>
    <n v="0.23"/>
    <x v="7"/>
    <x v="2"/>
  </r>
  <r>
    <n v="45146"/>
    <x v="683"/>
    <x v="3"/>
    <x v="1"/>
    <x v="13"/>
    <s v="Chromcraft 48&quot; x 96&quot; Racetrack Double Pedestal Table"/>
    <x v="3535"/>
    <n v="2"/>
    <n v="12.83"/>
    <x v="7"/>
    <x v="2"/>
  </r>
  <r>
    <n v="45146"/>
    <x v="683"/>
    <x v="3"/>
    <x v="0"/>
    <x v="12"/>
    <s v="Kensington 4 Outlet MasterPiece Compact Power Control Center"/>
    <x v="3536"/>
    <n v="6"/>
    <n v="136.62"/>
    <x v="7"/>
    <x v="2"/>
  </r>
  <r>
    <n v="45146"/>
    <x v="683"/>
    <x v="3"/>
    <x v="0"/>
    <x v="3"/>
    <s v="Acco Hanging Data Binders"/>
    <x v="1068"/>
    <n v="5"/>
    <n v="5.33"/>
    <x v="7"/>
    <x v="2"/>
  </r>
  <r>
    <n v="45146"/>
    <x v="309"/>
    <x v="39"/>
    <x v="0"/>
    <x v="0"/>
    <s v="Xerox 1954"/>
    <x v="75"/>
    <n v="2"/>
    <n v="4.75"/>
    <x v="7"/>
    <x v="2"/>
  </r>
  <r>
    <n v="45147"/>
    <x v="454"/>
    <x v="25"/>
    <x v="0"/>
    <x v="0"/>
    <s v="Xerox 199"/>
    <x v="927"/>
    <n v="9"/>
    <n v="9.6300000000000008"/>
    <x v="7"/>
    <x v="2"/>
  </r>
  <r>
    <n v="45147"/>
    <x v="454"/>
    <x v="25"/>
    <x v="2"/>
    <x v="6"/>
    <s v="Apple EarPods with Remote and Mic"/>
    <x v="3537"/>
    <n v="2"/>
    <n v="4.4800000000000004"/>
    <x v="7"/>
    <x v="2"/>
  </r>
  <r>
    <n v="45147"/>
    <x v="454"/>
    <x v="25"/>
    <x v="0"/>
    <x v="12"/>
    <s v="Kensington 7 Outlet MasterPiece Power Center"/>
    <x v="3538"/>
    <n v="4"/>
    <n v="64.069999999999993"/>
    <x v="7"/>
    <x v="2"/>
  </r>
  <r>
    <n v="45147"/>
    <x v="292"/>
    <x v="15"/>
    <x v="0"/>
    <x v="3"/>
    <s v="Tuff Stuff Recycled Round Ring Binders"/>
    <x v="1084"/>
    <n v="3"/>
    <n v="-3.04"/>
    <x v="7"/>
    <x v="2"/>
  </r>
  <r>
    <n v="45147"/>
    <x v="292"/>
    <x v="15"/>
    <x v="0"/>
    <x v="3"/>
    <s v="Avery Durable Slant Ring Binders"/>
    <x v="399"/>
    <n v="5"/>
    <n v="-7.92"/>
    <x v="7"/>
    <x v="2"/>
  </r>
  <r>
    <n v="45149"/>
    <x v="428"/>
    <x v="39"/>
    <x v="0"/>
    <x v="0"/>
    <s v="Xerox 202"/>
    <x v="331"/>
    <n v="5"/>
    <n v="15.55"/>
    <x v="7"/>
    <x v="2"/>
  </r>
  <r>
    <n v="45149"/>
    <x v="428"/>
    <x v="39"/>
    <x v="0"/>
    <x v="3"/>
    <s v="Avery Hanging File Binders"/>
    <x v="2821"/>
    <n v="7"/>
    <n v="19.260000000000002"/>
    <x v="7"/>
    <x v="2"/>
  </r>
  <r>
    <n v="45149"/>
    <x v="428"/>
    <x v="39"/>
    <x v="0"/>
    <x v="3"/>
    <s v="Premium Transparent Presentation Covers, No Pattern/Clear, 8 1/2&quot; x 11&quot;"/>
    <x v="3481"/>
    <n v="2"/>
    <n v="35.68"/>
    <x v="7"/>
    <x v="2"/>
  </r>
  <r>
    <n v="45150"/>
    <x v="641"/>
    <x v="30"/>
    <x v="0"/>
    <x v="0"/>
    <s v="Xerox 224"/>
    <x v="710"/>
    <n v="1"/>
    <n v="3.11"/>
    <x v="7"/>
    <x v="2"/>
  </r>
  <r>
    <n v="45150"/>
    <x v="752"/>
    <x v="0"/>
    <x v="2"/>
    <x v="9"/>
    <s v="Logitech diNovo Edge Keyboard"/>
    <x v="3539"/>
    <n v="7"/>
    <n v="52.5"/>
    <x v="7"/>
    <x v="2"/>
  </r>
  <r>
    <n v="45150"/>
    <x v="288"/>
    <x v="20"/>
    <x v="1"/>
    <x v="5"/>
    <s v="Global Geo Office Task Chair, Gray"/>
    <x v="2709"/>
    <n v="2"/>
    <n v="-8.1"/>
    <x v="7"/>
    <x v="2"/>
  </r>
  <r>
    <n v="45150"/>
    <x v="599"/>
    <x v="16"/>
    <x v="1"/>
    <x v="13"/>
    <s v="BPI Conference Tables"/>
    <x v="3540"/>
    <n v="7"/>
    <n v="-255.59"/>
    <x v="7"/>
    <x v="2"/>
  </r>
  <r>
    <n v="45150"/>
    <x v="377"/>
    <x v="20"/>
    <x v="1"/>
    <x v="13"/>
    <s v="Chromcraft Round Conference Tables"/>
    <x v="3541"/>
    <n v="2"/>
    <n v="-66.23"/>
    <x v="7"/>
    <x v="2"/>
  </r>
  <r>
    <n v="45150"/>
    <x v="377"/>
    <x v="20"/>
    <x v="0"/>
    <x v="2"/>
    <s v="Tennsco 6- and 18-Compartment Lockers"/>
    <x v="3542"/>
    <n v="6"/>
    <n v="286.38"/>
    <x v="7"/>
    <x v="2"/>
  </r>
  <r>
    <n v="45150"/>
    <x v="35"/>
    <x v="2"/>
    <x v="0"/>
    <x v="4"/>
    <s v="Boston 16765 Mini Stand Up Battery Pencil Sharpener"/>
    <x v="3543"/>
    <n v="4"/>
    <n v="2.8"/>
    <x v="7"/>
    <x v="2"/>
  </r>
  <r>
    <n v="45151"/>
    <x v="313"/>
    <x v="25"/>
    <x v="0"/>
    <x v="3"/>
    <s v="Acco Translucent Poly Ring Binders"/>
    <x v="3331"/>
    <n v="8"/>
    <n v="-8.24"/>
    <x v="7"/>
    <x v="2"/>
  </r>
  <r>
    <n v="45151"/>
    <x v="313"/>
    <x v="25"/>
    <x v="0"/>
    <x v="0"/>
    <s v="Easy-staple paper"/>
    <x v="1207"/>
    <n v="3"/>
    <n v="3.21"/>
    <x v="7"/>
    <x v="2"/>
  </r>
  <r>
    <n v="45151"/>
    <x v="161"/>
    <x v="21"/>
    <x v="1"/>
    <x v="11"/>
    <s v="O'Sullivan Living Dimensions 2-Shelf Bookcases"/>
    <x v="3544"/>
    <n v="2"/>
    <n v="24.2"/>
    <x v="7"/>
    <x v="2"/>
  </r>
  <r>
    <n v="45151"/>
    <x v="161"/>
    <x v="21"/>
    <x v="0"/>
    <x v="3"/>
    <s v="Avery Round Ring Poly Binders"/>
    <x v="3545"/>
    <n v="3"/>
    <n v="4.17"/>
    <x v="7"/>
    <x v="2"/>
  </r>
  <r>
    <n v="45151"/>
    <x v="459"/>
    <x v="8"/>
    <x v="0"/>
    <x v="12"/>
    <s v="Staple holder"/>
    <x v="848"/>
    <n v="2"/>
    <n v="4.68"/>
    <x v="7"/>
    <x v="2"/>
  </r>
  <r>
    <n v="45151"/>
    <x v="459"/>
    <x v="8"/>
    <x v="2"/>
    <x v="9"/>
    <s v="Sony 64GB Class 10 Micro SDHC R40 Memory Card"/>
    <x v="1553"/>
    <n v="2"/>
    <n v="15.12"/>
    <x v="7"/>
    <x v="2"/>
  </r>
  <r>
    <n v="45151"/>
    <x v="503"/>
    <x v="6"/>
    <x v="0"/>
    <x v="3"/>
    <s v="Avery Heavy-Duty EZD  Binder With Locking Rings"/>
    <x v="417"/>
    <n v="4"/>
    <n v="10.71"/>
    <x v="7"/>
    <x v="2"/>
  </r>
  <r>
    <n v="45151"/>
    <x v="503"/>
    <x v="6"/>
    <x v="0"/>
    <x v="1"/>
    <s v="Alphabetical Labels for Top Tab Filing"/>
    <x v="919"/>
    <n v="7"/>
    <n v="51.8"/>
    <x v="7"/>
    <x v="2"/>
  </r>
  <r>
    <n v="45151"/>
    <x v="189"/>
    <x v="0"/>
    <x v="0"/>
    <x v="14"/>
    <s v="Premier Electric Letter Opener"/>
    <x v="3205"/>
    <n v="2"/>
    <n v="-34.76"/>
    <x v="7"/>
    <x v="2"/>
  </r>
  <r>
    <n v="45151"/>
    <x v="189"/>
    <x v="0"/>
    <x v="0"/>
    <x v="12"/>
    <s v="3.6 Cubic Foot Counter Height Office Refrigerator"/>
    <x v="3546"/>
    <n v="1"/>
    <n v="-153.19999999999999"/>
    <x v="7"/>
    <x v="2"/>
  </r>
  <r>
    <n v="45152"/>
    <x v="747"/>
    <x v="3"/>
    <x v="0"/>
    <x v="0"/>
    <s v="Array Memo Cubes"/>
    <x v="3547"/>
    <n v="3"/>
    <n v="7.61"/>
    <x v="7"/>
    <x v="2"/>
  </r>
  <r>
    <n v="45152"/>
    <x v="747"/>
    <x v="3"/>
    <x v="2"/>
    <x v="15"/>
    <s v="Texas Instruments TI-34 Scientific Calculator"/>
    <x v="3548"/>
    <n v="6"/>
    <n v="35.619999999999997"/>
    <x v="7"/>
    <x v="2"/>
  </r>
  <r>
    <n v="45152"/>
    <x v="546"/>
    <x v="15"/>
    <x v="0"/>
    <x v="0"/>
    <s v="Xerox 200"/>
    <x v="143"/>
    <n v="3"/>
    <n v="5.44"/>
    <x v="7"/>
    <x v="2"/>
  </r>
  <r>
    <n v="45152"/>
    <x v="153"/>
    <x v="10"/>
    <x v="2"/>
    <x v="6"/>
    <s v="Cisco IP Phone 7961G-GE VoIP phone"/>
    <x v="3549"/>
    <n v="2"/>
    <n v="-56.31"/>
    <x v="7"/>
    <x v="2"/>
  </r>
  <r>
    <n v="45152"/>
    <x v="153"/>
    <x v="10"/>
    <x v="2"/>
    <x v="6"/>
    <s v="Plantronics Voyager Pro Legend"/>
    <x v="3550"/>
    <n v="2"/>
    <n v="-49.44"/>
    <x v="7"/>
    <x v="2"/>
  </r>
  <r>
    <n v="45152"/>
    <x v="153"/>
    <x v="10"/>
    <x v="2"/>
    <x v="9"/>
    <s v="Logitech G500s Laser Gaming Mouse with Adjustable Weight Tuning"/>
    <x v="1418"/>
    <n v="5"/>
    <n v="48.99"/>
    <x v="7"/>
    <x v="2"/>
  </r>
  <r>
    <n v="45153"/>
    <x v="297"/>
    <x v="26"/>
    <x v="0"/>
    <x v="3"/>
    <s v="Premium Transparent Presentation Covers by GBC"/>
    <x v="3551"/>
    <n v="3"/>
    <n v="-13.85"/>
    <x v="7"/>
    <x v="2"/>
  </r>
  <r>
    <n v="45153"/>
    <x v="297"/>
    <x v="26"/>
    <x v="0"/>
    <x v="12"/>
    <s v="Tripp Lite TLP810NET Broadband Surge for Modem/Fax"/>
    <x v="3552"/>
    <n v="3"/>
    <n v="12.23"/>
    <x v="7"/>
    <x v="2"/>
  </r>
  <r>
    <n v="45153"/>
    <x v="563"/>
    <x v="3"/>
    <x v="2"/>
    <x v="6"/>
    <s v="Nokia Lumia 521 (T-Mobile)"/>
    <x v="1553"/>
    <n v="3"/>
    <n v="7.2"/>
    <x v="7"/>
    <x v="2"/>
  </r>
  <r>
    <n v="45153"/>
    <x v="563"/>
    <x v="3"/>
    <x v="0"/>
    <x v="1"/>
    <s v="Avery 488"/>
    <x v="374"/>
    <n v="1"/>
    <n v="1.51"/>
    <x v="7"/>
    <x v="2"/>
  </r>
  <r>
    <n v="45153"/>
    <x v="405"/>
    <x v="16"/>
    <x v="2"/>
    <x v="6"/>
    <s v="HTC One Mini"/>
    <x v="3553"/>
    <n v="7"/>
    <n v="70.55"/>
    <x v="7"/>
    <x v="2"/>
  </r>
  <r>
    <n v="45153"/>
    <x v="757"/>
    <x v="25"/>
    <x v="1"/>
    <x v="5"/>
    <s v="Hon Olson Stacker Stools"/>
    <x v="474"/>
    <n v="2"/>
    <n v="22.53"/>
    <x v="7"/>
    <x v="2"/>
  </r>
  <r>
    <n v="45153"/>
    <x v="649"/>
    <x v="3"/>
    <x v="1"/>
    <x v="8"/>
    <s v="Luxo Professional Magnifying Clamp-On Fluorescent Lamps"/>
    <x v="3554"/>
    <n v="3"/>
    <n v="43.68"/>
    <x v="7"/>
    <x v="2"/>
  </r>
  <r>
    <n v="45153"/>
    <x v="649"/>
    <x v="3"/>
    <x v="0"/>
    <x v="2"/>
    <s v="Perma STOR-ALL Hanging File Box, 13 1/8&quot;W x 12 1/4&quot;D x 10 1/2&quot;H"/>
    <x v="150"/>
    <n v="3"/>
    <n v="3.05"/>
    <x v="7"/>
    <x v="2"/>
  </r>
  <r>
    <n v="45153"/>
    <x v="649"/>
    <x v="3"/>
    <x v="2"/>
    <x v="6"/>
    <s v="AT&amp;T 841000 Phone"/>
    <x v="2949"/>
    <n v="3"/>
    <n v="10.35"/>
    <x v="7"/>
    <x v="2"/>
  </r>
  <r>
    <n v="45153"/>
    <x v="649"/>
    <x v="3"/>
    <x v="0"/>
    <x v="0"/>
    <s v="Rediform S.O.S. 1-Up Phone Message Bk, 4-1/4x3-1/16 Bk, 1 Form/Pg, 40 Messages/Bk, 3/Pk"/>
    <x v="3555"/>
    <n v="4"/>
    <n v="18.010000000000002"/>
    <x v="7"/>
    <x v="2"/>
  </r>
  <r>
    <n v="45154"/>
    <x v="500"/>
    <x v="3"/>
    <x v="0"/>
    <x v="10"/>
    <s v="Convenience Packs of Business Envelopes"/>
    <x v="1981"/>
    <n v="3"/>
    <n v="5.0999999999999996"/>
    <x v="7"/>
    <x v="2"/>
  </r>
  <r>
    <n v="45154"/>
    <x v="771"/>
    <x v="3"/>
    <x v="1"/>
    <x v="13"/>
    <s v="Barricks 18&quot; x 48&quot; Non-Folding Utility Table with Bottom Storage Shelf"/>
    <x v="3556"/>
    <n v="2"/>
    <n v="12.1"/>
    <x v="7"/>
    <x v="2"/>
  </r>
  <r>
    <n v="45154"/>
    <x v="355"/>
    <x v="3"/>
    <x v="0"/>
    <x v="0"/>
    <s v="Xerox 1931"/>
    <x v="331"/>
    <n v="5"/>
    <n v="15.55"/>
    <x v="7"/>
    <x v="2"/>
  </r>
  <r>
    <n v="45155"/>
    <x v="685"/>
    <x v="22"/>
    <x v="0"/>
    <x v="3"/>
    <s v="Acco Pressboard Covers with Storage Hooks, 14 7/8&quot; x 11&quot;, Light Blue"/>
    <x v="2382"/>
    <n v="4"/>
    <n v="5.7"/>
    <x v="7"/>
    <x v="2"/>
  </r>
  <r>
    <n v="45156"/>
    <x v="698"/>
    <x v="20"/>
    <x v="0"/>
    <x v="12"/>
    <s v="Belkin 7 Outlet SurgeMaster II"/>
    <x v="3557"/>
    <n v="9"/>
    <n v="99.49"/>
    <x v="7"/>
    <x v="2"/>
  </r>
  <r>
    <n v="45156"/>
    <x v="480"/>
    <x v="20"/>
    <x v="2"/>
    <x v="6"/>
    <s v="GE DSL Phone Line Filter"/>
    <x v="3075"/>
    <n v="1"/>
    <n v="11.6"/>
    <x v="7"/>
    <x v="2"/>
  </r>
  <r>
    <n v="45156"/>
    <x v="40"/>
    <x v="0"/>
    <x v="0"/>
    <x v="3"/>
    <s v="GBC Wire Binding Combs"/>
    <x v="3558"/>
    <n v="1"/>
    <n v="-3.41"/>
    <x v="7"/>
    <x v="2"/>
  </r>
  <r>
    <n v="45156"/>
    <x v="40"/>
    <x v="0"/>
    <x v="0"/>
    <x v="0"/>
    <s v="Advantus Motivational Note Cards"/>
    <x v="82"/>
    <n v="8"/>
    <n v="30.39"/>
    <x v="7"/>
    <x v="2"/>
  </r>
  <r>
    <n v="45156"/>
    <x v="338"/>
    <x v="0"/>
    <x v="1"/>
    <x v="8"/>
    <s v="Staple-based wall hangings"/>
    <x v="3464"/>
    <n v="3"/>
    <n v="-3.82"/>
    <x v="7"/>
    <x v="2"/>
  </r>
  <r>
    <n v="45156"/>
    <x v="338"/>
    <x v="0"/>
    <x v="1"/>
    <x v="8"/>
    <s v="OIC Stacking Trays"/>
    <x v="373"/>
    <n v="4"/>
    <n v="-2.14"/>
    <x v="7"/>
    <x v="2"/>
  </r>
  <r>
    <n v="45157"/>
    <x v="218"/>
    <x v="20"/>
    <x v="0"/>
    <x v="3"/>
    <s v="Surelock Post Binders"/>
    <x v="3559"/>
    <n v="6"/>
    <n v="55.01"/>
    <x v="7"/>
    <x v="2"/>
  </r>
  <r>
    <n v="45157"/>
    <x v="218"/>
    <x v="20"/>
    <x v="0"/>
    <x v="3"/>
    <s v="Ibico EB-19 Dual Function Manual Binding System"/>
    <x v="3560"/>
    <n v="2"/>
    <n v="89.95"/>
    <x v="7"/>
    <x v="2"/>
  </r>
  <r>
    <n v="45157"/>
    <x v="218"/>
    <x v="20"/>
    <x v="0"/>
    <x v="3"/>
    <s v="Cardinal HOLDit! Binder Insert Strips,Extra Strips"/>
    <x v="136"/>
    <n v="5"/>
    <n v="9.18"/>
    <x v="7"/>
    <x v="2"/>
  </r>
  <r>
    <n v="45158"/>
    <x v="233"/>
    <x v="14"/>
    <x v="2"/>
    <x v="6"/>
    <s v="SKILCRAFT Telephone Shoulder Rest, 2&quot; x 6.5&quot; x 2.5&quot;, Black"/>
    <x v="3561"/>
    <n v="2"/>
    <n v="3.99"/>
    <x v="7"/>
    <x v="2"/>
  </r>
  <r>
    <n v="45159"/>
    <x v="720"/>
    <x v="25"/>
    <x v="0"/>
    <x v="1"/>
    <s v="Avery 49"/>
    <x v="2910"/>
    <n v="4"/>
    <n v="3.34"/>
    <x v="7"/>
    <x v="2"/>
  </r>
  <r>
    <n v="45159"/>
    <x v="720"/>
    <x v="25"/>
    <x v="0"/>
    <x v="14"/>
    <s v="Acme 10&quot; Easy Grip Assistive Scissors"/>
    <x v="3562"/>
    <n v="2"/>
    <n v="3.51"/>
    <x v="7"/>
    <x v="2"/>
  </r>
  <r>
    <n v="45159"/>
    <x v="81"/>
    <x v="2"/>
    <x v="1"/>
    <x v="13"/>
    <s v="Iceberg OfficeWorks 42&quot; Round Tables"/>
    <x v="3563"/>
    <n v="9"/>
    <n v="-339.71"/>
    <x v="7"/>
    <x v="2"/>
  </r>
  <r>
    <n v="45159"/>
    <x v="759"/>
    <x v="3"/>
    <x v="0"/>
    <x v="3"/>
    <s v="Avery Durable Slant Ring Binders"/>
    <x v="810"/>
    <n v="2"/>
    <n v="4.75"/>
    <x v="7"/>
    <x v="2"/>
  </r>
  <r>
    <n v="45159"/>
    <x v="759"/>
    <x v="3"/>
    <x v="2"/>
    <x v="6"/>
    <s v="Motorola HK250 Universal Bluetooth Headset"/>
    <x v="302"/>
    <n v="5"/>
    <n v="-20.69"/>
    <x v="7"/>
    <x v="2"/>
  </r>
  <r>
    <n v="45159"/>
    <x v="759"/>
    <x v="3"/>
    <x v="2"/>
    <x v="9"/>
    <s v="LogitechÂ Gaming G510s - Keyboard"/>
    <x v="1500"/>
    <n v="3"/>
    <n v="91.79"/>
    <x v="7"/>
    <x v="2"/>
  </r>
  <r>
    <n v="45159"/>
    <x v="759"/>
    <x v="3"/>
    <x v="2"/>
    <x v="6"/>
    <s v="Anker Astro Mini 3000mAh Ultra-Compact Portable Charger"/>
    <x v="665"/>
    <n v="2"/>
    <n v="-8"/>
    <x v="7"/>
    <x v="2"/>
  </r>
  <r>
    <n v="45159"/>
    <x v="759"/>
    <x v="3"/>
    <x v="1"/>
    <x v="13"/>
    <s v="Bretford CR8500 Series Meeting Room Furniture"/>
    <x v="3564"/>
    <n v="9"/>
    <n v="180.44"/>
    <x v="7"/>
    <x v="2"/>
  </r>
  <r>
    <n v="45159"/>
    <x v="759"/>
    <x v="3"/>
    <x v="0"/>
    <x v="0"/>
    <s v="Xerox 1997"/>
    <x v="115"/>
    <n v="2"/>
    <n v="6.22"/>
    <x v="7"/>
    <x v="2"/>
  </r>
  <r>
    <n v="45159"/>
    <x v="759"/>
    <x v="3"/>
    <x v="0"/>
    <x v="0"/>
    <s v="Xerox 1928"/>
    <x v="2340"/>
    <n v="9"/>
    <n v="21.38"/>
    <x v="7"/>
    <x v="2"/>
  </r>
  <r>
    <n v="45159"/>
    <x v="468"/>
    <x v="22"/>
    <x v="0"/>
    <x v="3"/>
    <s v="Avery Durable Slant Ring Binders With Label Holder"/>
    <x v="3565"/>
    <n v="10"/>
    <n v="11.7"/>
    <x v="7"/>
    <x v="2"/>
  </r>
  <r>
    <n v="45159"/>
    <x v="144"/>
    <x v="20"/>
    <x v="1"/>
    <x v="5"/>
    <s v="Leather Task Chair, Black"/>
    <x v="3566"/>
    <n v="7"/>
    <n v="63.69"/>
    <x v="7"/>
    <x v="2"/>
  </r>
  <r>
    <n v="45160"/>
    <x v="353"/>
    <x v="10"/>
    <x v="0"/>
    <x v="12"/>
    <s v="Tripp Lite Isotel 8 Ultra 8 Outlet Metal Surge"/>
    <x v="3567"/>
    <n v="2"/>
    <n v="8.52"/>
    <x v="7"/>
    <x v="2"/>
  </r>
  <r>
    <n v="45160"/>
    <x v="353"/>
    <x v="10"/>
    <x v="0"/>
    <x v="3"/>
    <s v="Avery Durable Poly Binders"/>
    <x v="3568"/>
    <n v="2"/>
    <n v="-2.65"/>
    <x v="7"/>
    <x v="2"/>
  </r>
  <r>
    <n v="45160"/>
    <x v="353"/>
    <x v="10"/>
    <x v="0"/>
    <x v="10"/>
    <s v="Airmail Envelopes"/>
    <x v="3569"/>
    <n v="2"/>
    <n v="45.32"/>
    <x v="7"/>
    <x v="2"/>
  </r>
  <r>
    <n v="45160"/>
    <x v="118"/>
    <x v="0"/>
    <x v="0"/>
    <x v="3"/>
    <s v="GBC Standard Recycled Report Covers, Clear Plastic Sheets"/>
    <x v="1893"/>
    <n v="2"/>
    <n v="-6.9"/>
    <x v="7"/>
    <x v="2"/>
  </r>
  <r>
    <n v="45160"/>
    <x v="320"/>
    <x v="11"/>
    <x v="0"/>
    <x v="3"/>
    <s v="GBC Imprintable Covers"/>
    <x v="3570"/>
    <n v="8"/>
    <n v="-18.45"/>
    <x v="7"/>
    <x v="2"/>
  </r>
  <r>
    <n v="45160"/>
    <x v="486"/>
    <x v="22"/>
    <x v="0"/>
    <x v="0"/>
    <s v="Xerox 202"/>
    <x v="5"/>
    <n v="3"/>
    <n v="9.33"/>
    <x v="7"/>
    <x v="2"/>
  </r>
  <r>
    <n v="45160"/>
    <x v="529"/>
    <x v="26"/>
    <x v="1"/>
    <x v="8"/>
    <s v="Dana Halogen Swing-Arm Architect Lamp"/>
    <x v="3571"/>
    <n v="3"/>
    <n v="9.83"/>
    <x v="7"/>
    <x v="2"/>
  </r>
  <r>
    <n v="45160"/>
    <x v="203"/>
    <x v="3"/>
    <x v="0"/>
    <x v="4"/>
    <s v="Newell 346"/>
    <x v="1235"/>
    <n v="2"/>
    <n v="1.67"/>
    <x v="7"/>
    <x v="2"/>
  </r>
  <r>
    <n v="45161"/>
    <x v="772"/>
    <x v="0"/>
    <x v="0"/>
    <x v="2"/>
    <s v="SAFCO Boltless Steel Shelving"/>
    <x v="3572"/>
    <n v="8"/>
    <n v="-172.73"/>
    <x v="7"/>
    <x v="2"/>
  </r>
  <r>
    <n v="45161"/>
    <x v="772"/>
    <x v="0"/>
    <x v="1"/>
    <x v="8"/>
    <s v="Flat Face Poster Frame"/>
    <x v="3219"/>
    <n v="3"/>
    <n v="-10.17"/>
    <x v="7"/>
    <x v="2"/>
  </r>
  <r>
    <n v="45161"/>
    <x v="772"/>
    <x v="0"/>
    <x v="2"/>
    <x v="9"/>
    <s v="WD My Passport Ultra 2TB Portable External Hard Drive"/>
    <x v="3573"/>
    <n v="7"/>
    <n v="-33.32"/>
    <x v="7"/>
    <x v="2"/>
  </r>
  <r>
    <n v="45161"/>
    <x v="282"/>
    <x v="22"/>
    <x v="2"/>
    <x v="15"/>
    <s v="Okidata C331dn Printer"/>
    <x v="3574"/>
    <n v="3"/>
    <n v="62.82"/>
    <x v="7"/>
    <x v="2"/>
  </r>
  <r>
    <n v="45161"/>
    <x v="282"/>
    <x v="22"/>
    <x v="0"/>
    <x v="10"/>
    <s v="Tyvek  Top-Opening Peel &amp; Seel Envelopes, Plain White"/>
    <x v="3575"/>
    <n v="5"/>
    <n v="63.87"/>
    <x v="7"/>
    <x v="2"/>
  </r>
  <r>
    <n v="45161"/>
    <x v="282"/>
    <x v="22"/>
    <x v="0"/>
    <x v="0"/>
    <s v="Xerox 1978"/>
    <x v="1490"/>
    <n v="6"/>
    <n v="16.989999999999998"/>
    <x v="7"/>
    <x v="2"/>
  </r>
  <r>
    <n v="45161"/>
    <x v="282"/>
    <x v="22"/>
    <x v="1"/>
    <x v="5"/>
    <s v="Office Star Flex Back Scooter Chair with White Frame"/>
    <x v="3576"/>
    <n v="6"/>
    <n v="-39.950000000000003"/>
    <x v="7"/>
    <x v="2"/>
  </r>
  <r>
    <n v="45161"/>
    <x v="282"/>
    <x v="22"/>
    <x v="0"/>
    <x v="12"/>
    <s v="Acco Six-Outlet Power Strip, 4' Cord Length"/>
    <x v="3577"/>
    <n v="5"/>
    <n v="11.21"/>
    <x v="7"/>
    <x v="2"/>
  </r>
  <r>
    <n v="45161"/>
    <x v="282"/>
    <x v="22"/>
    <x v="0"/>
    <x v="14"/>
    <s v="Acme Rosewood Handle Letter Opener"/>
    <x v="2714"/>
    <n v="4"/>
    <n v="0.16"/>
    <x v="7"/>
    <x v="2"/>
  </r>
  <r>
    <n v="45161"/>
    <x v="359"/>
    <x v="20"/>
    <x v="0"/>
    <x v="4"/>
    <s v="Dixon Prang Watercolor Pencils, 10-Color Set with Brush"/>
    <x v="1901"/>
    <n v="5"/>
    <n v="8.73"/>
    <x v="7"/>
    <x v="2"/>
  </r>
  <r>
    <n v="45161"/>
    <x v="359"/>
    <x v="20"/>
    <x v="0"/>
    <x v="12"/>
    <s v="1.7 Cubic Foot Compact &quot;Cube&quot; Office Refrigerators"/>
    <x v="3578"/>
    <n v="5"/>
    <n v="281.02"/>
    <x v="7"/>
    <x v="2"/>
  </r>
  <r>
    <n v="45161"/>
    <x v="359"/>
    <x v="20"/>
    <x v="0"/>
    <x v="4"/>
    <s v="Newell 331"/>
    <x v="1729"/>
    <n v="6"/>
    <n v="7.92"/>
    <x v="7"/>
    <x v="2"/>
  </r>
  <r>
    <n v="45161"/>
    <x v="338"/>
    <x v="21"/>
    <x v="0"/>
    <x v="1"/>
    <s v="Permanent Self-Adhesive File Folder Labels for Typewriters, 1 1/8 x 3 1/2, White"/>
    <x v="3579"/>
    <n v="4"/>
    <n v="11.59"/>
    <x v="7"/>
    <x v="2"/>
  </r>
  <r>
    <n v="45161"/>
    <x v="338"/>
    <x v="21"/>
    <x v="0"/>
    <x v="1"/>
    <s v="Avery 515"/>
    <x v="3580"/>
    <n v="3"/>
    <n v="17.670000000000002"/>
    <x v="7"/>
    <x v="2"/>
  </r>
  <r>
    <n v="45161"/>
    <x v="338"/>
    <x v="21"/>
    <x v="0"/>
    <x v="2"/>
    <s v="Pizazz Global Quick File"/>
    <x v="908"/>
    <n v="1"/>
    <n v="4.1900000000000004"/>
    <x v="7"/>
    <x v="2"/>
  </r>
  <r>
    <n v="45161"/>
    <x v="338"/>
    <x v="21"/>
    <x v="2"/>
    <x v="9"/>
    <s v="Maxell 4.7GB DVD+R 5/Pack"/>
    <x v="1183"/>
    <n v="2"/>
    <n v="0.89"/>
    <x v="7"/>
    <x v="2"/>
  </r>
  <r>
    <n v="45164"/>
    <x v="334"/>
    <x v="3"/>
    <x v="0"/>
    <x v="7"/>
    <s v="Advantus SlideClip Paper Clips"/>
    <x v="3581"/>
    <n v="3"/>
    <n v="4.91"/>
    <x v="7"/>
    <x v="2"/>
  </r>
  <r>
    <n v="45164"/>
    <x v="334"/>
    <x v="3"/>
    <x v="0"/>
    <x v="0"/>
    <s v="Xerox 1979"/>
    <x v="276"/>
    <n v="5"/>
    <n v="69.709999999999994"/>
    <x v="7"/>
    <x v="2"/>
  </r>
  <r>
    <n v="45164"/>
    <x v="49"/>
    <x v="0"/>
    <x v="2"/>
    <x v="9"/>
    <s v="Logitech G700s Rechargeable Gaming Mouse"/>
    <x v="281"/>
    <n v="2"/>
    <n v="44"/>
    <x v="7"/>
    <x v="2"/>
  </r>
  <r>
    <n v="45164"/>
    <x v="49"/>
    <x v="0"/>
    <x v="1"/>
    <x v="5"/>
    <s v="Hon Deluxe Fabric Upholstered Stacking Chairs"/>
    <x v="3582"/>
    <n v="6"/>
    <n v="-29.28"/>
    <x v="7"/>
    <x v="2"/>
  </r>
  <r>
    <n v="45164"/>
    <x v="309"/>
    <x v="22"/>
    <x v="0"/>
    <x v="0"/>
    <s v="Xerox 1931"/>
    <x v="710"/>
    <n v="1"/>
    <n v="3.11"/>
    <x v="7"/>
    <x v="2"/>
  </r>
  <r>
    <n v="45164"/>
    <x v="351"/>
    <x v="3"/>
    <x v="1"/>
    <x v="5"/>
    <s v="Global Troy Executive Leather Low-Back Tilter"/>
    <x v="3583"/>
    <n v="4"/>
    <n v="100.2"/>
    <x v="7"/>
    <x v="2"/>
  </r>
  <r>
    <n v="45164"/>
    <x v="422"/>
    <x v="2"/>
    <x v="0"/>
    <x v="4"/>
    <s v="Binney &amp; Smith inkTank Erasable Pocket Highlighter, Chisel Tip, Yellow"/>
    <x v="283"/>
    <n v="3"/>
    <n v="1.64"/>
    <x v="7"/>
    <x v="2"/>
  </r>
  <r>
    <n v="45164"/>
    <x v="422"/>
    <x v="2"/>
    <x v="2"/>
    <x v="9"/>
    <s v="Logitech Trackman Marble Mouse"/>
    <x v="972"/>
    <n v="2"/>
    <n v="13.2"/>
    <x v="7"/>
    <x v="2"/>
  </r>
  <r>
    <n v="45164"/>
    <x v="324"/>
    <x v="3"/>
    <x v="0"/>
    <x v="4"/>
    <s v="Newell Chalk Holder"/>
    <x v="1985"/>
    <n v="2"/>
    <n v="3.8"/>
    <x v="7"/>
    <x v="2"/>
  </r>
  <r>
    <n v="45164"/>
    <x v="696"/>
    <x v="20"/>
    <x v="2"/>
    <x v="6"/>
    <s v="Samsung Replacement EH64AVFWE Premium Headset"/>
    <x v="3584"/>
    <n v="6"/>
    <n v="8.25"/>
    <x v="7"/>
    <x v="2"/>
  </r>
  <r>
    <n v="45164"/>
    <x v="696"/>
    <x v="20"/>
    <x v="2"/>
    <x v="9"/>
    <s v="Plantronics Audio 478 Stereo USB Headset"/>
    <x v="3585"/>
    <n v="5"/>
    <n v="87.48"/>
    <x v="7"/>
    <x v="2"/>
  </r>
  <r>
    <n v="45164"/>
    <x v="301"/>
    <x v="21"/>
    <x v="2"/>
    <x v="9"/>
    <s v="Memorex Micro Travel Drive 16 GB"/>
    <x v="3586"/>
    <n v="3"/>
    <n v="14.87"/>
    <x v="7"/>
    <x v="2"/>
  </r>
  <r>
    <n v="45164"/>
    <x v="182"/>
    <x v="14"/>
    <x v="0"/>
    <x v="0"/>
    <s v="Xerox 1950"/>
    <x v="825"/>
    <n v="2"/>
    <n v="5.66"/>
    <x v="7"/>
    <x v="2"/>
  </r>
  <r>
    <n v="45164"/>
    <x v="182"/>
    <x v="14"/>
    <x v="2"/>
    <x v="6"/>
    <s v="ClearSounds CSC500 Amplified Spirit Phone Corded phone"/>
    <x v="910"/>
    <n v="3"/>
    <n v="58.79"/>
    <x v="7"/>
    <x v="2"/>
  </r>
  <r>
    <n v="45164"/>
    <x v="182"/>
    <x v="14"/>
    <x v="1"/>
    <x v="13"/>
    <s v="Hon 4060 Series Tables"/>
    <x v="591"/>
    <n v="4"/>
    <n v="98.52"/>
    <x v="7"/>
    <x v="2"/>
  </r>
  <r>
    <n v="45164"/>
    <x v="182"/>
    <x v="14"/>
    <x v="2"/>
    <x v="9"/>
    <s v="NETGEAR AC1750 Dual Band GigabitÂ Smart WiFi Router"/>
    <x v="145"/>
    <n v="3"/>
    <n v="163.19"/>
    <x v="7"/>
    <x v="2"/>
  </r>
  <r>
    <n v="45164"/>
    <x v="182"/>
    <x v="14"/>
    <x v="0"/>
    <x v="4"/>
    <s v="Newell 335"/>
    <x v="406"/>
    <n v="3"/>
    <n v="2.5099999999999998"/>
    <x v="7"/>
    <x v="2"/>
  </r>
  <r>
    <n v="45164"/>
    <x v="21"/>
    <x v="4"/>
    <x v="1"/>
    <x v="8"/>
    <s v="Deflect-o Glass Clear Studded Chair Mats"/>
    <x v="2626"/>
    <n v="3"/>
    <n v="41.04"/>
    <x v="7"/>
    <x v="2"/>
  </r>
  <r>
    <n v="45164"/>
    <x v="687"/>
    <x v="20"/>
    <x v="0"/>
    <x v="3"/>
    <s v="Deluxe Heavy-Duty Vinyl Round Ring Binder"/>
    <x v="3559"/>
    <n v="8"/>
    <n v="45.84"/>
    <x v="7"/>
    <x v="2"/>
  </r>
  <r>
    <n v="45164"/>
    <x v="642"/>
    <x v="16"/>
    <x v="0"/>
    <x v="0"/>
    <s v="Xerox 1944"/>
    <x v="3587"/>
    <n v="1"/>
    <n v="11.24"/>
    <x v="7"/>
    <x v="2"/>
  </r>
  <r>
    <n v="45165"/>
    <x v="567"/>
    <x v="0"/>
    <x v="0"/>
    <x v="14"/>
    <s v="Martin-Yale Premier Letter Opener"/>
    <x v="2348"/>
    <n v="5"/>
    <n v="-10.95"/>
    <x v="7"/>
    <x v="2"/>
  </r>
  <r>
    <n v="45165"/>
    <x v="567"/>
    <x v="0"/>
    <x v="0"/>
    <x v="0"/>
    <s v="Ampad Gold Fibre Wirebound Steno Books, 6&quot; x 9&quot;, Gregg Ruled"/>
    <x v="3588"/>
    <n v="1"/>
    <n v="1.1499999999999999"/>
    <x v="7"/>
    <x v="2"/>
  </r>
  <r>
    <n v="45165"/>
    <x v="567"/>
    <x v="0"/>
    <x v="0"/>
    <x v="0"/>
    <s v="Xerox 196"/>
    <x v="973"/>
    <n v="1"/>
    <n v="1.68"/>
    <x v="7"/>
    <x v="2"/>
  </r>
  <r>
    <n v="45165"/>
    <x v="567"/>
    <x v="0"/>
    <x v="0"/>
    <x v="14"/>
    <s v="Fiskars 8&quot; Scissors, 2/Pack"/>
    <x v="3589"/>
    <n v="4"/>
    <n v="6.21"/>
    <x v="7"/>
    <x v="2"/>
  </r>
  <r>
    <n v="45165"/>
    <x v="764"/>
    <x v="32"/>
    <x v="0"/>
    <x v="0"/>
    <s v="Xerox 1919"/>
    <x v="222"/>
    <n v="3"/>
    <n v="60.26"/>
    <x v="7"/>
    <x v="2"/>
  </r>
  <r>
    <n v="45165"/>
    <x v="764"/>
    <x v="32"/>
    <x v="1"/>
    <x v="13"/>
    <s v="SAFCO PlanMaster Heigh-Adjustable Drafting Table Base, 43w x 30d x 30-37h, Black"/>
    <x v="3590"/>
    <n v="1"/>
    <n v="20.97"/>
    <x v="7"/>
    <x v="2"/>
  </r>
  <r>
    <n v="45165"/>
    <x v="764"/>
    <x v="32"/>
    <x v="2"/>
    <x v="6"/>
    <s v="PureGear Roll-On Screen Protector"/>
    <x v="2388"/>
    <n v="3"/>
    <n v="28.79"/>
    <x v="7"/>
    <x v="2"/>
  </r>
  <r>
    <n v="45165"/>
    <x v="764"/>
    <x v="32"/>
    <x v="0"/>
    <x v="0"/>
    <s v="Southworth 25% Cotton Linen-Finish Paper &amp; Envelopes"/>
    <x v="3529"/>
    <n v="9"/>
    <n v="36.69"/>
    <x v="7"/>
    <x v="2"/>
  </r>
  <r>
    <n v="45165"/>
    <x v="764"/>
    <x v="32"/>
    <x v="0"/>
    <x v="7"/>
    <s v="Staples"/>
    <x v="2410"/>
    <n v="4"/>
    <n v="5.26"/>
    <x v="7"/>
    <x v="2"/>
  </r>
  <r>
    <n v="45165"/>
    <x v="764"/>
    <x v="32"/>
    <x v="0"/>
    <x v="3"/>
    <s v="Wilson Jones Clip &amp; Carry Folder Binder Tool for Ring Binders, Clear"/>
    <x v="1354"/>
    <n v="5"/>
    <n v="13.92"/>
    <x v="7"/>
    <x v="2"/>
  </r>
  <r>
    <n v="45165"/>
    <x v="735"/>
    <x v="0"/>
    <x v="0"/>
    <x v="2"/>
    <s v="Portfile Personal File Boxes"/>
    <x v="3458"/>
    <n v="1"/>
    <n v="1.06"/>
    <x v="7"/>
    <x v="2"/>
  </r>
  <r>
    <n v="45165"/>
    <x v="735"/>
    <x v="0"/>
    <x v="0"/>
    <x v="0"/>
    <s v="Southworth 25% Cotton Premium Laser Paper and Envelopes"/>
    <x v="2828"/>
    <n v="5"/>
    <n v="27.97"/>
    <x v="7"/>
    <x v="2"/>
  </r>
  <r>
    <n v="45165"/>
    <x v="551"/>
    <x v="16"/>
    <x v="0"/>
    <x v="1"/>
    <s v="Avery 484"/>
    <x v="2910"/>
    <n v="4"/>
    <n v="3.34"/>
    <x v="7"/>
    <x v="2"/>
  </r>
  <r>
    <n v="45166"/>
    <x v="330"/>
    <x v="26"/>
    <x v="0"/>
    <x v="0"/>
    <s v="Wirebound Four 2-3/4 x 5 Forms per Page, 400 Sets per Book"/>
    <x v="2135"/>
    <n v="3"/>
    <n v="5.61"/>
    <x v="7"/>
    <x v="2"/>
  </r>
  <r>
    <n v="45166"/>
    <x v="330"/>
    <x v="26"/>
    <x v="2"/>
    <x v="6"/>
    <s v="AT&amp;T 17929 Lendline Telephone"/>
    <x v="3068"/>
    <n v="3"/>
    <n v="8.14"/>
    <x v="7"/>
    <x v="2"/>
  </r>
  <r>
    <n v="45166"/>
    <x v="717"/>
    <x v="0"/>
    <x v="0"/>
    <x v="3"/>
    <s v="Angle-D Binders with Locking Rings, Label Holders"/>
    <x v="3591"/>
    <n v="9"/>
    <n v="-21.68"/>
    <x v="7"/>
    <x v="2"/>
  </r>
  <r>
    <n v="45166"/>
    <x v="717"/>
    <x v="0"/>
    <x v="0"/>
    <x v="3"/>
    <s v="GBC ProClick Spines for 32-Hole Punch"/>
    <x v="2243"/>
    <n v="4"/>
    <n v="-16.54"/>
    <x v="7"/>
    <x v="2"/>
  </r>
  <r>
    <n v="45166"/>
    <x v="717"/>
    <x v="0"/>
    <x v="1"/>
    <x v="11"/>
    <s v="Sauder Camden County Collection Libraries, Planked Cherry Finish"/>
    <x v="3592"/>
    <n v="2"/>
    <n v="-52.89"/>
    <x v="7"/>
    <x v="2"/>
  </r>
  <r>
    <n v="45166"/>
    <x v="615"/>
    <x v="10"/>
    <x v="0"/>
    <x v="3"/>
    <s v="GBC VeloBinder Strips"/>
    <x v="2882"/>
    <n v="8"/>
    <n v="-12.29"/>
    <x v="7"/>
    <x v="2"/>
  </r>
  <r>
    <n v="45167"/>
    <x v="81"/>
    <x v="1"/>
    <x v="0"/>
    <x v="0"/>
    <s v="Avery Personal Creations Heavyweight Cards"/>
    <x v="3593"/>
    <n v="7"/>
    <n v="22.62"/>
    <x v="7"/>
    <x v="2"/>
  </r>
  <r>
    <n v="45167"/>
    <x v="81"/>
    <x v="1"/>
    <x v="2"/>
    <x v="9"/>
    <s v="SanDisk Ultra 64 GB MicroSDHC Class 10 Memory Card"/>
    <x v="772"/>
    <n v="3"/>
    <n v="-10.8"/>
    <x v="7"/>
    <x v="2"/>
  </r>
  <r>
    <n v="45167"/>
    <x v="81"/>
    <x v="1"/>
    <x v="0"/>
    <x v="3"/>
    <s v="Avery Hidden Tab Dividers for Binding Systems"/>
    <x v="1087"/>
    <n v="3"/>
    <n v="-3.04"/>
    <x v="7"/>
    <x v="2"/>
  </r>
  <r>
    <n v="45167"/>
    <x v="692"/>
    <x v="38"/>
    <x v="0"/>
    <x v="14"/>
    <s v="Acme Forged Steel Scissors with Black Enamel Handles"/>
    <x v="3594"/>
    <n v="3"/>
    <n v="8.1"/>
    <x v="7"/>
    <x v="2"/>
  </r>
  <r>
    <n v="45167"/>
    <x v="690"/>
    <x v="20"/>
    <x v="2"/>
    <x v="6"/>
    <s v="Samsung Replacement EH64AVFWE Premium Headset"/>
    <x v="3595"/>
    <n v="4"/>
    <n v="5.5"/>
    <x v="7"/>
    <x v="2"/>
  </r>
  <r>
    <n v="45167"/>
    <x v="169"/>
    <x v="2"/>
    <x v="1"/>
    <x v="13"/>
    <s v="Barricks 18&quot; x 48&quot; Non-Folding Utility Table with Bottom Storage Shelf"/>
    <x v="3596"/>
    <n v="4"/>
    <n v="-56.45"/>
    <x v="7"/>
    <x v="2"/>
  </r>
  <r>
    <n v="45167"/>
    <x v="169"/>
    <x v="2"/>
    <x v="1"/>
    <x v="11"/>
    <s v="O'Sullivan 5-Shelf Heavy-Duty Bookcases"/>
    <x v="3597"/>
    <n v="4"/>
    <n v="-81.94"/>
    <x v="7"/>
    <x v="2"/>
  </r>
  <r>
    <n v="45167"/>
    <x v="169"/>
    <x v="2"/>
    <x v="0"/>
    <x v="3"/>
    <s v="Fellowes Black Plastic Comb Bindings"/>
    <x v="656"/>
    <n v="2"/>
    <n v="-2.79"/>
    <x v="7"/>
    <x v="2"/>
  </r>
  <r>
    <n v="45167"/>
    <x v="169"/>
    <x v="2"/>
    <x v="0"/>
    <x v="7"/>
    <s v="Revere Boxed Rubber Bands by Revere"/>
    <x v="2775"/>
    <n v="7"/>
    <n v="-2.38"/>
    <x v="7"/>
    <x v="2"/>
  </r>
  <r>
    <n v="45168"/>
    <x v="487"/>
    <x v="2"/>
    <x v="2"/>
    <x v="6"/>
    <s v="Aastra 57i VoIP phone"/>
    <x v="3598"/>
    <n v="3"/>
    <n v="-67.88"/>
    <x v="7"/>
    <x v="2"/>
  </r>
  <r>
    <n v="45168"/>
    <x v="487"/>
    <x v="2"/>
    <x v="0"/>
    <x v="2"/>
    <s v="File Shuttle II and Handi-File, Black"/>
    <x v="3599"/>
    <n v="2"/>
    <n v="3.39"/>
    <x v="7"/>
    <x v="2"/>
  </r>
  <r>
    <n v="45168"/>
    <x v="487"/>
    <x v="2"/>
    <x v="1"/>
    <x v="5"/>
    <s v="Hon 2090 Â“Pillow SoftÂ” Series Mid Back Swivel/Tilt Chairs"/>
    <x v="3600"/>
    <n v="4"/>
    <n v="-258.5"/>
    <x v="7"/>
    <x v="2"/>
  </r>
  <r>
    <n v="45168"/>
    <x v="487"/>
    <x v="2"/>
    <x v="0"/>
    <x v="1"/>
    <s v="Round Specialty Laser Printer Labels"/>
    <x v="523"/>
    <n v="10"/>
    <n v="33.83"/>
    <x v="7"/>
    <x v="2"/>
  </r>
  <r>
    <n v="45168"/>
    <x v="487"/>
    <x v="2"/>
    <x v="0"/>
    <x v="3"/>
    <s v="GBC Premium Transparent Covers with Diagonal Lined Pattern"/>
    <x v="3601"/>
    <n v="6"/>
    <n v="-27.69"/>
    <x v="7"/>
    <x v="2"/>
  </r>
  <r>
    <n v="45168"/>
    <x v="100"/>
    <x v="3"/>
    <x v="1"/>
    <x v="8"/>
    <s v="Executive Impressions 10&quot; Spectator Wall Clock"/>
    <x v="2238"/>
    <n v="4"/>
    <n v="15.99"/>
    <x v="7"/>
    <x v="2"/>
  </r>
  <r>
    <n v="45168"/>
    <x v="100"/>
    <x v="3"/>
    <x v="2"/>
    <x v="6"/>
    <s v="Panasonic KX TS3282W Corded phone"/>
    <x v="811"/>
    <n v="5"/>
    <n v="42.5"/>
    <x v="7"/>
    <x v="2"/>
  </r>
  <r>
    <n v="45169"/>
    <x v="633"/>
    <x v="0"/>
    <x v="0"/>
    <x v="2"/>
    <s v="Super Decoflex Portable Personal File"/>
    <x v="1293"/>
    <n v="2"/>
    <n v="2.4"/>
    <x v="7"/>
    <x v="2"/>
  </r>
  <r>
    <n v="45170"/>
    <x v="692"/>
    <x v="20"/>
    <x v="2"/>
    <x v="9"/>
    <s v="Sabrent 4-Port USB 2.0 Hub"/>
    <x v="3602"/>
    <n v="1"/>
    <n v="2.31"/>
    <x v="8"/>
    <x v="2"/>
  </r>
  <r>
    <n v="45170"/>
    <x v="692"/>
    <x v="20"/>
    <x v="0"/>
    <x v="0"/>
    <s v="Xerox 1881"/>
    <x v="396"/>
    <n v="2"/>
    <n v="11.54"/>
    <x v="8"/>
    <x v="2"/>
  </r>
  <r>
    <n v="45170"/>
    <x v="692"/>
    <x v="20"/>
    <x v="0"/>
    <x v="3"/>
    <s v="Acco Hanging Data Binders"/>
    <x v="3603"/>
    <n v="1"/>
    <n v="1.07"/>
    <x v="8"/>
    <x v="2"/>
  </r>
  <r>
    <n v="45170"/>
    <x v="692"/>
    <x v="20"/>
    <x v="0"/>
    <x v="0"/>
    <s v="Xerox 1881"/>
    <x v="644"/>
    <n v="4"/>
    <n v="23.09"/>
    <x v="8"/>
    <x v="2"/>
  </r>
  <r>
    <n v="45170"/>
    <x v="692"/>
    <x v="20"/>
    <x v="0"/>
    <x v="3"/>
    <s v="GBC DocuBind P400 Electric Binding System"/>
    <x v="3604"/>
    <n v="4"/>
    <n v="1415.43"/>
    <x v="8"/>
    <x v="2"/>
  </r>
  <r>
    <n v="45170"/>
    <x v="755"/>
    <x v="3"/>
    <x v="0"/>
    <x v="10"/>
    <s v="White Business Envelopes with Contemporary Seam, Recycled White Business Envelopes"/>
    <x v="3103"/>
    <n v="2"/>
    <n v="10.94"/>
    <x v="8"/>
    <x v="2"/>
  </r>
  <r>
    <n v="45170"/>
    <x v="78"/>
    <x v="2"/>
    <x v="0"/>
    <x v="0"/>
    <s v="Telephone Message Books with Fax/Mobile Section, 5 1/2&quot; x 3 3/16&quot;"/>
    <x v="1291"/>
    <n v="6"/>
    <n v="9.91"/>
    <x v="8"/>
    <x v="2"/>
  </r>
  <r>
    <n v="45170"/>
    <x v="78"/>
    <x v="2"/>
    <x v="2"/>
    <x v="6"/>
    <s v="Anker 36W 4-Port USB Wall Charger Travel Power Adapter for iPhone 5s 5c 5"/>
    <x v="664"/>
    <n v="2"/>
    <n v="-4.8"/>
    <x v="8"/>
    <x v="2"/>
  </r>
  <r>
    <n v="45170"/>
    <x v="78"/>
    <x v="2"/>
    <x v="0"/>
    <x v="7"/>
    <s v="Staples"/>
    <x v="3605"/>
    <n v="7"/>
    <n v="5.42"/>
    <x v="8"/>
    <x v="2"/>
  </r>
  <r>
    <n v="45170"/>
    <x v="190"/>
    <x v="20"/>
    <x v="2"/>
    <x v="9"/>
    <s v="Enermax Aurora Lite Keyboard"/>
    <x v="78"/>
    <n v="6"/>
    <n v="206.32"/>
    <x v="8"/>
    <x v="2"/>
  </r>
  <r>
    <n v="45170"/>
    <x v="190"/>
    <x v="20"/>
    <x v="2"/>
    <x v="9"/>
    <s v="Memorex Mini Travel Drive 64 GB USB 2.0 Flash Drive"/>
    <x v="3606"/>
    <n v="2"/>
    <n v="30.44"/>
    <x v="8"/>
    <x v="2"/>
  </r>
  <r>
    <n v="45170"/>
    <x v="190"/>
    <x v="20"/>
    <x v="0"/>
    <x v="14"/>
    <s v="Acme Value Line Scissors"/>
    <x v="1322"/>
    <n v="3"/>
    <n v="3.29"/>
    <x v="8"/>
    <x v="2"/>
  </r>
  <r>
    <n v="45170"/>
    <x v="190"/>
    <x v="20"/>
    <x v="1"/>
    <x v="8"/>
    <s v="Howard Miller 14-1/2&quot; Diameter Chrome Round Wall Clock"/>
    <x v="2332"/>
    <n v="3"/>
    <n v="61.38"/>
    <x v="8"/>
    <x v="2"/>
  </r>
  <r>
    <n v="45170"/>
    <x v="409"/>
    <x v="14"/>
    <x v="0"/>
    <x v="3"/>
    <s v="Wilson Jones Turn Tabs Binder Tool for Ring Binders"/>
    <x v="2563"/>
    <n v="5"/>
    <n v="11.09"/>
    <x v="8"/>
    <x v="2"/>
  </r>
  <r>
    <n v="45170"/>
    <x v="409"/>
    <x v="14"/>
    <x v="2"/>
    <x v="6"/>
    <s v="Belkin Grip Candy Sheer Case / Cover for iPhone 5 and 5S"/>
    <x v="2772"/>
    <n v="1"/>
    <n v="2.2799999999999998"/>
    <x v="8"/>
    <x v="2"/>
  </r>
  <r>
    <n v="45170"/>
    <x v="409"/>
    <x v="14"/>
    <x v="0"/>
    <x v="12"/>
    <s v="Eureka The Boss Plus 12-Amp Hard Box Upright Vacuum, Red"/>
    <x v="3607"/>
    <n v="4"/>
    <n v="71.16"/>
    <x v="8"/>
    <x v="2"/>
  </r>
  <r>
    <n v="45170"/>
    <x v="409"/>
    <x v="14"/>
    <x v="0"/>
    <x v="3"/>
    <s v="GBC Plastic Binding Combs"/>
    <x v="2873"/>
    <n v="4"/>
    <n v="14.46"/>
    <x v="8"/>
    <x v="2"/>
  </r>
  <r>
    <n v="45170"/>
    <x v="409"/>
    <x v="14"/>
    <x v="0"/>
    <x v="4"/>
    <s v="Newell 315"/>
    <x v="687"/>
    <n v="2"/>
    <n v="2.99"/>
    <x v="8"/>
    <x v="2"/>
  </r>
  <r>
    <n v="45170"/>
    <x v="409"/>
    <x v="14"/>
    <x v="0"/>
    <x v="3"/>
    <s v="Wilson Jones 1&quot; Hanging DublLock Ring Binders"/>
    <x v="2183"/>
    <n v="5"/>
    <n v="12.67"/>
    <x v="8"/>
    <x v="2"/>
  </r>
  <r>
    <n v="45170"/>
    <x v="162"/>
    <x v="3"/>
    <x v="0"/>
    <x v="10"/>
    <s v="Globe Weis Peel &amp; Seel First Class Envelopes"/>
    <x v="6"/>
    <n v="1"/>
    <n v="5.75"/>
    <x v="8"/>
    <x v="2"/>
  </r>
  <r>
    <n v="45171"/>
    <x v="502"/>
    <x v="20"/>
    <x v="0"/>
    <x v="4"/>
    <s v="Panasonic KP-150 Electric Pencil Sharpener"/>
    <x v="3608"/>
    <n v="2"/>
    <n v="19.62"/>
    <x v="8"/>
    <x v="2"/>
  </r>
  <r>
    <n v="45171"/>
    <x v="502"/>
    <x v="20"/>
    <x v="1"/>
    <x v="8"/>
    <s v="Telescoping Adjustable Floor Lamp"/>
    <x v="2447"/>
    <n v="2"/>
    <n v="10"/>
    <x v="8"/>
    <x v="2"/>
  </r>
  <r>
    <n v="45171"/>
    <x v="331"/>
    <x v="21"/>
    <x v="0"/>
    <x v="7"/>
    <s v="Colored Push Pins"/>
    <x v="3609"/>
    <n v="1"/>
    <n v="0.65"/>
    <x v="8"/>
    <x v="2"/>
  </r>
  <r>
    <n v="45171"/>
    <x v="331"/>
    <x v="21"/>
    <x v="0"/>
    <x v="3"/>
    <s v="ACCOHIDE 3-Ring Binder, Blue, 1&quot;"/>
    <x v="1985"/>
    <n v="2"/>
    <n v="3.88"/>
    <x v="8"/>
    <x v="2"/>
  </r>
  <r>
    <n v="45171"/>
    <x v="381"/>
    <x v="3"/>
    <x v="0"/>
    <x v="2"/>
    <s v="Tenex File Box, Personal Filing Tote with Lid, Black"/>
    <x v="3610"/>
    <n v="3"/>
    <n v="12.1"/>
    <x v="8"/>
    <x v="2"/>
  </r>
  <r>
    <n v="45171"/>
    <x v="556"/>
    <x v="1"/>
    <x v="0"/>
    <x v="1"/>
    <s v="Self-Adhesive Address Labels for Typewriters by Universal"/>
    <x v="1091"/>
    <n v="5"/>
    <n v="9.8699999999999992"/>
    <x v="8"/>
    <x v="2"/>
  </r>
  <r>
    <n v="45171"/>
    <x v="556"/>
    <x v="1"/>
    <x v="0"/>
    <x v="2"/>
    <s v="Rogers Deluxe File Chest"/>
    <x v="1395"/>
    <n v="2"/>
    <n v="-8.35"/>
    <x v="8"/>
    <x v="2"/>
  </r>
  <r>
    <n v="45171"/>
    <x v="556"/>
    <x v="1"/>
    <x v="2"/>
    <x v="15"/>
    <s v="Okidata C610n Printer"/>
    <x v="3611"/>
    <n v="3"/>
    <n v="-19.47"/>
    <x v="8"/>
    <x v="2"/>
  </r>
  <r>
    <n v="45171"/>
    <x v="398"/>
    <x v="1"/>
    <x v="1"/>
    <x v="8"/>
    <s v="Deflect-o DuraMat Antistatic Studded Beveled Mat for Medium Pile Carpeting"/>
    <x v="3612"/>
    <n v="2"/>
    <n v="-75.84"/>
    <x v="8"/>
    <x v="2"/>
  </r>
  <r>
    <n v="45171"/>
    <x v="364"/>
    <x v="25"/>
    <x v="0"/>
    <x v="3"/>
    <s v="Heavy-Duty E-Z-D Binders"/>
    <x v="3613"/>
    <n v="7"/>
    <n v="-17.57"/>
    <x v="8"/>
    <x v="2"/>
  </r>
  <r>
    <n v="45171"/>
    <x v="364"/>
    <x v="25"/>
    <x v="0"/>
    <x v="12"/>
    <s v="Belkin F9M820V08 8 Outlet Surge"/>
    <x v="3614"/>
    <n v="9"/>
    <n v="34.81"/>
    <x v="8"/>
    <x v="2"/>
  </r>
  <r>
    <n v="45171"/>
    <x v="364"/>
    <x v="25"/>
    <x v="0"/>
    <x v="4"/>
    <s v="Zebra Zazzle Fluorescent Highlighters"/>
    <x v="121"/>
    <n v="4"/>
    <n v="3.4"/>
    <x v="8"/>
    <x v="2"/>
  </r>
  <r>
    <n v="45171"/>
    <x v="364"/>
    <x v="25"/>
    <x v="1"/>
    <x v="13"/>
    <s v="Hon Racetrack Conference Tables"/>
    <x v="3615"/>
    <n v="3"/>
    <n v="-149.63"/>
    <x v="8"/>
    <x v="2"/>
  </r>
  <r>
    <n v="45171"/>
    <x v="364"/>
    <x v="25"/>
    <x v="2"/>
    <x v="9"/>
    <s v="Plantronics Savi W720 Multi-Device Wireless Headset System"/>
    <x v="3616"/>
    <n v="3"/>
    <n v="303.8"/>
    <x v="8"/>
    <x v="2"/>
  </r>
  <r>
    <n v="45171"/>
    <x v="364"/>
    <x v="25"/>
    <x v="0"/>
    <x v="3"/>
    <s v="GBC Plasticlear Binding Covers"/>
    <x v="2632"/>
    <n v="5"/>
    <n v="-12.63"/>
    <x v="8"/>
    <x v="2"/>
  </r>
  <r>
    <n v="45171"/>
    <x v="614"/>
    <x v="22"/>
    <x v="2"/>
    <x v="16"/>
    <s v="Hewlett Packard 610 Color Digital Copier / Printer"/>
    <x v="2823"/>
    <n v="2"/>
    <n v="449.99"/>
    <x v="8"/>
    <x v="2"/>
  </r>
  <r>
    <n v="45171"/>
    <x v="476"/>
    <x v="0"/>
    <x v="0"/>
    <x v="3"/>
    <s v="Acco PRESSTEX Data Binder with Storage Hooks, Dark Blue, 9 1/2&quot; X 11&quot;"/>
    <x v="918"/>
    <n v="8"/>
    <n v="-13.34"/>
    <x v="8"/>
    <x v="2"/>
  </r>
  <r>
    <n v="45171"/>
    <x v="476"/>
    <x v="0"/>
    <x v="2"/>
    <x v="9"/>
    <s v="LogitechÂ MX Performance Wireless Mouse"/>
    <x v="3617"/>
    <n v="5"/>
    <n v="33.909999999999997"/>
    <x v="8"/>
    <x v="2"/>
  </r>
  <r>
    <n v="45171"/>
    <x v="383"/>
    <x v="22"/>
    <x v="1"/>
    <x v="5"/>
    <s v="Global Leather Task Chair, Black"/>
    <x v="3618"/>
    <n v="3"/>
    <n v="-2.7"/>
    <x v="8"/>
    <x v="2"/>
  </r>
  <r>
    <n v="45171"/>
    <x v="383"/>
    <x v="22"/>
    <x v="0"/>
    <x v="10"/>
    <s v="Inter-Office Recycled Envelopes, Brown Kraft, Button-String,10&quot; x 13&quot; , 100/Box"/>
    <x v="3619"/>
    <n v="3"/>
    <n v="30.99"/>
    <x v="8"/>
    <x v="2"/>
  </r>
  <r>
    <n v="45171"/>
    <x v="336"/>
    <x v="3"/>
    <x v="1"/>
    <x v="8"/>
    <s v="Ultra Door Pull Handle"/>
    <x v="3620"/>
    <n v="9"/>
    <n v="31.24"/>
    <x v="8"/>
    <x v="2"/>
  </r>
  <r>
    <n v="45171"/>
    <x v="336"/>
    <x v="3"/>
    <x v="0"/>
    <x v="2"/>
    <s v="Akro Stacking Bins"/>
    <x v="3621"/>
    <n v="3"/>
    <n v="0.95"/>
    <x v="8"/>
    <x v="2"/>
  </r>
  <r>
    <n v="45171"/>
    <x v="336"/>
    <x v="3"/>
    <x v="2"/>
    <x v="6"/>
    <s v="Cisco Unified IP Phone 7945G VoIP phone"/>
    <x v="781"/>
    <n v="4"/>
    <n v="68.2"/>
    <x v="8"/>
    <x v="2"/>
  </r>
  <r>
    <n v="45171"/>
    <x v="336"/>
    <x v="3"/>
    <x v="0"/>
    <x v="4"/>
    <s v="Blackstonian Pencils"/>
    <x v="3007"/>
    <n v="7"/>
    <n v="5.23"/>
    <x v="8"/>
    <x v="2"/>
  </r>
  <r>
    <n v="45171"/>
    <x v="336"/>
    <x v="3"/>
    <x v="1"/>
    <x v="13"/>
    <s v="Chromcraft Rectangular Conference Tables"/>
    <x v="3622"/>
    <n v="3"/>
    <n v="28.44"/>
    <x v="8"/>
    <x v="2"/>
  </r>
  <r>
    <n v="45171"/>
    <x v="336"/>
    <x v="3"/>
    <x v="0"/>
    <x v="3"/>
    <s v="SpineVue Locking Slant-D Ring Binders by Cardinal"/>
    <x v="1117"/>
    <n v="1"/>
    <n v="2.56"/>
    <x v="8"/>
    <x v="2"/>
  </r>
  <r>
    <n v="45172"/>
    <x v="125"/>
    <x v="2"/>
    <x v="0"/>
    <x v="3"/>
    <s v="GBC Ibimaster 500 Manual ProClick Binding System"/>
    <x v="3623"/>
    <n v="5"/>
    <n v="-760.98"/>
    <x v="8"/>
    <x v="2"/>
  </r>
  <r>
    <n v="45172"/>
    <x v="125"/>
    <x v="2"/>
    <x v="2"/>
    <x v="6"/>
    <s v="Cisco SPA301"/>
    <x v="3133"/>
    <n v="3"/>
    <n v="-46.8"/>
    <x v="8"/>
    <x v="2"/>
  </r>
  <r>
    <n v="45172"/>
    <x v="488"/>
    <x v="1"/>
    <x v="1"/>
    <x v="8"/>
    <s v="Tenex &quot;The Solids&quot; Textured Chair Mats"/>
    <x v="3624"/>
    <n v="3"/>
    <n v="-90.25"/>
    <x v="8"/>
    <x v="2"/>
  </r>
  <r>
    <n v="45172"/>
    <x v="246"/>
    <x v="1"/>
    <x v="0"/>
    <x v="3"/>
    <s v="XtraLife ClearVue Slant-D Ring Binder, White, 3&quot;"/>
    <x v="3625"/>
    <n v="3"/>
    <n v="-14.97"/>
    <x v="8"/>
    <x v="2"/>
  </r>
  <r>
    <n v="45172"/>
    <x v="76"/>
    <x v="37"/>
    <x v="0"/>
    <x v="0"/>
    <s v="Adams Phone Message Book, 200 Message Capacity, 8 1/16Â” x 11Â”"/>
    <x v="3626"/>
    <n v="7"/>
    <n v="22.15"/>
    <x v="8"/>
    <x v="2"/>
  </r>
  <r>
    <n v="45172"/>
    <x v="612"/>
    <x v="21"/>
    <x v="0"/>
    <x v="2"/>
    <s v="Crate-A-Files"/>
    <x v="3627"/>
    <n v="5"/>
    <n v="14.17"/>
    <x v="8"/>
    <x v="2"/>
  </r>
  <r>
    <n v="45172"/>
    <x v="563"/>
    <x v="8"/>
    <x v="0"/>
    <x v="3"/>
    <s v="Heavy-Duty E-Z-D Binders"/>
    <x v="3628"/>
    <n v="8"/>
    <n v="41.02"/>
    <x v="8"/>
    <x v="2"/>
  </r>
  <r>
    <n v="45172"/>
    <x v="221"/>
    <x v="36"/>
    <x v="1"/>
    <x v="11"/>
    <s v="Sauder Camden County Collection Libraries, Planked Cherry Finish"/>
    <x v="3629"/>
    <n v="3"/>
    <n v="31.04"/>
    <x v="8"/>
    <x v="2"/>
  </r>
  <r>
    <n v="45172"/>
    <x v="221"/>
    <x v="36"/>
    <x v="1"/>
    <x v="8"/>
    <s v="Eldon Expressions Wood Desk Accessories, Oak"/>
    <x v="1195"/>
    <n v="2"/>
    <n v="4.28"/>
    <x v="8"/>
    <x v="2"/>
  </r>
  <r>
    <n v="45172"/>
    <x v="221"/>
    <x v="36"/>
    <x v="0"/>
    <x v="3"/>
    <s v="Acco Expandable Hanging Binders"/>
    <x v="1822"/>
    <n v="2"/>
    <n v="5.87"/>
    <x v="8"/>
    <x v="2"/>
  </r>
  <r>
    <n v="45172"/>
    <x v="221"/>
    <x v="36"/>
    <x v="0"/>
    <x v="1"/>
    <s v="Avery 486"/>
    <x v="875"/>
    <n v="8"/>
    <n v="27.49"/>
    <x v="8"/>
    <x v="2"/>
  </r>
  <r>
    <n v="45172"/>
    <x v="751"/>
    <x v="1"/>
    <x v="1"/>
    <x v="11"/>
    <s v="Safco Value Mate Steel Bookcase, Baked Enamel Finish on Steel, Black"/>
    <x v="3630"/>
    <n v="4"/>
    <n v="0"/>
    <x v="8"/>
    <x v="2"/>
  </r>
  <r>
    <n v="45172"/>
    <x v="719"/>
    <x v="10"/>
    <x v="0"/>
    <x v="0"/>
    <s v="Wirebound Four 2-3/4 x 5 Forms per Page, 400 Sets per Book"/>
    <x v="800"/>
    <n v="6"/>
    <n v="11.22"/>
    <x v="8"/>
    <x v="2"/>
  </r>
  <r>
    <n v="45173"/>
    <x v="325"/>
    <x v="0"/>
    <x v="0"/>
    <x v="4"/>
    <s v="Faber Castell Col-Erase Pencils"/>
    <x v="823"/>
    <n v="1"/>
    <n v="1.03"/>
    <x v="8"/>
    <x v="2"/>
  </r>
  <r>
    <n v="45173"/>
    <x v="325"/>
    <x v="0"/>
    <x v="0"/>
    <x v="4"/>
    <s v="BOSTON Ranger #55 Pencil Sharpener, Black"/>
    <x v="3631"/>
    <n v="3"/>
    <n v="7.02"/>
    <x v="8"/>
    <x v="2"/>
  </r>
  <r>
    <n v="45173"/>
    <x v="107"/>
    <x v="20"/>
    <x v="1"/>
    <x v="8"/>
    <s v="Howard Miller 16&quot; Diameter Gallery Wall Clock"/>
    <x v="1916"/>
    <n v="1"/>
    <n v="24.94"/>
    <x v="8"/>
    <x v="2"/>
  </r>
  <r>
    <n v="45173"/>
    <x v="107"/>
    <x v="20"/>
    <x v="0"/>
    <x v="3"/>
    <s v="Plastic Binding Combs"/>
    <x v="3632"/>
    <n v="5"/>
    <n v="20.45"/>
    <x v="8"/>
    <x v="2"/>
  </r>
  <r>
    <n v="45173"/>
    <x v="107"/>
    <x v="20"/>
    <x v="0"/>
    <x v="14"/>
    <s v="Acme Preferred Stainless Steel Scissors"/>
    <x v="850"/>
    <n v="4"/>
    <n v="6.59"/>
    <x v="8"/>
    <x v="2"/>
  </r>
  <r>
    <n v="45173"/>
    <x v="16"/>
    <x v="15"/>
    <x v="0"/>
    <x v="0"/>
    <s v="RSVP Cards &amp; Envelopes, Blank White, 8-1/2&quot; X 11&quot;, 24 Cards/25 Envelopes/Set"/>
    <x v="3633"/>
    <n v="3"/>
    <n v="4.1100000000000003"/>
    <x v="8"/>
    <x v="2"/>
  </r>
  <r>
    <n v="45173"/>
    <x v="16"/>
    <x v="15"/>
    <x v="0"/>
    <x v="12"/>
    <s v="Belkin 5 Outlet SurgeMaster Power Centers"/>
    <x v="2399"/>
    <n v="2"/>
    <n v="8.7200000000000006"/>
    <x v="8"/>
    <x v="2"/>
  </r>
  <r>
    <n v="45173"/>
    <x v="16"/>
    <x v="15"/>
    <x v="0"/>
    <x v="4"/>
    <s v="Prismacolor Color Pencil Set"/>
    <x v="3634"/>
    <n v="2"/>
    <n v="8.33"/>
    <x v="8"/>
    <x v="2"/>
  </r>
  <r>
    <n v="45173"/>
    <x v="266"/>
    <x v="5"/>
    <x v="1"/>
    <x v="8"/>
    <s v="Coloredge Poster Frame"/>
    <x v="2602"/>
    <n v="3"/>
    <n v="16.61"/>
    <x v="8"/>
    <x v="2"/>
  </r>
  <r>
    <n v="45173"/>
    <x v="266"/>
    <x v="5"/>
    <x v="0"/>
    <x v="3"/>
    <s v="Poly Designer Cover &amp; Back"/>
    <x v="3635"/>
    <n v="6"/>
    <n v="54.69"/>
    <x v="8"/>
    <x v="2"/>
  </r>
  <r>
    <n v="45173"/>
    <x v="266"/>
    <x v="5"/>
    <x v="0"/>
    <x v="2"/>
    <s v="Fellowes Neat Ideas Storage Cubes"/>
    <x v="1096"/>
    <n v="4"/>
    <n v="5.2"/>
    <x v="8"/>
    <x v="2"/>
  </r>
  <r>
    <n v="45173"/>
    <x v="266"/>
    <x v="5"/>
    <x v="0"/>
    <x v="4"/>
    <s v="Nontoxic Chalk"/>
    <x v="1685"/>
    <n v="3"/>
    <n v="2.5299999999999998"/>
    <x v="8"/>
    <x v="2"/>
  </r>
  <r>
    <n v="45173"/>
    <x v="132"/>
    <x v="28"/>
    <x v="0"/>
    <x v="2"/>
    <s v="Hot File 7-Pocket, Floor Stand"/>
    <x v="688"/>
    <n v="3"/>
    <n v="160.62"/>
    <x v="8"/>
    <x v="2"/>
  </r>
  <r>
    <n v="45173"/>
    <x v="2"/>
    <x v="24"/>
    <x v="0"/>
    <x v="10"/>
    <s v="Staple envelope"/>
    <x v="2738"/>
    <n v="2"/>
    <n v="7.78"/>
    <x v="8"/>
    <x v="2"/>
  </r>
  <r>
    <n v="45173"/>
    <x v="2"/>
    <x v="24"/>
    <x v="2"/>
    <x v="9"/>
    <s v="Sony Micro Vault Click 16 GB USB 2.0 Flash Drive"/>
    <x v="3636"/>
    <n v="5"/>
    <n v="67.19"/>
    <x v="8"/>
    <x v="2"/>
  </r>
  <r>
    <n v="45173"/>
    <x v="355"/>
    <x v="13"/>
    <x v="0"/>
    <x v="0"/>
    <s v="Xerox 1886"/>
    <x v="3637"/>
    <n v="5"/>
    <n v="114.96"/>
    <x v="8"/>
    <x v="2"/>
  </r>
  <r>
    <n v="45173"/>
    <x v="24"/>
    <x v="3"/>
    <x v="1"/>
    <x v="8"/>
    <s v="6&quot; Cubicle Wall Clock, Black"/>
    <x v="3638"/>
    <n v="3"/>
    <n v="8.74"/>
    <x v="8"/>
    <x v="2"/>
  </r>
  <r>
    <n v="45173"/>
    <x v="24"/>
    <x v="3"/>
    <x v="2"/>
    <x v="16"/>
    <s v="Canon PC1060 Personal Laser Copier"/>
    <x v="962"/>
    <n v="5"/>
    <n v="944.99"/>
    <x v="8"/>
    <x v="2"/>
  </r>
  <r>
    <n v="45174"/>
    <x v="104"/>
    <x v="2"/>
    <x v="1"/>
    <x v="8"/>
    <s v="Howard Miller 13-3/4&quot; Diameter Brushed Chrome Round Wall Clock"/>
    <x v="171"/>
    <n v="2"/>
    <n v="10.35"/>
    <x v="8"/>
    <x v="2"/>
  </r>
  <r>
    <n v="45174"/>
    <x v="500"/>
    <x v="14"/>
    <x v="1"/>
    <x v="8"/>
    <s v="Aluminum Document Frame"/>
    <x v="2003"/>
    <n v="1"/>
    <n v="3.67"/>
    <x v="8"/>
    <x v="2"/>
  </r>
  <r>
    <n v="45174"/>
    <x v="500"/>
    <x v="14"/>
    <x v="0"/>
    <x v="2"/>
    <s v="Fellowes Bankers Box Staxonsteel Drawer File/Stacking System"/>
    <x v="3639"/>
    <n v="3"/>
    <n v="23.39"/>
    <x v="8"/>
    <x v="2"/>
  </r>
  <r>
    <n v="45174"/>
    <x v="500"/>
    <x v="14"/>
    <x v="0"/>
    <x v="2"/>
    <s v="Eldon Mobile Mega Data Cart  Mega Stackable  Add-On Trays"/>
    <x v="304"/>
    <n v="3"/>
    <n v="20.58"/>
    <x v="8"/>
    <x v="2"/>
  </r>
  <r>
    <n v="45174"/>
    <x v="500"/>
    <x v="14"/>
    <x v="0"/>
    <x v="0"/>
    <s v="Xerox Color Copier Paper, 11&quot; x 17&quot;, Ream"/>
    <x v="802"/>
    <n v="4"/>
    <n v="42.03"/>
    <x v="8"/>
    <x v="2"/>
  </r>
  <r>
    <n v="45174"/>
    <x v="500"/>
    <x v="14"/>
    <x v="1"/>
    <x v="5"/>
    <s v="Office Star - Ergonomically Designed Knee Chair"/>
    <x v="151"/>
    <n v="3"/>
    <n v="29.15"/>
    <x v="8"/>
    <x v="2"/>
  </r>
  <r>
    <n v="45174"/>
    <x v="500"/>
    <x v="14"/>
    <x v="0"/>
    <x v="1"/>
    <s v="Avery 520"/>
    <x v="3343"/>
    <n v="7"/>
    <n v="10.58"/>
    <x v="8"/>
    <x v="2"/>
  </r>
  <r>
    <n v="45174"/>
    <x v="546"/>
    <x v="30"/>
    <x v="2"/>
    <x v="6"/>
    <s v="Geemarc AmpliPOWER60"/>
    <x v="3640"/>
    <n v="3"/>
    <n v="80.739999999999995"/>
    <x v="8"/>
    <x v="2"/>
  </r>
  <r>
    <n v="45174"/>
    <x v="671"/>
    <x v="42"/>
    <x v="0"/>
    <x v="4"/>
    <s v="Panasonic KP-380BK Classic Electric Pencil Sharpener"/>
    <x v="403"/>
    <n v="3"/>
    <n v="26.99"/>
    <x v="8"/>
    <x v="2"/>
  </r>
  <r>
    <n v="45174"/>
    <x v="278"/>
    <x v="0"/>
    <x v="1"/>
    <x v="5"/>
    <s v="Situations Contoured Folding Chairs, 4/Set"/>
    <x v="3641"/>
    <n v="7"/>
    <n v="-24.84"/>
    <x v="8"/>
    <x v="2"/>
  </r>
  <r>
    <n v="45174"/>
    <x v="44"/>
    <x v="3"/>
    <x v="2"/>
    <x v="9"/>
    <s v="HP Standard 104 key PS/2 Keyboard"/>
    <x v="3642"/>
    <n v="8"/>
    <n v="29"/>
    <x v="8"/>
    <x v="2"/>
  </r>
  <r>
    <n v="45174"/>
    <x v="29"/>
    <x v="2"/>
    <x v="0"/>
    <x v="3"/>
    <s v="C-Line Peel &amp; Stick Add-On Filing Pockets, 8-3/4 x 5-1/8, 10/Pack"/>
    <x v="3643"/>
    <n v="5"/>
    <n v="-7.33"/>
    <x v="8"/>
    <x v="2"/>
  </r>
  <r>
    <n v="45174"/>
    <x v="406"/>
    <x v="15"/>
    <x v="0"/>
    <x v="10"/>
    <s v="Staple envelope"/>
    <x v="1098"/>
    <n v="3"/>
    <n v="7.63"/>
    <x v="8"/>
    <x v="2"/>
  </r>
  <r>
    <n v="45174"/>
    <x v="406"/>
    <x v="15"/>
    <x v="0"/>
    <x v="3"/>
    <s v="Wilson Jones Ledger-Size, Piano-Hinge Binder, 2&quot;, Blue"/>
    <x v="3644"/>
    <n v="7"/>
    <n v="-63.11"/>
    <x v="8"/>
    <x v="2"/>
  </r>
  <r>
    <n v="45174"/>
    <x v="406"/>
    <x v="15"/>
    <x v="2"/>
    <x v="6"/>
    <s v="Nortel Networks T7316 E Nt8 B27"/>
    <x v="2960"/>
    <n v="2"/>
    <n v="6.8"/>
    <x v="8"/>
    <x v="2"/>
  </r>
  <r>
    <n v="45174"/>
    <x v="406"/>
    <x v="15"/>
    <x v="0"/>
    <x v="0"/>
    <s v="Xerox 1971"/>
    <x v="1207"/>
    <n v="3"/>
    <n v="3.21"/>
    <x v="8"/>
    <x v="2"/>
  </r>
  <r>
    <n v="45174"/>
    <x v="292"/>
    <x v="0"/>
    <x v="0"/>
    <x v="12"/>
    <s v="Eureka The Boss Plus 12-Amp Hard Box Upright Vacuum, Red"/>
    <x v="3645"/>
    <n v="3"/>
    <n v="-166.39"/>
    <x v="8"/>
    <x v="2"/>
  </r>
  <r>
    <n v="45174"/>
    <x v="292"/>
    <x v="0"/>
    <x v="0"/>
    <x v="7"/>
    <s v="Advantus Map Pennant Flags and Round Head Tacks"/>
    <x v="2795"/>
    <n v="9"/>
    <n v="4.2699999999999996"/>
    <x v="8"/>
    <x v="2"/>
  </r>
  <r>
    <n v="45174"/>
    <x v="343"/>
    <x v="3"/>
    <x v="0"/>
    <x v="0"/>
    <s v="14-7/8 x 11 Blue Bar Computer Printout Paper"/>
    <x v="2661"/>
    <n v="2"/>
    <n v="46.12"/>
    <x v="8"/>
    <x v="2"/>
  </r>
  <r>
    <n v="45174"/>
    <x v="343"/>
    <x v="3"/>
    <x v="0"/>
    <x v="3"/>
    <s v="Angle-D Binders with Locking Rings, Label Holders"/>
    <x v="2410"/>
    <n v="2"/>
    <n v="3.94"/>
    <x v="8"/>
    <x v="2"/>
  </r>
  <r>
    <n v="45174"/>
    <x v="343"/>
    <x v="3"/>
    <x v="0"/>
    <x v="7"/>
    <s v="Advantus Push Pins"/>
    <x v="2325"/>
    <n v="2"/>
    <n v="1.79"/>
    <x v="8"/>
    <x v="2"/>
  </r>
  <r>
    <n v="45174"/>
    <x v="286"/>
    <x v="0"/>
    <x v="0"/>
    <x v="0"/>
    <s v="Xerox 202"/>
    <x v="499"/>
    <n v="5"/>
    <n v="9.07"/>
    <x v="8"/>
    <x v="2"/>
  </r>
  <r>
    <n v="45174"/>
    <x v="286"/>
    <x v="0"/>
    <x v="0"/>
    <x v="7"/>
    <s v="Staples"/>
    <x v="3646"/>
    <n v="8"/>
    <n v="5.34"/>
    <x v="8"/>
    <x v="2"/>
  </r>
  <r>
    <n v="45174"/>
    <x v="286"/>
    <x v="0"/>
    <x v="0"/>
    <x v="0"/>
    <s v="Xerox 1930"/>
    <x v="320"/>
    <n v="2"/>
    <n v="3.76"/>
    <x v="8"/>
    <x v="2"/>
  </r>
  <r>
    <n v="45174"/>
    <x v="20"/>
    <x v="20"/>
    <x v="0"/>
    <x v="0"/>
    <s v="Xerox 1885"/>
    <x v="3647"/>
    <n v="4"/>
    <n v="92.24"/>
    <x v="8"/>
    <x v="2"/>
  </r>
  <r>
    <n v="45174"/>
    <x v="397"/>
    <x v="0"/>
    <x v="0"/>
    <x v="2"/>
    <s v="Eldon Base for stackable storage shelf, platinum"/>
    <x v="3648"/>
    <n v="3"/>
    <n v="-17.52"/>
    <x v="8"/>
    <x v="2"/>
  </r>
  <r>
    <n v="45174"/>
    <x v="13"/>
    <x v="6"/>
    <x v="0"/>
    <x v="1"/>
    <s v="Avery 50"/>
    <x v="1432"/>
    <n v="2"/>
    <n v="11.78"/>
    <x v="8"/>
    <x v="2"/>
  </r>
  <r>
    <n v="45174"/>
    <x v="13"/>
    <x v="6"/>
    <x v="1"/>
    <x v="13"/>
    <s v="Chromcraft Bull-Nose Wood 48&quot; x 96&quot; Rectangular Conference Tables"/>
    <x v="3649"/>
    <n v="3"/>
    <n v="314.06"/>
    <x v="8"/>
    <x v="2"/>
  </r>
  <r>
    <n v="45174"/>
    <x v="720"/>
    <x v="1"/>
    <x v="0"/>
    <x v="0"/>
    <s v="Xerox 196"/>
    <x v="3521"/>
    <n v="2"/>
    <n v="3.35"/>
    <x v="8"/>
    <x v="2"/>
  </r>
  <r>
    <n v="45174"/>
    <x v="496"/>
    <x v="10"/>
    <x v="0"/>
    <x v="3"/>
    <s v="Recycled Easel Ring Binders"/>
    <x v="90"/>
    <n v="2"/>
    <n v="-7.46"/>
    <x v="8"/>
    <x v="2"/>
  </r>
  <r>
    <n v="45174"/>
    <x v="496"/>
    <x v="10"/>
    <x v="0"/>
    <x v="3"/>
    <s v="Pressboard Hanging Data Binders for Unburst Sheets"/>
    <x v="1939"/>
    <n v="6"/>
    <n v="-6.49"/>
    <x v="8"/>
    <x v="2"/>
  </r>
  <r>
    <n v="45174"/>
    <x v="496"/>
    <x v="10"/>
    <x v="1"/>
    <x v="5"/>
    <s v="Global Push Button Manager's Chair, Indigo"/>
    <x v="3411"/>
    <n v="2"/>
    <n v="-1.22"/>
    <x v="8"/>
    <x v="2"/>
  </r>
  <r>
    <n v="45174"/>
    <x v="551"/>
    <x v="0"/>
    <x v="1"/>
    <x v="8"/>
    <s v="Executive Impressions 12&quot; Wall Clock"/>
    <x v="740"/>
    <n v="3"/>
    <n v="-11.66"/>
    <x v="8"/>
    <x v="2"/>
  </r>
  <r>
    <n v="45174"/>
    <x v="622"/>
    <x v="2"/>
    <x v="1"/>
    <x v="8"/>
    <s v="6&quot; Cubicle Wall Clock, Black"/>
    <x v="3650"/>
    <n v="9"/>
    <n v="11.65"/>
    <x v="8"/>
    <x v="2"/>
  </r>
  <r>
    <n v="45174"/>
    <x v="622"/>
    <x v="2"/>
    <x v="1"/>
    <x v="5"/>
    <s v="Global Task Chair, Black"/>
    <x v="3651"/>
    <n v="2"/>
    <n v="-19.34"/>
    <x v="8"/>
    <x v="2"/>
  </r>
  <r>
    <n v="45174"/>
    <x v="622"/>
    <x v="2"/>
    <x v="0"/>
    <x v="4"/>
    <s v="Newell 329"/>
    <x v="1304"/>
    <n v="3"/>
    <n v="0.59"/>
    <x v="8"/>
    <x v="2"/>
  </r>
  <r>
    <n v="45174"/>
    <x v="622"/>
    <x v="2"/>
    <x v="1"/>
    <x v="5"/>
    <s v="Global Comet Stacking Arm Chair"/>
    <x v="3652"/>
    <n v="3"/>
    <n v="-63.38"/>
    <x v="8"/>
    <x v="2"/>
  </r>
  <r>
    <n v="45174"/>
    <x v="623"/>
    <x v="20"/>
    <x v="2"/>
    <x v="6"/>
    <s v="LF Elite 3D Dazzle Designer Hard Case Cover, Lf Stylus Pen and Wiper For Apple Iphone 5c Mini Lite"/>
    <x v="415"/>
    <n v="4"/>
    <n v="12.21"/>
    <x v="8"/>
    <x v="2"/>
  </r>
  <r>
    <n v="45175"/>
    <x v="727"/>
    <x v="28"/>
    <x v="0"/>
    <x v="12"/>
    <s v="Fellowes Basic Home/Office Series Surge Protectors"/>
    <x v="2532"/>
    <n v="6"/>
    <n v="22.59"/>
    <x v="8"/>
    <x v="2"/>
  </r>
  <r>
    <n v="45175"/>
    <x v="541"/>
    <x v="20"/>
    <x v="2"/>
    <x v="9"/>
    <s v="Maxell 4.7GB DVD+RW 3/Pack"/>
    <x v="3022"/>
    <n v="2"/>
    <n v="11.15"/>
    <x v="8"/>
    <x v="2"/>
  </r>
  <r>
    <n v="45175"/>
    <x v="541"/>
    <x v="20"/>
    <x v="1"/>
    <x v="11"/>
    <s v="Atlantic Metals Mobile 5-Shelf Bookcases, Custom Colors"/>
    <x v="1976"/>
    <n v="3"/>
    <n v="90.29"/>
    <x v="8"/>
    <x v="2"/>
  </r>
  <r>
    <n v="45175"/>
    <x v="366"/>
    <x v="25"/>
    <x v="0"/>
    <x v="10"/>
    <s v="Blue String-Tie &amp; Button Interoffice Envelopes, 10 x 13"/>
    <x v="3653"/>
    <n v="3"/>
    <n v="29.99"/>
    <x v="8"/>
    <x v="2"/>
  </r>
  <r>
    <n v="45175"/>
    <x v="366"/>
    <x v="25"/>
    <x v="0"/>
    <x v="3"/>
    <s v="Pressboard Data Binders by Wilson Jones"/>
    <x v="2435"/>
    <n v="2"/>
    <n v="-2.46"/>
    <x v="8"/>
    <x v="2"/>
  </r>
  <r>
    <n v="45175"/>
    <x v="100"/>
    <x v="0"/>
    <x v="0"/>
    <x v="2"/>
    <s v="Tenex Personal Project File with Scoop Front Design, Black"/>
    <x v="1142"/>
    <n v="1"/>
    <n v="0.81"/>
    <x v="8"/>
    <x v="2"/>
  </r>
  <r>
    <n v="45175"/>
    <x v="515"/>
    <x v="0"/>
    <x v="0"/>
    <x v="0"/>
    <s v="Advantus Motivational Note Cards"/>
    <x v="3654"/>
    <n v="4"/>
    <n v="15.2"/>
    <x v="8"/>
    <x v="2"/>
  </r>
  <r>
    <n v="45175"/>
    <x v="515"/>
    <x v="0"/>
    <x v="2"/>
    <x v="6"/>
    <s v="AT&amp;T CL83451 4-Handset Telephone"/>
    <x v="3655"/>
    <n v="2"/>
    <n v="37.08"/>
    <x v="8"/>
    <x v="2"/>
  </r>
  <r>
    <n v="45177"/>
    <x v="643"/>
    <x v="0"/>
    <x v="0"/>
    <x v="2"/>
    <s v="Super Decoflex Portable Personal File"/>
    <x v="3656"/>
    <n v="3"/>
    <n v="3.6"/>
    <x v="8"/>
    <x v="2"/>
  </r>
  <r>
    <n v="45177"/>
    <x v="643"/>
    <x v="0"/>
    <x v="1"/>
    <x v="11"/>
    <s v="Riverside Palais Royal Lawyers Bookcase, Royale Cherry Finish"/>
    <x v="3657"/>
    <n v="4"/>
    <n v="-317.14999999999998"/>
    <x v="8"/>
    <x v="2"/>
  </r>
  <r>
    <n v="45177"/>
    <x v="643"/>
    <x v="0"/>
    <x v="0"/>
    <x v="2"/>
    <s v="Contico 72&quot;H Heavy-Duty Storage System"/>
    <x v="3658"/>
    <n v="4"/>
    <n v="-32.78"/>
    <x v="8"/>
    <x v="2"/>
  </r>
  <r>
    <n v="45177"/>
    <x v="643"/>
    <x v="0"/>
    <x v="2"/>
    <x v="9"/>
    <s v="Sony 64GB Class 10 Micro SDHC R40 Memory Card"/>
    <x v="3046"/>
    <n v="2"/>
    <n v="0.72"/>
    <x v="8"/>
    <x v="2"/>
  </r>
  <r>
    <n v="45177"/>
    <x v="139"/>
    <x v="3"/>
    <x v="0"/>
    <x v="3"/>
    <s v="Square Ring Data Binders, Rigid 75 Pt. Covers, 11&quot; x 14-7/8&quot;"/>
    <x v="2087"/>
    <n v="2"/>
    <n v="11.56"/>
    <x v="8"/>
    <x v="2"/>
  </r>
  <r>
    <n v="45177"/>
    <x v="139"/>
    <x v="3"/>
    <x v="0"/>
    <x v="3"/>
    <s v="Premium Transparent Presentation Covers by GBC"/>
    <x v="3659"/>
    <n v="4"/>
    <n v="23.5"/>
    <x v="8"/>
    <x v="2"/>
  </r>
  <r>
    <n v="45177"/>
    <x v="64"/>
    <x v="32"/>
    <x v="1"/>
    <x v="11"/>
    <s v="Bush Westfield Collection Bookcases, Dark Cherry Finish"/>
    <x v="2824"/>
    <n v="3"/>
    <n v="13.92"/>
    <x v="8"/>
    <x v="2"/>
  </r>
  <r>
    <n v="45177"/>
    <x v="64"/>
    <x v="32"/>
    <x v="0"/>
    <x v="1"/>
    <s v="Avery 52"/>
    <x v="1195"/>
    <n v="4"/>
    <n v="6.94"/>
    <x v="8"/>
    <x v="2"/>
  </r>
  <r>
    <n v="45177"/>
    <x v="145"/>
    <x v="1"/>
    <x v="1"/>
    <x v="8"/>
    <s v="Executive Impressions 12&quot; Wall Clock"/>
    <x v="3660"/>
    <n v="2"/>
    <n v="-7.77"/>
    <x v="8"/>
    <x v="2"/>
  </r>
  <r>
    <n v="45177"/>
    <x v="145"/>
    <x v="1"/>
    <x v="1"/>
    <x v="13"/>
    <s v="Bretford CR8500 Series Meeting Room Furniture"/>
    <x v="3661"/>
    <n v="3"/>
    <n v="-300.74"/>
    <x v="8"/>
    <x v="2"/>
  </r>
  <r>
    <n v="45177"/>
    <x v="53"/>
    <x v="20"/>
    <x v="0"/>
    <x v="12"/>
    <s v="Kensington 7 Outlet MasterPiece Power Center with Fax/Phone Line Protection"/>
    <x v="3662"/>
    <n v="1"/>
    <n v="62.24"/>
    <x v="8"/>
    <x v="2"/>
  </r>
  <r>
    <n v="45177"/>
    <x v="127"/>
    <x v="0"/>
    <x v="0"/>
    <x v="4"/>
    <s v="Boston 1645 Deluxe Heavier-Duty Electric Pencil Sharpener"/>
    <x v="488"/>
    <n v="2"/>
    <n v="6.16"/>
    <x v="8"/>
    <x v="2"/>
  </r>
  <r>
    <n v="45177"/>
    <x v="127"/>
    <x v="0"/>
    <x v="2"/>
    <x v="6"/>
    <s v="Belkin SportFit Armband For iPhone 5s/5c, Fuchsia"/>
    <x v="3663"/>
    <n v="5"/>
    <n v="21.74"/>
    <x v="8"/>
    <x v="2"/>
  </r>
  <r>
    <n v="45177"/>
    <x v="747"/>
    <x v="25"/>
    <x v="2"/>
    <x v="9"/>
    <s v="Memorex Froggy Flash Drive 4 GB"/>
    <x v="1395"/>
    <n v="4"/>
    <n v="8.35"/>
    <x v="8"/>
    <x v="2"/>
  </r>
  <r>
    <n v="45177"/>
    <x v="747"/>
    <x v="25"/>
    <x v="0"/>
    <x v="0"/>
    <s v="Petty Cash Envelope"/>
    <x v="923"/>
    <n v="3"/>
    <n v="23.46"/>
    <x v="8"/>
    <x v="2"/>
  </r>
  <r>
    <n v="45177"/>
    <x v="137"/>
    <x v="3"/>
    <x v="1"/>
    <x v="13"/>
    <s v="Lesro Round Back Collection Coffee Table, End Table"/>
    <x v="3664"/>
    <n v="1"/>
    <n v="-12.78"/>
    <x v="8"/>
    <x v="2"/>
  </r>
  <r>
    <n v="45177"/>
    <x v="546"/>
    <x v="22"/>
    <x v="1"/>
    <x v="8"/>
    <s v="Howard Miller 11-1/2&quot; Diameter Grantwood Wall Clock"/>
    <x v="1762"/>
    <n v="1"/>
    <n v="14.66"/>
    <x v="8"/>
    <x v="2"/>
  </r>
  <r>
    <n v="45177"/>
    <x v="546"/>
    <x v="22"/>
    <x v="0"/>
    <x v="0"/>
    <s v="Ampad Gold Fibre Wirebound Steno Books, 6&quot; x 9&quot;, Gregg Ruled"/>
    <x v="3665"/>
    <n v="7"/>
    <n v="14.2"/>
    <x v="8"/>
    <x v="2"/>
  </r>
  <r>
    <n v="45177"/>
    <x v="760"/>
    <x v="3"/>
    <x v="0"/>
    <x v="4"/>
    <s v="Eberhard Faber 3 1/2&quot; Golf Pencils"/>
    <x v="240"/>
    <n v="2"/>
    <n v="3.72"/>
    <x v="8"/>
    <x v="2"/>
  </r>
  <r>
    <n v="45177"/>
    <x v="760"/>
    <x v="3"/>
    <x v="0"/>
    <x v="0"/>
    <s v="Xerox 1900"/>
    <x v="85"/>
    <n v="8"/>
    <n v="15.41"/>
    <x v="8"/>
    <x v="2"/>
  </r>
  <r>
    <n v="45177"/>
    <x v="760"/>
    <x v="3"/>
    <x v="0"/>
    <x v="2"/>
    <s v="Mini 13-1/2 Capacity Data Binder Rack, Pearl"/>
    <x v="3666"/>
    <n v="2"/>
    <n v="65.44"/>
    <x v="8"/>
    <x v="2"/>
  </r>
  <r>
    <n v="45178"/>
    <x v="350"/>
    <x v="20"/>
    <x v="0"/>
    <x v="3"/>
    <s v="Cardinal EasyOpen D-Ring Binders"/>
    <x v="471"/>
    <n v="2"/>
    <n v="5.48"/>
    <x v="8"/>
    <x v="2"/>
  </r>
  <r>
    <n v="45178"/>
    <x v="372"/>
    <x v="3"/>
    <x v="0"/>
    <x v="3"/>
    <s v="VariCap6 Expandable Binder"/>
    <x v="3667"/>
    <n v="4"/>
    <n v="18.68"/>
    <x v="8"/>
    <x v="2"/>
  </r>
  <r>
    <n v="45178"/>
    <x v="474"/>
    <x v="0"/>
    <x v="1"/>
    <x v="8"/>
    <s v="Eldon Expressions Punched Metal &amp; Wood Desk Accessories, Black &amp; Cherry"/>
    <x v="2501"/>
    <n v="4"/>
    <n v="-12.01"/>
    <x v="8"/>
    <x v="2"/>
  </r>
  <r>
    <n v="45179"/>
    <x v="672"/>
    <x v="20"/>
    <x v="0"/>
    <x v="2"/>
    <s v="Acco Perma 2700 Stacking Storage Drawers"/>
    <x v="3668"/>
    <n v="2"/>
    <n v="8.92"/>
    <x v="8"/>
    <x v="2"/>
  </r>
  <r>
    <n v="45179"/>
    <x v="672"/>
    <x v="20"/>
    <x v="0"/>
    <x v="0"/>
    <s v="Wirebound Message Books, Four 2 3/4 x 5 White Forms per Page"/>
    <x v="2784"/>
    <n v="1"/>
    <n v="3.08"/>
    <x v="8"/>
    <x v="2"/>
  </r>
  <r>
    <n v="45179"/>
    <x v="651"/>
    <x v="15"/>
    <x v="0"/>
    <x v="4"/>
    <s v="Boston Model 1800 Electric Pencil Sharpener, Gray"/>
    <x v="1287"/>
    <n v="3"/>
    <n v="8.4499999999999993"/>
    <x v="8"/>
    <x v="2"/>
  </r>
  <r>
    <n v="45179"/>
    <x v="73"/>
    <x v="0"/>
    <x v="1"/>
    <x v="13"/>
    <s v="KI Adjustable-Height Table"/>
    <x v="3669"/>
    <n v="5"/>
    <n v="-34.39"/>
    <x v="8"/>
    <x v="2"/>
  </r>
  <r>
    <n v="45179"/>
    <x v="73"/>
    <x v="0"/>
    <x v="2"/>
    <x v="6"/>
    <s v="Polycom VVX 310 VoIP phone"/>
    <x v="3670"/>
    <n v="5"/>
    <n v="54"/>
    <x v="8"/>
    <x v="2"/>
  </r>
  <r>
    <n v="45179"/>
    <x v="571"/>
    <x v="16"/>
    <x v="2"/>
    <x v="6"/>
    <s v="Geemarc AmpliPOWER60"/>
    <x v="3671"/>
    <n v="7"/>
    <n v="58.46"/>
    <x v="8"/>
    <x v="2"/>
  </r>
  <r>
    <n v="45179"/>
    <x v="741"/>
    <x v="22"/>
    <x v="0"/>
    <x v="1"/>
    <s v="Avery 487"/>
    <x v="1764"/>
    <n v="2"/>
    <n v="3.47"/>
    <x v="8"/>
    <x v="2"/>
  </r>
  <r>
    <n v="45179"/>
    <x v="741"/>
    <x v="22"/>
    <x v="0"/>
    <x v="3"/>
    <s v="Storex Dura Pro Binders"/>
    <x v="3672"/>
    <n v="3"/>
    <n v="4.46"/>
    <x v="8"/>
    <x v="2"/>
  </r>
  <r>
    <n v="45179"/>
    <x v="741"/>
    <x v="22"/>
    <x v="0"/>
    <x v="0"/>
    <s v="Xerox 1945"/>
    <x v="1045"/>
    <n v="2"/>
    <n v="40.17"/>
    <x v="8"/>
    <x v="2"/>
  </r>
  <r>
    <n v="45179"/>
    <x v="741"/>
    <x v="22"/>
    <x v="0"/>
    <x v="3"/>
    <s v="JM Magazine Binder"/>
    <x v="3673"/>
    <n v="3"/>
    <n v="13.87"/>
    <x v="8"/>
    <x v="2"/>
  </r>
  <r>
    <n v="45179"/>
    <x v="265"/>
    <x v="3"/>
    <x v="0"/>
    <x v="3"/>
    <s v="Ibico EB-19 Dual Function Manual Binding System"/>
    <x v="3560"/>
    <n v="2"/>
    <n v="89.95"/>
    <x v="8"/>
    <x v="2"/>
  </r>
  <r>
    <n v="45180"/>
    <x v="708"/>
    <x v="3"/>
    <x v="0"/>
    <x v="0"/>
    <s v="Wirebound Message Books, Two 4 1/4&quot; x 5&quot; Forms per Page"/>
    <x v="3674"/>
    <n v="1"/>
    <n v="3.58"/>
    <x v="8"/>
    <x v="2"/>
  </r>
  <r>
    <n v="45180"/>
    <x v="708"/>
    <x v="3"/>
    <x v="2"/>
    <x v="9"/>
    <s v="LogitechÂ P710e Mobile Speakerphone"/>
    <x v="3675"/>
    <n v="13"/>
    <n v="636"/>
    <x v="8"/>
    <x v="2"/>
  </r>
  <r>
    <n v="45180"/>
    <x v="186"/>
    <x v="2"/>
    <x v="0"/>
    <x v="0"/>
    <s v="Xerox 1972"/>
    <x v="174"/>
    <n v="2"/>
    <n v="2.64"/>
    <x v="8"/>
    <x v="2"/>
  </r>
  <r>
    <n v="45180"/>
    <x v="186"/>
    <x v="2"/>
    <x v="2"/>
    <x v="6"/>
    <s v="Cisco 8x8 Inc. 6753i IP Business Phone System"/>
    <x v="3676"/>
    <n v="9"/>
    <n v="-157.94"/>
    <x v="8"/>
    <x v="2"/>
  </r>
  <r>
    <n v="45180"/>
    <x v="327"/>
    <x v="10"/>
    <x v="0"/>
    <x v="3"/>
    <s v="GBC Standard Therm-A-Bind Covers"/>
    <x v="1217"/>
    <n v="3"/>
    <n v="-17.940000000000001"/>
    <x v="8"/>
    <x v="2"/>
  </r>
  <r>
    <n v="45180"/>
    <x v="327"/>
    <x v="10"/>
    <x v="0"/>
    <x v="2"/>
    <s v="Staple magnet"/>
    <x v="3555"/>
    <n v="5"/>
    <n v="3.75"/>
    <x v="8"/>
    <x v="2"/>
  </r>
  <r>
    <n v="45180"/>
    <x v="453"/>
    <x v="6"/>
    <x v="2"/>
    <x v="16"/>
    <s v="Canon PC-428 Personal Copier"/>
    <x v="3677"/>
    <n v="8"/>
    <n v="751.96"/>
    <x v="8"/>
    <x v="2"/>
  </r>
  <r>
    <n v="45180"/>
    <x v="453"/>
    <x v="6"/>
    <x v="0"/>
    <x v="10"/>
    <s v="#10 Self-Seal White Envelopes"/>
    <x v="573"/>
    <n v="1"/>
    <n v="5.43"/>
    <x v="8"/>
    <x v="2"/>
  </r>
  <r>
    <n v="45180"/>
    <x v="632"/>
    <x v="3"/>
    <x v="0"/>
    <x v="2"/>
    <s v="Stur-D-Stor Shelving, Vertical 5-Shelf: 72&quot;H x 36&quot;W x 18 1/2&quot;D"/>
    <x v="100"/>
    <n v="3"/>
    <n v="6.66"/>
    <x v="8"/>
    <x v="2"/>
  </r>
  <r>
    <n v="45180"/>
    <x v="632"/>
    <x v="3"/>
    <x v="0"/>
    <x v="3"/>
    <s v="GBC Standard Therm-A-Bind Covers"/>
    <x v="3678"/>
    <n v="2"/>
    <n v="12.96"/>
    <x v="8"/>
    <x v="2"/>
  </r>
  <r>
    <n v="45180"/>
    <x v="335"/>
    <x v="42"/>
    <x v="2"/>
    <x v="6"/>
    <s v="Plantronics Encore H101 Dual EarpiecesÂ Headset"/>
    <x v="3679"/>
    <n v="5"/>
    <n v="62.93"/>
    <x v="8"/>
    <x v="2"/>
  </r>
  <r>
    <n v="45180"/>
    <x v="423"/>
    <x v="1"/>
    <x v="0"/>
    <x v="1"/>
    <s v="Smead Alpha-Z Color-Coded Name Labels First Letter Starter Set"/>
    <x v="3232"/>
    <n v="2"/>
    <n v="2.1"/>
    <x v="8"/>
    <x v="2"/>
  </r>
  <r>
    <n v="45180"/>
    <x v="423"/>
    <x v="1"/>
    <x v="0"/>
    <x v="3"/>
    <s v="Insertable Tab Indexes For Data Binders"/>
    <x v="3680"/>
    <n v="3"/>
    <n v="-3.24"/>
    <x v="8"/>
    <x v="2"/>
  </r>
  <r>
    <n v="45180"/>
    <x v="49"/>
    <x v="12"/>
    <x v="0"/>
    <x v="4"/>
    <s v="Crayola Anti Dust Chalk, 12/Pack"/>
    <x v="3681"/>
    <n v="2"/>
    <n v="0.91"/>
    <x v="8"/>
    <x v="2"/>
  </r>
  <r>
    <n v="45180"/>
    <x v="49"/>
    <x v="12"/>
    <x v="0"/>
    <x v="0"/>
    <s v="Xerox 1976"/>
    <x v="1315"/>
    <n v="4"/>
    <n v="7.26"/>
    <x v="8"/>
    <x v="2"/>
  </r>
  <r>
    <n v="45180"/>
    <x v="49"/>
    <x v="12"/>
    <x v="0"/>
    <x v="0"/>
    <s v="Great White Multi-Use Recycled Paper (20Lb. and 84 Bright)"/>
    <x v="1571"/>
    <n v="2"/>
    <n v="2.99"/>
    <x v="8"/>
    <x v="2"/>
  </r>
  <r>
    <n v="45180"/>
    <x v="361"/>
    <x v="0"/>
    <x v="0"/>
    <x v="10"/>
    <s v="Cameo Buff Policy Envelopes"/>
    <x v="3682"/>
    <n v="2"/>
    <n v="33.6"/>
    <x v="8"/>
    <x v="2"/>
  </r>
  <r>
    <n v="45181"/>
    <x v="624"/>
    <x v="26"/>
    <x v="1"/>
    <x v="8"/>
    <s v="C-Line Cubicle Keepers Polyproplyene Holder With Velcro Backings"/>
    <x v="3683"/>
    <n v="4"/>
    <n v="3.59"/>
    <x v="8"/>
    <x v="2"/>
  </r>
  <r>
    <n v="45181"/>
    <x v="624"/>
    <x v="26"/>
    <x v="1"/>
    <x v="5"/>
    <s v="Hon 4070 Series Pagoda Armless Upholstered Stacking Chairs"/>
    <x v="3684"/>
    <n v="2"/>
    <n v="52.51"/>
    <x v="8"/>
    <x v="2"/>
  </r>
  <r>
    <n v="45181"/>
    <x v="624"/>
    <x v="26"/>
    <x v="1"/>
    <x v="8"/>
    <s v="Eldon Expressions Desk Accessory, Wood Photo Frame, Mahogany"/>
    <x v="3262"/>
    <n v="1"/>
    <n v="1.71"/>
    <x v="8"/>
    <x v="2"/>
  </r>
  <r>
    <n v="45181"/>
    <x v="624"/>
    <x v="26"/>
    <x v="0"/>
    <x v="1"/>
    <s v="Avery 509"/>
    <x v="2176"/>
    <n v="3"/>
    <n v="2.04"/>
    <x v="8"/>
    <x v="2"/>
  </r>
  <r>
    <n v="45181"/>
    <x v="582"/>
    <x v="22"/>
    <x v="0"/>
    <x v="7"/>
    <s v="OIC Bulk Pack Metal Binder Clips"/>
    <x v="3685"/>
    <n v="3"/>
    <n v="4.82"/>
    <x v="8"/>
    <x v="2"/>
  </r>
  <r>
    <n v="45181"/>
    <x v="582"/>
    <x v="22"/>
    <x v="0"/>
    <x v="1"/>
    <s v="Avery 487"/>
    <x v="955"/>
    <n v="3"/>
    <n v="5.2"/>
    <x v="8"/>
    <x v="2"/>
  </r>
  <r>
    <n v="45181"/>
    <x v="582"/>
    <x v="22"/>
    <x v="0"/>
    <x v="3"/>
    <s v="GBC Instant Report Kit"/>
    <x v="2363"/>
    <n v="4"/>
    <n v="7.76"/>
    <x v="8"/>
    <x v="2"/>
  </r>
  <r>
    <n v="45181"/>
    <x v="202"/>
    <x v="6"/>
    <x v="2"/>
    <x v="9"/>
    <s v="ImationÂ 30456 USBÂ Flash DriveÂ 8GB"/>
    <x v="2363"/>
    <n v="3"/>
    <n v="1.66"/>
    <x v="8"/>
    <x v="2"/>
  </r>
  <r>
    <n v="45181"/>
    <x v="202"/>
    <x v="6"/>
    <x v="0"/>
    <x v="7"/>
    <s v="Staples"/>
    <x v="1185"/>
    <n v="3"/>
    <n v="5.22"/>
    <x v="8"/>
    <x v="2"/>
  </r>
  <r>
    <n v="45181"/>
    <x v="202"/>
    <x v="6"/>
    <x v="0"/>
    <x v="2"/>
    <s v="Rogers Jumbo File, Granite"/>
    <x v="3686"/>
    <n v="5"/>
    <n v="0.68"/>
    <x v="8"/>
    <x v="2"/>
  </r>
  <r>
    <n v="45181"/>
    <x v="202"/>
    <x v="6"/>
    <x v="1"/>
    <x v="5"/>
    <s v="Hon Olson Stacker Chairs"/>
    <x v="3687"/>
    <n v="4"/>
    <n v="307.14"/>
    <x v="8"/>
    <x v="2"/>
  </r>
  <r>
    <n v="45181"/>
    <x v="571"/>
    <x v="14"/>
    <x v="0"/>
    <x v="0"/>
    <s v="Xerox 1991"/>
    <x v="2936"/>
    <n v="3"/>
    <n v="31.52"/>
    <x v="8"/>
    <x v="2"/>
  </r>
  <r>
    <n v="45181"/>
    <x v="675"/>
    <x v="26"/>
    <x v="2"/>
    <x v="6"/>
    <s v="Lunatik TT5L-002 Taktik Strike Impact Protection System for iPhone 5"/>
    <x v="3688"/>
    <n v="3"/>
    <n v="9.18"/>
    <x v="8"/>
    <x v="2"/>
  </r>
  <r>
    <n v="45181"/>
    <x v="675"/>
    <x v="26"/>
    <x v="1"/>
    <x v="5"/>
    <s v="Global Stack Chair without Arms, Black"/>
    <x v="3689"/>
    <n v="4"/>
    <n v="5.2"/>
    <x v="8"/>
    <x v="2"/>
  </r>
  <r>
    <n v="45181"/>
    <x v="212"/>
    <x v="20"/>
    <x v="1"/>
    <x v="8"/>
    <s v="DAX Contemporary Wood Frame with Silver Metal Mat, Desktop, 11 x 14 Size"/>
    <x v="237"/>
    <n v="2"/>
    <n v="14.57"/>
    <x v="8"/>
    <x v="2"/>
  </r>
  <r>
    <n v="45182"/>
    <x v="199"/>
    <x v="40"/>
    <x v="0"/>
    <x v="2"/>
    <s v="Rogers Jumbo File, Granite"/>
    <x v="1854"/>
    <n v="3"/>
    <n v="0.41"/>
    <x v="8"/>
    <x v="2"/>
  </r>
  <r>
    <n v="45182"/>
    <x v="199"/>
    <x v="40"/>
    <x v="0"/>
    <x v="1"/>
    <s v="Avery 49"/>
    <x v="221"/>
    <n v="5"/>
    <n v="7.06"/>
    <x v="8"/>
    <x v="2"/>
  </r>
  <r>
    <n v="45182"/>
    <x v="199"/>
    <x v="40"/>
    <x v="2"/>
    <x v="6"/>
    <s v="BlueLounge Milo Smartphone Stand, White/Metallic"/>
    <x v="33"/>
    <n v="5"/>
    <n v="41.99"/>
    <x v="8"/>
    <x v="2"/>
  </r>
  <r>
    <n v="45182"/>
    <x v="199"/>
    <x v="40"/>
    <x v="0"/>
    <x v="14"/>
    <s v="Elite 5&quot; Scissors"/>
    <x v="2411"/>
    <n v="2"/>
    <n v="5.07"/>
    <x v="8"/>
    <x v="2"/>
  </r>
  <r>
    <n v="45182"/>
    <x v="199"/>
    <x v="40"/>
    <x v="0"/>
    <x v="0"/>
    <s v="Things To Do Today Pad"/>
    <x v="3690"/>
    <n v="3"/>
    <n v="8.4499999999999993"/>
    <x v="8"/>
    <x v="2"/>
  </r>
  <r>
    <n v="45182"/>
    <x v="199"/>
    <x v="40"/>
    <x v="0"/>
    <x v="12"/>
    <s v="Harmony Air Purifier"/>
    <x v="3691"/>
    <n v="2"/>
    <n v="136.08000000000001"/>
    <x v="8"/>
    <x v="2"/>
  </r>
  <r>
    <n v="45182"/>
    <x v="199"/>
    <x v="40"/>
    <x v="0"/>
    <x v="0"/>
    <s v="Adams Telephone Message Book W/Dividers/Space For Phone Numbers, 5 1/4&quot;X8 1/2&quot;, 300/Messages"/>
    <x v="1810"/>
    <n v="3"/>
    <n v="8.64"/>
    <x v="8"/>
    <x v="2"/>
  </r>
  <r>
    <n v="45182"/>
    <x v="199"/>
    <x v="40"/>
    <x v="0"/>
    <x v="2"/>
    <s v="Fellowes Mobile File Cart, Black"/>
    <x v="1747"/>
    <n v="6"/>
    <n v="100.73"/>
    <x v="8"/>
    <x v="2"/>
  </r>
  <r>
    <n v="45182"/>
    <x v="199"/>
    <x v="40"/>
    <x v="1"/>
    <x v="8"/>
    <s v="Electrix Architect's Clamp-On Swing Arm Lamp, Black"/>
    <x v="3692"/>
    <n v="14"/>
    <n v="387.57"/>
    <x v="8"/>
    <x v="2"/>
  </r>
  <r>
    <n v="45182"/>
    <x v="199"/>
    <x v="40"/>
    <x v="2"/>
    <x v="6"/>
    <s v="Mediabridge Sport Armband iPhone 5s"/>
    <x v="2157"/>
    <n v="3"/>
    <n v="0.3"/>
    <x v="8"/>
    <x v="2"/>
  </r>
  <r>
    <n v="45183"/>
    <x v="672"/>
    <x v="9"/>
    <x v="0"/>
    <x v="0"/>
    <s v="Xerox 224"/>
    <x v="499"/>
    <n v="4"/>
    <n v="12.44"/>
    <x v="8"/>
    <x v="2"/>
  </r>
  <r>
    <n v="45183"/>
    <x v="68"/>
    <x v="20"/>
    <x v="2"/>
    <x v="6"/>
    <s v="Wi-Ex zBoost YX540 Cellular Phone Signal Booster"/>
    <x v="3693"/>
    <n v="3"/>
    <n v="131.36000000000001"/>
    <x v="8"/>
    <x v="2"/>
  </r>
  <r>
    <n v="45183"/>
    <x v="68"/>
    <x v="20"/>
    <x v="0"/>
    <x v="3"/>
    <s v="GBC DocuBind 200 Manual Binding Machine"/>
    <x v="262"/>
    <n v="2"/>
    <n v="252.59"/>
    <x v="8"/>
    <x v="2"/>
  </r>
  <r>
    <n v="45184"/>
    <x v="622"/>
    <x v="2"/>
    <x v="0"/>
    <x v="0"/>
    <s v="Xerox 1968"/>
    <x v="373"/>
    <n v="1"/>
    <n v="1.87"/>
    <x v="8"/>
    <x v="2"/>
  </r>
  <r>
    <n v="45184"/>
    <x v="512"/>
    <x v="20"/>
    <x v="0"/>
    <x v="3"/>
    <s v="GBC DocuBind 300 Electric Binding Machine"/>
    <x v="3694"/>
    <n v="2"/>
    <n v="294.55"/>
    <x v="8"/>
    <x v="2"/>
  </r>
  <r>
    <n v="45184"/>
    <x v="751"/>
    <x v="22"/>
    <x v="0"/>
    <x v="0"/>
    <s v="TOPS &quot;Important Message&quot; Pads, Canary, 4-1/4 x 5-1/2, 50 Sheets per Pad"/>
    <x v="369"/>
    <n v="5"/>
    <n v="10.06"/>
    <x v="8"/>
    <x v="2"/>
  </r>
  <r>
    <n v="45184"/>
    <x v="751"/>
    <x v="22"/>
    <x v="0"/>
    <x v="3"/>
    <s v="Cardinal Slant-D Ring Binder, Heavy Gauge Vinyl"/>
    <x v="3695"/>
    <n v="7"/>
    <n v="15.82"/>
    <x v="8"/>
    <x v="2"/>
  </r>
  <r>
    <n v="45184"/>
    <x v="514"/>
    <x v="34"/>
    <x v="0"/>
    <x v="3"/>
    <s v="Avery Heavy-Duty EZD View Binder with Locking Rings"/>
    <x v="3696"/>
    <n v="4"/>
    <n v="6.64"/>
    <x v="8"/>
    <x v="2"/>
  </r>
  <r>
    <n v="45184"/>
    <x v="514"/>
    <x v="34"/>
    <x v="1"/>
    <x v="13"/>
    <s v="Bretford Rectangular Conference Table Tops"/>
    <x v="3697"/>
    <n v="3"/>
    <n v="259.52999999999997"/>
    <x v="8"/>
    <x v="2"/>
  </r>
  <r>
    <n v="45184"/>
    <x v="475"/>
    <x v="22"/>
    <x v="0"/>
    <x v="4"/>
    <s v="SANFORD Major Accent Highlighters"/>
    <x v="3698"/>
    <n v="5"/>
    <n v="13.45"/>
    <x v="8"/>
    <x v="2"/>
  </r>
  <r>
    <n v="45185"/>
    <x v="288"/>
    <x v="3"/>
    <x v="0"/>
    <x v="0"/>
    <s v="Xerox 1966"/>
    <x v="115"/>
    <n v="2"/>
    <n v="6.35"/>
    <x v="8"/>
    <x v="2"/>
  </r>
  <r>
    <n v="45185"/>
    <x v="435"/>
    <x v="3"/>
    <x v="1"/>
    <x v="11"/>
    <s v="Sauder Forest Hills Library with Doors, Woodland Oak Finish"/>
    <x v="3699"/>
    <n v="2"/>
    <n v="-12.88"/>
    <x v="8"/>
    <x v="2"/>
  </r>
  <r>
    <n v="45185"/>
    <x v="435"/>
    <x v="3"/>
    <x v="0"/>
    <x v="12"/>
    <s v="Eureka Sanitaire  Multi-Pro Heavy-Duty Upright, Disposable Bags"/>
    <x v="1649"/>
    <n v="4"/>
    <n v="4.54"/>
    <x v="8"/>
    <x v="2"/>
  </r>
  <r>
    <n v="45185"/>
    <x v="234"/>
    <x v="4"/>
    <x v="1"/>
    <x v="5"/>
    <s v="Global Value Mid-Back Manager's Chair, Gray"/>
    <x v="3700"/>
    <n v="2"/>
    <n v="30.45"/>
    <x v="8"/>
    <x v="2"/>
  </r>
  <r>
    <n v="45186"/>
    <x v="763"/>
    <x v="3"/>
    <x v="0"/>
    <x v="4"/>
    <s v="Turquoise Lead Holder with Pocket Clip"/>
    <x v="2118"/>
    <n v="3"/>
    <n v="6.63"/>
    <x v="8"/>
    <x v="2"/>
  </r>
  <r>
    <n v="45186"/>
    <x v="763"/>
    <x v="3"/>
    <x v="2"/>
    <x v="6"/>
    <s v="Panasonic Kx-TS550"/>
    <x v="1202"/>
    <n v="2"/>
    <n v="8.2799999999999994"/>
    <x v="8"/>
    <x v="2"/>
  </r>
  <r>
    <n v="45186"/>
    <x v="763"/>
    <x v="3"/>
    <x v="0"/>
    <x v="0"/>
    <s v="Xerox 1995"/>
    <x v="710"/>
    <n v="1"/>
    <n v="3.11"/>
    <x v="8"/>
    <x v="2"/>
  </r>
  <r>
    <n v="45186"/>
    <x v="106"/>
    <x v="4"/>
    <x v="2"/>
    <x v="15"/>
    <s v="Lexmark X 9575 Professional All-in-One Color Printer"/>
    <x v="3701"/>
    <n v="4"/>
    <n v="190.08"/>
    <x v="8"/>
    <x v="2"/>
  </r>
  <r>
    <n v="45186"/>
    <x v="174"/>
    <x v="41"/>
    <x v="2"/>
    <x v="6"/>
    <s v="Wi-Ex zBoost YX540 Cellular Phone Signal Booster"/>
    <x v="3693"/>
    <n v="3"/>
    <n v="131.36000000000001"/>
    <x v="8"/>
    <x v="2"/>
  </r>
  <r>
    <n v="45186"/>
    <x v="174"/>
    <x v="41"/>
    <x v="1"/>
    <x v="8"/>
    <s v="C-Line Cubicle Keepers Polyproplyene Holder w/Velcro Back, 8-1/2x11, 25/Bx"/>
    <x v="3702"/>
    <n v="2"/>
    <n v="33.94"/>
    <x v="8"/>
    <x v="2"/>
  </r>
  <r>
    <n v="45186"/>
    <x v="694"/>
    <x v="22"/>
    <x v="1"/>
    <x v="5"/>
    <s v="Harbour Creations 67200 Series Stacking Chairs"/>
    <x v="3703"/>
    <n v="2"/>
    <n v="9.9700000000000006"/>
    <x v="8"/>
    <x v="2"/>
  </r>
  <r>
    <n v="45186"/>
    <x v="694"/>
    <x v="22"/>
    <x v="2"/>
    <x v="6"/>
    <s v="Clarity 53712"/>
    <x v="325"/>
    <n v="2"/>
    <n v="7.92"/>
    <x v="8"/>
    <x v="2"/>
  </r>
  <r>
    <n v="45186"/>
    <x v="399"/>
    <x v="20"/>
    <x v="0"/>
    <x v="3"/>
    <s v="Avery Arch Ring Binders"/>
    <x v="2808"/>
    <n v="5"/>
    <n v="78.44"/>
    <x v="8"/>
    <x v="2"/>
  </r>
  <r>
    <n v="45186"/>
    <x v="14"/>
    <x v="18"/>
    <x v="0"/>
    <x v="4"/>
    <s v="Sanford Liquid Accent Highlighters"/>
    <x v="1803"/>
    <n v="5"/>
    <n v="12.36"/>
    <x v="8"/>
    <x v="2"/>
  </r>
  <r>
    <n v="45186"/>
    <x v="99"/>
    <x v="32"/>
    <x v="1"/>
    <x v="8"/>
    <s v="C-Line Magnetic Cubicle Keepers, Clear Polypropylene"/>
    <x v="3704"/>
    <n v="3"/>
    <n v="6.22"/>
    <x v="8"/>
    <x v="2"/>
  </r>
  <r>
    <n v="45186"/>
    <x v="99"/>
    <x v="32"/>
    <x v="1"/>
    <x v="8"/>
    <s v="Howard Miller 14-1/2&quot; Diameter Chrome Round Wall Clock"/>
    <x v="2332"/>
    <n v="3"/>
    <n v="61.38"/>
    <x v="8"/>
    <x v="2"/>
  </r>
  <r>
    <n v="45186"/>
    <x v="350"/>
    <x v="10"/>
    <x v="0"/>
    <x v="2"/>
    <s v="Safco Industrial Shelving"/>
    <x v="3705"/>
    <n v="5"/>
    <n v="-62.77"/>
    <x v="8"/>
    <x v="2"/>
  </r>
  <r>
    <n v="45186"/>
    <x v="684"/>
    <x v="22"/>
    <x v="0"/>
    <x v="1"/>
    <s v="Avery 481"/>
    <x v="3706"/>
    <n v="4"/>
    <n v="5.91"/>
    <x v="8"/>
    <x v="2"/>
  </r>
  <r>
    <n v="45187"/>
    <x v="700"/>
    <x v="20"/>
    <x v="0"/>
    <x v="3"/>
    <s v="Avery Binding System Hidden Tab Executive Style Index Sets"/>
    <x v="973"/>
    <n v="1"/>
    <n v="1.73"/>
    <x v="8"/>
    <x v="2"/>
  </r>
  <r>
    <n v="45187"/>
    <x v="555"/>
    <x v="16"/>
    <x v="1"/>
    <x v="13"/>
    <s v="Chromcraft Round Conference Tables"/>
    <x v="3707"/>
    <n v="4"/>
    <n v="-167.32"/>
    <x v="8"/>
    <x v="2"/>
  </r>
  <r>
    <n v="45187"/>
    <x v="481"/>
    <x v="33"/>
    <x v="1"/>
    <x v="5"/>
    <s v="Office Star - Professional Matrix Back Chair with 2-to-1 Synchro Tilt and Mesh Fabric Seat"/>
    <x v="3708"/>
    <n v="1"/>
    <n v="84.24"/>
    <x v="8"/>
    <x v="2"/>
  </r>
  <r>
    <n v="45187"/>
    <x v="481"/>
    <x v="33"/>
    <x v="0"/>
    <x v="0"/>
    <s v="Southworth Parchment Paper &amp; Envelopes"/>
    <x v="3225"/>
    <n v="2"/>
    <n v="6.02"/>
    <x v="8"/>
    <x v="2"/>
  </r>
  <r>
    <n v="45187"/>
    <x v="481"/>
    <x v="33"/>
    <x v="0"/>
    <x v="2"/>
    <s v="Tennsco Double-Tier Lockers"/>
    <x v="3709"/>
    <n v="4"/>
    <n v="117.01"/>
    <x v="8"/>
    <x v="2"/>
  </r>
  <r>
    <n v="45187"/>
    <x v="9"/>
    <x v="10"/>
    <x v="1"/>
    <x v="8"/>
    <s v="Eldon Pizzaz Desk Accessories"/>
    <x v="3710"/>
    <n v="3"/>
    <n v="1.61"/>
    <x v="8"/>
    <x v="2"/>
  </r>
  <r>
    <n v="45187"/>
    <x v="9"/>
    <x v="10"/>
    <x v="1"/>
    <x v="5"/>
    <s v="Situations Contoured Folding Chairs, 4/Set"/>
    <x v="1736"/>
    <n v="2"/>
    <n v="-7.1"/>
    <x v="8"/>
    <x v="2"/>
  </r>
  <r>
    <n v="45187"/>
    <x v="9"/>
    <x v="10"/>
    <x v="0"/>
    <x v="4"/>
    <s v="Eldon Spacemaker Box, Quick-Snap Lid, Clear"/>
    <x v="1305"/>
    <n v="1"/>
    <n v="0.37"/>
    <x v="8"/>
    <x v="2"/>
  </r>
  <r>
    <n v="45187"/>
    <x v="226"/>
    <x v="20"/>
    <x v="1"/>
    <x v="5"/>
    <s v="Global Leather Executive Chair"/>
    <x v="998"/>
    <n v="2"/>
    <n v="140.4"/>
    <x v="8"/>
    <x v="2"/>
  </r>
  <r>
    <n v="45187"/>
    <x v="226"/>
    <x v="20"/>
    <x v="1"/>
    <x v="8"/>
    <s v="DAX Two-Tone Silver Metal Document Frame"/>
    <x v="1453"/>
    <n v="3"/>
    <n v="26.11"/>
    <x v="8"/>
    <x v="2"/>
  </r>
  <r>
    <n v="45187"/>
    <x v="487"/>
    <x v="16"/>
    <x v="0"/>
    <x v="1"/>
    <s v="Avery 480"/>
    <x v="3711"/>
    <n v="1"/>
    <n v="1.05"/>
    <x v="8"/>
    <x v="2"/>
  </r>
  <r>
    <n v="45187"/>
    <x v="638"/>
    <x v="3"/>
    <x v="1"/>
    <x v="5"/>
    <s v="Global Troy Executive Leather Low-Back Tilter"/>
    <x v="690"/>
    <n v="2"/>
    <n v="50.1"/>
    <x v="8"/>
    <x v="2"/>
  </r>
  <r>
    <n v="45187"/>
    <x v="638"/>
    <x v="3"/>
    <x v="0"/>
    <x v="0"/>
    <s v="Xerox 1945"/>
    <x v="2741"/>
    <n v="9"/>
    <n v="180.77"/>
    <x v="8"/>
    <x v="2"/>
  </r>
  <r>
    <n v="45187"/>
    <x v="638"/>
    <x v="3"/>
    <x v="1"/>
    <x v="5"/>
    <s v="Global High-Back Leather Tilter, Burgundy"/>
    <x v="3712"/>
    <n v="9"/>
    <n v="-99.62"/>
    <x v="8"/>
    <x v="2"/>
  </r>
  <r>
    <n v="45187"/>
    <x v="649"/>
    <x v="3"/>
    <x v="2"/>
    <x v="6"/>
    <s v="Polycom CX300 Desktop Phone USB VoIP phone"/>
    <x v="868"/>
    <n v="2"/>
    <n v="24"/>
    <x v="8"/>
    <x v="2"/>
  </r>
  <r>
    <n v="45188"/>
    <x v="469"/>
    <x v="1"/>
    <x v="1"/>
    <x v="5"/>
    <s v="Global Troy Executive Leather Low-Back Tilter"/>
    <x v="3713"/>
    <n v="2"/>
    <n v="-50.1"/>
    <x v="8"/>
    <x v="2"/>
  </r>
  <r>
    <n v="45188"/>
    <x v="469"/>
    <x v="1"/>
    <x v="0"/>
    <x v="3"/>
    <s v="Avery Binding System Hidden Tab Executive Style Index Sets"/>
    <x v="3714"/>
    <n v="2"/>
    <n v="-3.46"/>
    <x v="8"/>
    <x v="2"/>
  </r>
  <r>
    <n v="45188"/>
    <x v="511"/>
    <x v="43"/>
    <x v="0"/>
    <x v="2"/>
    <s v="Hot File 7-Pocket, Floor Stand"/>
    <x v="3715"/>
    <n v="9"/>
    <n v="481.87"/>
    <x v="8"/>
    <x v="2"/>
  </r>
  <r>
    <n v="45188"/>
    <x v="511"/>
    <x v="43"/>
    <x v="0"/>
    <x v="0"/>
    <s v="Adams Telephone Message Book W/Dividers/Space For Phone Numbers, 5 1/4&quot;X8 1/2&quot;, 200/Messages"/>
    <x v="3128"/>
    <n v="3"/>
    <n v="7.67"/>
    <x v="8"/>
    <x v="2"/>
  </r>
  <r>
    <n v="45188"/>
    <x v="511"/>
    <x v="43"/>
    <x v="0"/>
    <x v="3"/>
    <s v="JM Magazine Binder"/>
    <x v="3716"/>
    <n v="3"/>
    <n v="23.77"/>
    <x v="8"/>
    <x v="2"/>
  </r>
  <r>
    <n v="45188"/>
    <x v="511"/>
    <x v="43"/>
    <x v="1"/>
    <x v="5"/>
    <s v="Lifetime Advantage Folding Chairs, 4/Carton"/>
    <x v="407"/>
    <n v="4"/>
    <n v="244.25"/>
    <x v="8"/>
    <x v="2"/>
  </r>
  <r>
    <n v="45188"/>
    <x v="308"/>
    <x v="3"/>
    <x v="0"/>
    <x v="0"/>
    <s v="Xerox Color Copier Paper, 11&quot; x 17&quot;, Ream"/>
    <x v="3717"/>
    <n v="7"/>
    <n v="73.540000000000006"/>
    <x v="8"/>
    <x v="2"/>
  </r>
  <r>
    <n v="45188"/>
    <x v="26"/>
    <x v="23"/>
    <x v="0"/>
    <x v="3"/>
    <s v="Storex DuraTech Recycled Plastic Frosted Binders"/>
    <x v="242"/>
    <n v="6"/>
    <n v="12.72"/>
    <x v="8"/>
    <x v="2"/>
  </r>
  <r>
    <n v="45188"/>
    <x v="26"/>
    <x v="23"/>
    <x v="0"/>
    <x v="14"/>
    <s v="Acme Forged Steel Scissors with Black Enamel Handles"/>
    <x v="3594"/>
    <n v="3"/>
    <n v="8.1"/>
    <x v="8"/>
    <x v="2"/>
  </r>
  <r>
    <n v="45188"/>
    <x v="633"/>
    <x v="4"/>
    <x v="0"/>
    <x v="14"/>
    <s v="Letter Slitter"/>
    <x v="466"/>
    <n v="2"/>
    <n v="0.15"/>
    <x v="8"/>
    <x v="2"/>
  </r>
  <r>
    <n v="45188"/>
    <x v="633"/>
    <x v="4"/>
    <x v="2"/>
    <x v="9"/>
    <s v="Logitech Wireless Marathon Mouse M705"/>
    <x v="3585"/>
    <n v="5"/>
    <n v="107.48"/>
    <x v="8"/>
    <x v="2"/>
  </r>
  <r>
    <n v="45188"/>
    <x v="64"/>
    <x v="2"/>
    <x v="1"/>
    <x v="8"/>
    <s v="Nu-Dell Oak Frame"/>
    <x v="3718"/>
    <n v="3"/>
    <n v="3.84"/>
    <x v="8"/>
    <x v="2"/>
  </r>
  <r>
    <n v="45188"/>
    <x v="684"/>
    <x v="3"/>
    <x v="0"/>
    <x v="3"/>
    <s v="Cardinal Holdit Business Card Pockets"/>
    <x v="1177"/>
    <n v="3"/>
    <n v="4.18"/>
    <x v="8"/>
    <x v="2"/>
  </r>
  <r>
    <n v="45188"/>
    <x v="684"/>
    <x v="3"/>
    <x v="0"/>
    <x v="14"/>
    <s v="Kleencut Forged Office Shears by Acme United Corporation"/>
    <x v="274"/>
    <n v="3"/>
    <n v="1.87"/>
    <x v="8"/>
    <x v="2"/>
  </r>
  <r>
    <n v="45188"/>
    <x v="584"/>
    <x v="43"/>
    <x v="0"/>
    <x v="2"/>
    <s v="Home/Office Personal File Carts"/>
    <x v="1211"/>
    <n v="2"/>
    <n v="17.38"/>
    <x v="8"/>
    <x v="2"/>
  </r>
  <r>
    <n v="45188"/>
    <x v="136"/>
    <x v="3"/>
    <x v="0"/>
    <x v="3"/>
    <s v="Avery Heavy-Duty EZD  Binder With Locking Rings"/>
    <x v="3719"/>
    <n v="2"/>
    <n v="3.12"/>
    <x v="8"/>
    <x v="2"/>
  </r>
  <r>
    <n v="45189"/>
    <x v="129"/>
    <x v="3"/>
    <x v="0"/>
    <x v="0"/>
    <s v="Strathmore Photo Frame Cards"/>
    <x v="3720"/>
    <n v="9"/>
    <n v="30.26"/>
    <x v="8"/>
    <x v="2"/>
  </r>
  <r>
    <n v="45189"/>
    <x v="129"/>
    <x v="3"/>
    <x v="0"/>
    <x v="3"/>
    <s v="Fellowes PB200 Plastic Comb Binding Machine"/>
    <x v="3721"/>
    <n v="2"/>
    <n v="88.39"/>
    <x v="8"/>
    <x v="2"/>
  </r>
  <r>
    <n v="45189"/>
    <x v="129"/>
    <x v="3"/>
    <x v="0"/>
    <x v="4"/>
    <s v="Newell 343"/>
    <x v="1562"/>
    <n v="4"/>
    <n v="3.18"/>
    <x v="8"/>
    <x v="2"/>
  </r>
  <r>
    <n v="45189"/>
    <x v="129"/>
    <x v="3"/>
    <x v="0"/>
    <x v="0"/>
    <s v="Xerox 1944"/>
    <x v="1063"/>
    <n v="2"/>
    <n v="37.979999999999997"/>
    <x v="8"/>
    <x v="2"/>
  </r>
  <r>
    <n v="45189"/>
    <x v="129"/>
    <x v="3"/>
    <x v="0"/>
    <x v="3"/>
    <s v="Ibico Plastic Spiral Binding Combs"/>
    <x v="3722"/>
    <n v="2"/>
    <n v="15.81"/>
    <x v="8"/>
    <x v="2"/>
  </r>
  <r>
    <n v="45189"/>
    <x v="76"/>
    <x v="25"/>
    <x v="1"/>
    <x v="8"/>
    <s v="Dana Swing-Arm Lamps"/>
    <x v="272"/>
    <n v="2"/>
    <n v="1.07"/>
    <x v="8"/>
    <x v="2"/>
  </r>
  <r>
    <n v="45189"/>
    <x v="76"/>
    <x v="25"/>
    <x v="1"/>
    <x v="5"/>
    <s v="Global High-Back Leather Tilter, Burgundy"/>
    <x v="3723"/>
    <n v="1"/>
    <n v="-11.07"/>
    <x v="8"/>
    <x v="2"/>
  </r>
  <r>
    <n v="45189"/>
    <x v="276"/>
    <x v="20"/>
    <x v="0"/>
    <x v="12"/>
    <s v="Honeywell Quietcare HEPA Air Cleaner"/>
    <x v="3724"/>
    <n v="5"/>
    <n v="129.77000000000001"/>
    <x v="8"/>
    <x v="2"/>
  </r>
  <r>
    <n v="45189"/>
    <x v="647"/>
    <x v="14"/>
    <x v="0"/>
    <x v="3"/>
    <s v="GBC Poly Designer Binding Covers"/>
    <x v="1801"/>
    <n v="5"/>
    <n v="41.01"/>
    <x v="8"/>
    <x v="2"/>
  </r>
  <r>
    <n v="45189"/>
    <x v="631"/>
    <x v="22"/>
    <x v="1"/>
    <x v="11"/>
    <s v="O'Sullivan 5-Shelf Heavy-Duty Bookcases"/>
    <x v="3597"/>
    <n v="2"/>
    <n v="40.97"/>
    <x v="8"/>
    <x v="2"/>
  </r>
  <r>
    <n v="45191"/>
    <x v="562"/>
    <x v="15"/>
    <x v="0"/>
    <x v="4"/>
    <s v="Berol Giant Pencil Sharpener"/>
    <x v="1174"/>
    <n v="3"/>
    <n v="4.59"/>
    <x v="8"/>
    <x v="2"/>
  </r>
  <r>
    <n v="45191"/>
    <x v="562"/>
    <x v="15"/>
    <x v="2"/>
    <x v="6"/>
    <s v="PayAnywhere Card Reader"/>
    <x v="1916"/>
    <n v="8"/>
    <n v="5.59"/>
    <x v="8"/>
    <x v="2"/>
  </r>
  <r>
    <n v="45191"/>
    <x v="517"/>
    <x v="2"/>
    <x v="0"/>
    <x v="4"/>
    <s v="Newell 348"/>
    <x v="1304"/>
    <n v="3"/>
    <n v="0.89"/>
    <x v="8"/>
    <x v="2"/>
  </r>
  <r>
    <n v="45191"/>
    <x v="482"/>
    <x v="16"/>
    <x v="0"/>
    <x v="3"/>
    <s v="Acco Suede Grain Vinyl Round Ring Binder"/>
    <x v="3725"/>
    <n v="9"/>
    <n v="-6"/>
    <x v="8"/>
    <x v="2"/>
  </r>
  <r>
    <n v="45191"/>
    <x v="482"/>
    <x v="16"/>
    <x v="0"/>
    <x v="1"/>
    <s v="Avery Address/Shipping Labels for Typewriters, 4&quot; x 2&quot;"/>
    <x v="2738"/>
    <n v="2"/>
    <n v="5.8"/>
    <x v="8"/>
    <x v="2"/>
  </r>
  <r>
    <n v="45191"/>
    <x v="326"/>
    <x v="5"/>
    <x v="1"/>
    <x v="8"/>
    <s v="G.E. Longer-Life Indoor Recessed Floodlight Bulbs"/>
    <x v="833"/>
    <n v="2"/>
    <n v="6.37"/>
    <x v="8"/>
    <x v="2"/>
  </r>
  <r>
    <n v="45191"/>
    <x v="629"/>
    <x v="2"/>
    <x v="0"/>
    <x v="1"/>
    <s v="Avery 476"/>
    <x v="356"/>
    <n v="5"/>
    <n v="5.37"/>
    <x v="8"/>
    <x v="2"/>
  </r>
  <r>
    <n v="45191"/>
    <x v="381"/>
    <x v="20"/>
    <x v="0"/>
    <x v="2"/>
    <s v="Sortfiler Multipurpose Personal File Organizer, Black"/>
    <x v="3726"/>
    <n v="6"/>
    <n v="37.22"/>
    <x v="8"/>
    <x v="2"/>
  </r>
  <r>
    <n v="45191"/>
    <x v="461"/>
    <x v="18"/>
    <x v="0"/>
    <x v="0"/>
    <s v="Xerox 1895"/>
    <x v="186"/>
    <n v="6"/>
    <n v="16.149999999999999"/>
    <x v="8"/>
    <x v="2"/>
  </r>
  <r>
    <n v="45191"/>
    <x v="436"/>
    <x v="26"/>
    <x v="1"/>
    <x v="8"/>
    <s v="Aluminum Document Frame"/>
    <x v="3727"/>
    <n v="7"/>
    <n v="8.5500000000000007"/>
    <x v="8"/>
    <x v="2"/>
  </r>
  <r>
    <n v="45191"/>
    <x v="10"/>
    <x v="21"/>
    <x v="1"/>
    <x v="8"/>
    <s v="DAX Two-Tone Rosewood/Black Document Frame, Desktop, 5 x 7"/>
    <x v="3728"/>
    <n v="2"/>
    <n v="7.58"/>
    <x v="8"/>
    <x v="2"/>
  </r>
  <r>
    <n v="45191"/>
    <x v="70"/>
    <x v="10"/>
    <x v="0"/>
    <x v="10"/>
    <s v="Blue String-Tie &amp; Button Interoffice Envelopes, 10 x 13"/>
    <x v="3729"/>
    <n v="2"/>
    <n v="19.989999999999998"/>
    <x v="8"/>
    <x v="2"/>
  </r>
  <r>
    <n v="45191"/>
    <x v="361"/>
    <x v="14"/>
    <x v="0"/>
    <x v="0"/>
    <s v="RSVP Cards &amp; Envelopes, Blank White, 8-1/2&quot; X 11&quot;, 24 Cards/25 Envelopes/Set"/>
    <x v="3730"/>
    <n v="7"/>
    <n v="16.71"/>
    <x v="8"/>
    <x v="2"/>
  </r>
  <r>
    <n v="45191"/>
    <x v="361"/>
    <x v="14"/>
    <x v="2"/>
    <x v="6"/>
    <s v="Panasonic KX TS208W Corded phone"/>
    <x v="3731"/>
    <n v="2"/>
    <n v="27.43"/>
    <x v="8"/>
    <x v="2"/>
  </r>
  <r>
    <n v="45192"/>
    <x v="254"/>
    <x v="10"/>
    <x v="1"/>
    <x v="8"/>
    <s v="Rubbermaid ClusterMat Chairmats, Mat Size- 66&quot; x 60&quot;, Lip 20&quot; x 11&quot; -90 Degree Angle"/>
    <x v="3576"/>
    <n v="6"/>
    <n v="-26.64"/>
    <x v="8"/>
    <x v="2"/>
  </r>
  <r>
    <n v="45192"/>
    <x v="254"/>
    <x v="10"/>
    <x v="0"/>
    <x v="4"/>
    <s v="Dixon Ticonderoga Maple Cedar Pencil, #2"/>
    <x v="3732"/>
    <n v="2"/>
    <n v="0.31"/>
    <x v="8"/>
    <x v="2"/>
  </r>
  <r>
    <n v="45192"/>
    <x v="277"/>
    <x v="4"/>
    <x v="0"/>
    <x v="2"/>
    <s v="Eldon Mobile Mega Data Cart  Mega Stackable  Add-On Trays"/>
    <x v="3733"/>
    <n v="5"/>
    <n v="34.29"/>
    <x v="8"/>
    <x v="2"/>
  </r>
  <r>
    <n v="45192"/>
    <x v="277"/>
    <x v="4"/>
    <x v="1"/>
    <x v="5"/>
    <s v="Hon Mobius Operator's Chair"/>
    <x v="3734"/>
    <n v="3"/>
    <n v="81.17"/>
    <x v="8"/>
    <x v="2"/>
  </r>
  <r>
    <n v="45192"/>
    <x v="507"/>
    <x v="22"/>
    <x v="0"/>
    <x v="14"/>
    <s v="Acme Design Stainless Steel Bent Scissors"/>
    <x v="3735"/>
    <n v="2"/>
    <n v="3.69"/>
    <x v="8"/>
    <x v="2"/>
  </r>
  <r>
    <n v="45192"/>
    <x v="762"/>
    <x v="3"/>
    <x v="0"/>
    <x v="10"/>
    <s v="Poly String Tie Envelopes"/>
    <x v="3736"/>
    <n v="2"/>
    <n v="1.92"/>
    <x v="8"/>
    <x v="2"/>
  </r>
  <r>
    <n v="45192"/>
    <x v="762"/>
    <x v="3"/>
    <x v="0"/>
    <x v="1"/>
    <s v="Avery 51"/>
    <x v="282"/>
    <n v="3"/>
    <n v="8.69"/>
    <x v="8"/>
    <x v="2"/>
  </r>
  <r>
    <n v="45192"/>
    <x v="748"/>
    <x v="20"/>
    <x v="0"/>
    <x v="3"/>
    <s v="3-ring staple pack"/>
    <x v="3737"/>
    <n v="7"/>
    <n v="3.68"/>
    <x v="8"/>
    <x v="2"/>
  </r>
  <r>
    <n v="45192"/>
    <x v="179"/>
    <x v="10"/>
    <x v="0"/>
    <x v="0"/>
    <s v="Xerox 1970"/>
    <x v="1177"/>
    <n v="3"/>
    <n v="4.03"/>
    <x v="8"/>
    <x v="2"/>
  </r>
  <r>
    <n v="45192"/>
    <x v="179"/>
    <x v="10"/>
    <x v="1"/>
    <x v="8"/>
    <s v="Eldon 400 Class Desk Accessories, Black Carbon"/>
    <x v="3738"/>
    <n v="4"/>
    <n v="7.7"/>
    <x v="8"/>
    <x v="2"/>
  </r>
  <r>
    <n v="45192"/>
    <x v="179"/>
    <x v="10"/>
    <x v="0"/>
    <x v="3"/>
    <s v="Fellowes Black Plastic Comb Bindings"/>
    <x v="3739"/>
    <n v="7"/>
    <n v="-9.76"/>
    <x v="8"/>
    <x v="2"/>
  </r>
  <r>
    <n v="45192"/>
    <x v="679"/>
    <x v="22"/>
    <x v="0"/>
    <x v="3"/>
    <s v="ACCOHIDE 3-Ring Binder, Blue, 1&quot;"/>
    <x v="3740"/>
    <n v="4"/>
    <n v="4.46"/>
    <x v="8"/>
    <x v="2"/>
  </r>
  <r>
    <n v="45192"/>
    <x v="679"/>
    <x v="22"/>
    <x v="1"/>
    <x v="5"/>
    <s v="Global Deluxe Steno Chair"/>
    <x v="1722"/>
    <n v="3"/>
    <n v="-20.78"/>
    <x v="8"/>
    <x v="2"/>
  </r>
  <r>
    <n v="45193"/>
    <x v="500"/>
    <x v="10"/>
    <x v="1"/>
    <x v="5"/>
    <s v="Office Star - Contemporary Task Swivel Chair"/>
    <x v="1384"/>
    <n v="2"/>
    <n v="-13.32"/>
    <x v="8"/>
    <x v="2"/>
  </r>
  <r>
    <n v="45193"/>
    <x v="174"/>
    <x v="3"/>
    <x v="0"/>
    <x v="2"/>
    <s v="Tennsco Lockers, Gray"/>
    <x v="2237"/>
    <n v="2"/>
    <n v="2.94"/>
    <x v="8"/>
    <x v="2"/>
  </r>
  <r>
    <n v="45193"/>
    <x v="174"/>
    <x v="3"/>
    <x v="0"/>
    <x v="0"/>
    <s v="REDIFORM Incoming/Outgoing Call Register, 11&quot; X 8 1/2&quot;, 100 Messages"/>
    <x v="3741"/>
    <n v="5"/>
    <n v="20.85"/>
    <x v="8"/>
    <x v="2"/>
  </r>
  <r>
    <n v="45193"/>
    <x v="615"/>
    <x v="3"/>
    <x v="1"/>
    <x v="8"/>
    <s v="Nu-Dell Executive Frame"/>
    <x v="1631"/>
    <n v="5"/>
    <n v="23.38"/>
    <x v="8"/>
    <x v="2"/>
  </r>
  <r>
    <n v="45193"/>
    <x v="750"/>
    <x v="26"/>
    <x v="1"/>
    <x v="8"/>
    <s v="Electrix 20W Halogen Replacement Bulb for Zoom-In Desk Lamp"/>
    <x v="3742"/>
    <n v="2"/>
    <n v="7.5"/>
    <x v="8"/>
    <x v="2"/>
  </r>
  <r>
    <n v="45193"/>
    <x v="750"/>
    <x v="26"/>
    <x v="0"/>
    <x v="2"/>
    <s v="Sensible Storage WireTech Storage Systems"/>
    <x v="3743"/>
    <n v="9"/>
    <n v="-95.82"/>
    <x v="8"/>
    <x v="2"/>
  </r>
  <r>
    <n v="45193"/>
    <x v="157"/>
    <x v="39"/>
    <x v="0"/>
    <x v="3"/>
    <s v="Avery Heavy-Duty EZD View Binder with Locking Rings"/>
    <x v="3744"/>
    <n v="1"/>
    <n v="2.93"/>
    <x v="8"/>
    <x v="2"/>
  </r>
  <r>
    <n v="45193"/>
    <x v="157"/>
    <x v="39"/>
    <x v="0"/>
    <x v="0"/>
    <s v="Xerox 232"/>
    <x v="710"/>
    <n v="1"/>
    <n v="3.11"/>
    <x v="8"/>
    <x v="2"/>
  </r>
  <r>
    <n v="45193"/>
    <x v="131"/>
    <x v="18"/>
    <x v="1"/>
    <x v="8"/>
    <s v="Deflect-o DuraMat Lighweight, Studded, Beveled Mat for Low Pile Carpeting"/>
    <x v="931"/>
    <n v="3"/>
    <n v="21.75"/>
    <x v="8"/>
    <x v="2"/>
  </r>
  <r>
    <n v="45193"/>
    <x v="521"/>
    <x v="1"/>
    <x v="0"/>
    <x v="3"/>
    <s v="GBC ProClick 150 Presentation Binding System"/>
    <x v="3745"/>
    <n v="7"/>
    <n v="-729.91"/>
    <x v="8"/>
    <x v="2"/>
  </r>
  <r>
    <n v="45193"/>
    <x v="150"/>
    <x v="3"/>
    <x v="0"/>
    <x v="10"/>
    <s v="Tyvek Interoffice Envelopes, 9 1/2&quot; x 12 1/2&quot;, 100/Box"/>
    <x v="2689"/>
    <n v="5"/>
    <n v="143.30000000000001"/>
    <x v="8"/>
    <x v="2"/>
  </r>
  <r>
    <n v="45193"/>
    <x v="150"/>
    <x v="3"/>
    <x v="1"/>
    <x v="5"/>
    <s v="Hon Olson Stacker Stools"/>
    <x v="3746"/>
    <n v="5"/>
    <n v="56.32"/>
    <x v="8"/>
    <x v="2"/>
  </r>
  <r>
    <n v="45194"/>
    <x v="579"/>
    <x v="12"/>
    <x v="1"/>
    <x v="13"/>
    <s v="Bevis Boat-Shaped Conference Table"/>
    <x v="2200"/>
    <n v="3"/>
    <n v="-204.45"/>
    <x v="8"/>
    <x v="2"/>
  </r>
  <r>
    <n v="45194"/>
    <x v="62"/>
    <x v="0"/>
    <x v="0"/>
    <x v="1"/>
    <s v="Avery 499"/>
    <x v="443"/>
    <n v="4"/>
    <n v="5.18"/>
    <x v="8"/>
    <x v="2"/>
  </r>
  <r>
    <n v="45194"/>
    <x v="124"/>
    <x v="11"/>
    <x v="0"/>
    <x v="0"/>
    <s v="REDIFORM Incoming/Outgoing Call Register, 11&quot; X 8 1/2&quot;, 100 Messages"/>
    <x v="3747"/>
    <n v="9"/>
    <n v="22.52"/>
    <x v="8"/>
    <x v="2"/>
  </r>
  <r>
    <n v="45194"/>
    <x v="124"/>
    <x v="11"/>
    <x v="0"/>
    <x v="3"/>
    <s v="GBC Poly Designer Binding Covers"/>
    <x v="3748"/>
    <n v="1"/>
    <n v="-3.52"/>
    <x v="8"/>
    <x v="2"/>
  </r>
  <r>
    <n v="45194"/>
    <x v="621"/>
    <x v="3"/>
    <x v="0"/>
    <x v="4"/>
    <s v="BIC Brite Liner Highlighters"/>
    <x v="2738"/>
    <n v="4"/>
    <n v="6.96"/>
    <x v="8"/>
    <x v="2"/>
  </r>
  <r>
    <n v="45194"/>
    <x v="571"/>
    <x v="21"/>
    <x v="2"/>
    <x v="9"/>
    <s v="Logitech Wireless Headset h800"/>
    <x v="3749"/>
    <n v="5"/>
    <n v="174.98"/>
    <x v="8"/>
    <x v="2"/>
  </r>
  <r>
    <n v="45194"/>
    <x v="571"/>
    <x v="21"/>
    <x v="0"/>
    <x v="4"/>
    <s v="Manco Dry-Lighter Erasable Highlighter"/>
    <x v="3750"/>
    <n v="1"/>
    <n v="1.03"/>
    <x v="8"/>
    <x v="2"/>
  </r>
  <r>
    <n v="45194"/>
    <x v="571"/>
    <x v="21"/>
    <x v="1"/>
    <x v="5"/>
    <s v="Global Fabric Manager's Chair, Dark Gray"/>
    <x v="3751"/>
    <n v="2"/>
    <n v="50.49"/>
    <x v="8"/>
    <x v="2"/>
  </r>
  <r>
    <n v="45194"/>
    <x v="571"/>
    <x v="21"/>
    <x v="1"/>
    <x v="8"/>
    <s v="Eldon Expressions Mahogany Wood Desk Collection"/>
    <x v="3752"/>
    <n v="11"/>
    <n v="17.16"/>
    <x v="8"/>
    <x v="2"/>
  </r>
  <r>
    <n v="45194"/>
    <x v="578"/>
    <x v="10"/>
    <x v="0"/>
    <x v="12"/>
    <s v="Hoover Shoulder Vac Commercial Portable Vacuum"/>
    <x v="3753"/>
    <n v="1"/>
    <n v="17.89"/>
    <x v="8"/>
    <x v="2"/>
  </r>
  <r>
    <n v="45194"/>
    <x v="578"/>
    <x v="10"/>
    <x v="0"/>
    <x v="2"/>
    <s v="Eldon Gobal File Keepers"/>
    <x v="3754"/>
    <n v="2"/>
    <n v="-4.84"/>
    <x v="8"/>
    <x v="2"/>
  </r>
  <r>
    <n v="45194"/>
    <x v="578"/>
    <x v="10"/>
    <x v="0"/>
    <x v="2"/>
    <s v="SAFCO Commercial Wire Shelving, Black"/>
    <x v="1013"/>
    <n v="3"/>
    <n v="-82.88"/>
    <x v="8"/>
    <x v="2"/>
  </r>
  <r>
    <n v="45194"/>
    <x v="322"/>
    <x v="3"/>
    <x v="1"/>
    <x v="11"/>
    <s v="Atlantic Metals Mobile 4-Shelf Bookcases, Custom Colors"/>
    <x v="3755"/>
    <n v="2"/>
    <n v="84.29"/>
    <x v="8"/>
    <x v="2"/>
  </r>
  <r>
    <n v="45194"/>
    <x v="275"/>
    <x v="3"/>
    <x v="0"/>
    <x v="0"/>
    <s v="Ampad Evidence Wirebond Steno Books, 6&quot; x 9&quot;"/>
    <x v="389"/>
    <n v="5"/>
    <n v="5.12"/>
    <x v="8"/>
    <x v="2"/>
  </r>
  <r>
    <n v="45194"/>
    <x v="275"/>
    <x v="3"/>
    <x v="0"/>
    <x v="1"/>
    <s v="Alphabetical Labels for Top Tab Filing"/>
    <x v="271"/>
    <n v="2"/>
    <n v="14.8"/>
    <x v="8"/>
    <x v="2"/>
  </r>
  <r>
    <n v="45194"/>
    <x v="275"/>
    <x v="3"/>
    <x v="0"/>
    <x v="1"/>
    <s v="Avery 513"/>
    <x v="1599"/>
    <n v="1"/>
    <n v="2.29"/>
    <x v="8"/>
    <x v="2"/>
  </r>
  <r>
    <n v="45194"/>
    <x v="275"/>
    <x v="3"/>
    <x v="2"/>
    <x v="16"/>
    <s v="Canon PC-428 Personal Copier"/>
    <x v="386"/>
    <n v="3"/>
    <n v="161.99"/>
    <x v="8"/>
    <x v="2"/>
  </r>
  <r>
    <n v="45194"/>
    <x v="275"/>
    <x v="3"/>
    <x v="2"/>
    <x v="6"/>
    <s v="SmartStand Mobile Device Holder, Assorted Colors"/>
    <x v="3756"/>
    <n v="8"/>
    <n v="4.47"/>
    <x v="8"/>
    <x v="2"/>
  </r>
  <r>
    <n v="45194"/>
    <x v="275"/>
    <x v="3"/>
    <x v="0"/>
    <x v="4"/>
    <s v="Newell 346"/>
    <x v="1235"/>
    <n v="2"/>
    <n v="1.67"/>
    <x v="8"/>
    <x v="2"/>
  </r>
  <r>
    <n v="45194"/>
    <x v="275"/>
    <x v="3"/>
    <x v="1"/>
    <x v="5"/>
    <s v="Global Airflow Leather Mesh Back Chair, Black"/>
    <x v="3381"/>
    <n v="4"/>
    <n v="60.39"/>
    <x v="8"/>
    <x v="2"/>
  </r>
  <r>
    <n v="45195"/>
    <x v="40"/>
    <x v="1"/>
    <x v="1"/>
    <x v="5"/>
    <s v="Hon 4700 Series Mobuis Mid-Back Task Chairs with Adjustable Arms"/>
    <x v="3757"/>
    <n v="3"/>
    <n v="-96.11"/>
    <x v="8"/>
    <x v="2"/>
  </r>
  <r>
    <n v="45195"/>
    <x v="40"/>
    <x v="1"/>
    <x v="0"/>
    <x v="10"/>
    <s v="Staple envelope"/>
    <x v="3719"/>
    <n v="2"/>
    <n v="3.35"/>
    <x v="8"/>
    <x v="2"/>
  </r>
  <r>
    <n v="45195"/>
    <x v="562"/>
    <x v="3"/>
    <x v="1"/>
    <x v="11"/>
    <s v="Bestar Classic Bookcase"/>
    <x v="3758"/>
    <n v="5"/>
    <n v="20"/>
    <x v="8"/>
    <x v="2"/>
  </r>
  <r>
    <n v="45195"/>
    <x v="188"/>
    <x v="22"/>
    <x v="0"/>
    <x v="12"/>
    <s v="Belkin 7 Outlet SurgeMaster II"/>
    <x v="3759"/>
    <n v="6"/>
    <n v="66.33"/>
    <x v="8"/>
    <x v="2"/>
  </r>
  <r>
    <n v="45195"/>
    <x v="188"/>
    <x v="22"/>
    <x v="0"/>
    <x v="0"/>
    <s v="Universal Premium White Copier/Laser Paper (20Lb. and 87 Bright)"/>
    <x v="1691"/>
    <n v="5"/>
    <n v="14.65"/>
    <x v="8"/>
    <x v="2"/>
  </r>
  <r>
    <n v="45195"/>
    <x v="188"/>
    <x v="22"/>
    <x v="2"/>
    <x v="9"/>
    <s v="Micro Innovations USB RF Wireless Keyboard with Mouse"/>
    <x v="3018"/>
    <n v="4"/>
    <n v="21"/>
    <x v="8"/>
    <x v="2"/>
  </r>
  <r>
    <n v="45195"/>
    <x v="345"/>
    <x v="30"/>
    <x v="0"/>
    <x v="0"/>
    <s v="Hammermill Color Copier Paper (28Lb. and 96 Bright)"/>
    <x v="134"/>
    <n v="1"/>
    <n v="4.5"/>
    <x v="8"/>
    <x v="2"/>
  </r>
  <r>
    <n v="45195"/>
    <x v="250"/>
    <x v="3"/>
    <x v="0"/>
    <x v="2"/>
    <s v="Advantus Rolling Storage Box"/>
    <x v="1596"/>
    <n v="3"/>
    <n v="13.89"/>
    <x v="8"/>
    <x v="2"/>
  </r>
  <r>
    <n v="45195"/>
    <x v="250"/>
    <x v="3"/>
    <x v="0"/>
    <x v="1"/>
    <s v="Avery 494"/>
    <x v="337"/>
    <n v="3"/>
    <n v="3.6"/>
    <x v="8"/>
    <x v="2"/>
  </r>
  <r>
    <n v="45195"/>
    <x v="250"/>
    <x v="3"/>
    <x v="0"/>
    <x v="4"/>
    <s v="SANFORD Major Accent Highlighters"/>
    <x v="3698"/>
    <n v="5"/>
    <n v="13.45"/>
    <x v="8"/>
    <x v="2"/>
  </r>
  <r>
    <n v="45195"/>
    <x v="250"/>
    <x v="3"/>
    <x v="0"/>
    <x v="0"/>
    <s v="Great White Multi-Use Recycled Paper (20Lb. and 84 Bright)"/>
    <x v="1691"/>
    <n v="5"/>
    <n v="13.46"/>
    <x v="8"/>
    <x v="2"/>
  </r>
  <r>
    <n v="45195"/>
    <x v="360"/>
    <x v="3"/>
    <x v="0"/>
    <x v="0"/>
    <s v="Xerox 1905"/>
    <x v="115"/>
    <n v="2"/>
    <n v="6.22"/>
    <x v="8"/>
    <x v="2"/>
  </r>
  <r>
    <n v="45195"/>
    <x v="451"/>
    <x v="16"/>
    <x v="2"/>
    <x v="9"/>
    <s v="LogitechÂ VX Revolution Cordless Laser Mouse for Notebooks (Black)"/>
    <x v="1674"/>
    <n v="3"/>
    <n v="-75.599999999999994"/>
    <x v="8"/>
    <x v="2"/>
  </r>
  <r>
    <n v="45195"/>
    <x v="59"/>
    <x v="0"/>
    <x v="0"/>
    <x v="3"/>
    <s v="Ibico Recycled Linen-Style Covers"/>
    <x v="3760"/>
    <n v="2"/>
    <n v="-25"/>
    <x v="8"/>
    <x v="2"/>
  </r>
  <r>
    <n v="45195"/>
    <x v="382"/>
    <x v="0"/>
    <x v="0"/>
    <x v="12"/>
    <s v="Hoover Commercial Lightweight Upright Vacuum with E-Z Empty Dirt Cup"/>
    <x v="3761"/>
    <n v="2"/>
    <n v="-251.19"/>
    <x v="8"/>
    <x v="2"/>
  </r>
  <r>
    <n v="45195"/>
    <x v="382"/>
    <x v="0"/>
    <x v="1"/>
    <x v="5"/>
    <s v="High-Back Leather Manager's Chair"/>
    <x v="3762"/>
    <n v="5"/>
    <n v="-136.49"/>
    <x v="8"/>
    <x v="2"/>
  </r>
  <r>
    <n v="45195"/>
    <x v="719"/>
    <x v="0"/>
    <x v="0"/>
    <x v="3"/>
    <s v="GBC Recycled VeloBinder Covers"/>
    <x v="3763"/>
    <n v="2"/>
    <n v="-11.59"/>
    <x v="8"/>
    <x v="2"/>
  </r>
  <r>
    <n v="45196"/>
    <x v="312"/>
    <x v="0"/>
    <x v="1"/>
    <x v="11"/>
    <s v="O'Sullivan Plantations 2-Door Library in Landvery Oak"/>
    <x v="3764"/>
    <n v="7"/>
    <n v="-225.1"/>
    <x v="8"/>
    <x v="2"/>
  </r>
  <r>
    <n v="45196"/>
    <x v="291"/>
    <x v="10"/>
    <x v="0"/>
    <x v="3"/>
    <s v="Recycled Pressboard Report Cover with Reinforced Top Hinge"/>
    <x v="3681"/>
    <n v="3"/>
    <n v="-2.0299999999999998"/>
    <x v="8"/>
    <x v="2"/>
  </r>
  <r>
    <n v="45196"/>
    <x v="661"/>
    <x v="22"/>
    <x v="2"/>
    <x v="6"/>
    <s v="Samsung Galaxy S4"/>
    <x v="3765"/>
    <n v="2"/>
    <n v="125.2"/>
    <x v="8"/>
    <x v="2"/>
  </r>
  <r>
    <n v="45196"/>
    <x v="229"/>
    <x v="4"/>
    <x v="0"/>
    <x v="0"/>
    <s v="Xerox 1965"/>
    <x v="150"/>
    <n v="3"/>
    <n v="8.7899999999999991"/>
    <x v="8"/>
    <x v="2"/>
  </r>
  <r>
    <n v="45196"/>
    <x v="229"/>
    <x v="4"/>
    <x v="0"/>
    <x v="4"/>
    <s v="Binney &amp; Smith Crayola Metallic Colored Pencils, 8-Color Set"/>
    <x v="294"/>
    <n v="3"/>
    <n v="4.58"/>
    <x v="8"/>
    <x v="2"/>
  </r>
  <r>
    <n v="45197"/>
    <x v="22"/>
    <x v="1"/>
    <x v="0"/>
    <x v="0"/>
    <s v="Xerox 1960"/>
    <x v="1603"/>
    <n v="4"/>
    <n v="30.98"/>
    <x v="8"/>
    <x v="2"/>
  </r>
  <r>
    <n v="45198"/>
    <x v="637"/>
    <x v="2"/>
    <x v="0"/>
    <x v="1"/>
    <s v="Avery 483"/>
    <x v="443"/>
    <n v="4"/>
    <n v="5.18"/>
    <x v="8"/>
    <x v="2"/>
  </r>
  <r>
    <n v="45198"/>
    <x v="570"/>
    <x v="18"/>
    <x v="0"/>
    <x v="4"/>
    <s v="Newell 328"/>
    <x v="3766"/>
    <n v="7"/>
    <n v="10.63"/>
    <x v="8"/>
    <x v="2"/>
  </r>
  <r>
    <n v="45198"/>
    <x v="255"/>
    <x v="3"/>
    <x v="0"/>
    <x v="0"/>
    <s v="Xerox 1887"/>
    <x v="3767"/>
    <n v="1"/>
    <n v="9.11"/>
    <x v="8"/>
    <x v="2"/>
  </r>
  <r>
    <n v="45198"/>
    <x v="519"/>
    <x v="33"/>
    <x v="2"/>
    <x v="9"/>
    <s v="Logitech G500s Laser Gaming Mouse with Adjustable Weight Tuning"/>
    <x v="910"/>
    <n v="3"/>
    <n v="71.39"/>
    <x v="8"/>
    <x v="2"/>
  </r>
  <r>
    <n v="45198"/>
    <x v="519"/>
    <x v="33"/>
    <x v="0"/>
    <x v="3"/>
    <s v="Premium Transparent Presentation Covers by GBC"/>
    <x v="801"/>
    <n v="3"/>
    <n v="30.21"/>
    <x v="8"/>
    <x v="2"/>
  </r>
  <r>
    <n v="45198"/>
    <x v="519"/>
    <x v="33"/>
    <x v="0"/>
    <x v="4"/>
    <s v="Sanford Colorific Colored Pencils, 12/Box"/>
    <x v="499"/>
    <n v="9"/>
    <n v="7.78"/>
    <x v="8"/>
    <x v="2"/>
  </r>
  <r>
    <n v="45198"/>
    <x v="539"/>
    <x v="3"/>
    <x v="0"/>
    <x v="3"/>
    <s v="Avery Self-Adhesive Photo Pockets for Polaroid Photos"/>
    <x v="3768"/>
    <n v="5"/>
    <n v="9.5299999999999994"/>
    <x v="8"/>
    <x v="2"/>
  </r>
  <r>
    <n v="45198"/>
    <x v="441"/>
    <x v="12"/>
    <x v="0"/>
    <x v="4"/>
    <s v="Newell 351"/>
    <x v="256"/>
    <n v="4"/>
    <n v="1.18"/>
    <x v="8"/>
    <x v="2"/>
  </r>
  <r>
    <n v="45198"/>
    <x v="442"/>
    <x v="11"/>
    <x v="2"/>
    <x v="6"/>
    <s v="Wilson Electronics DB Pro Signal Booster"/>
    <x v="3769"/>
    <n v="3"/>
    <n v="75.180000000000007"/>
    <x v="8"/>
    <x v="2"/>
  </r>
  <r>
    <n v="45198"/>
    <x v="505"/>
    <x v="3"/>
    <x v="2"/>
    <x v="9"/>
    <s v="Memorex Mini Travel Drive 64 GB USB 2.0 Flash Drive"/>
    <x v="2863"/>
    <n v="1"/>
    <n v="15.22"/>
    <x v="8"/>
    <x v="2"/>
  </r>
  <r>
    <n v="45199"/>
    <x v="605"/>
    <x v="1"/>
    <x v="0"/>
    <x v="3"/>
    <s v="Pressboard Covers with Storage Hooks, 9 1/2&quot; x 11&quot;, Light Blue"/>
    <x v="3281"/>
    <n v="2"/>
    <n v="-3.24"/>
    <x v="8"/>
    <x v="2"/>
  </r>
  <r>
    <n v="45199"/>
    <x v="193"/>
    <x v="20"/>
    <x v="1"/>
    <x v="11"/>
    <s v="O'Sullivan Elevations Bookcase, Cherry Finish"/>
    <x v="2650"/>
    <n v="5"/>
    <n v="-26.2"/>
    <x v="8"/>
    <x v="2"/>
  </r>
  <r>
    <n v="45200"/>
    <x v="280"/>
    <x v="3"/>
    <x v="1"/>
    <x v="5"/>
    <s v="Global Value Mid-Back Manager's Chair, Gray"/>
    <x v="3770"/>
    <n v="4"/>
    <n v="12.18"/>
    <x v="9"/>
    <x v="2"/>
  </r>
  <r>
    <n v="45200"/>
    <x v="393"/>
    <x v="18"/>
    <x v="2"/>
    <x v="6"/>
    <s v="Plantronics CordlessÂ Phone HeadsetÂ with In-line Volume - M214C"/>
    <x v="3771"/>
    <n v="2"/>
    <n v="18.87"/>
    <x v="9"/>
    <x v="2"/>
  </r>
  <r>
    <n v="45200"/>
    <x v="393"/>
    <x v="18"/>
    <x v="1"/>
    <x v="8"/>
    <s v="Westinghouse Clip-On Gooseneck Lamps"/>
    <x v="3772"/>
    <n v="5"/>
    <n v="10.88"/>
    <x v="9"/>
    <x v="2"/>
  </r>
  <r>
    <n v="45200"/>
    <x v="193"/>
    <x v="20"/>
    <x v="1"/>
    <x v="13"/>
    <s v="Chromcraft Bull-Nose Wood 48&quot; x 96&quot; Rectangular Conference Tables"/>
    <x v="251"/>
    <n v="1"/>
    <n v="-115.71"/>
    <x v="9"/>
    <x v="2"/>
  </r>
  <r>
    <n v="45200"/>
    <x v="459"/>
    <x v="0"/>
    <x v="2"/>
    <x v="9"/>
    <s v="ImationÂ 16GB Mini TravelDrive USB 2.0Â Flash Drive"/>
    <x v="1307"/>
    <n v="3"/>
    <n v="20.87"/>
    <x v="9"/>
    <x v="2"/>
  </r>
  <r>
    <n v="45200"/>
    <x v="459"/>
    <x v="0"/>
    <x v="0"/>
    <x v="0"/>
    <s v="Easy-staple paper"/>
    <x v="3773"/>
    <n v="1"/>
    <n v="9.57"/>
    <x v="9"/>
    <x v="2"/>
  </r>
  <r>
    <n v="45200"/>
    <x v="295"/>
    <x v="16"/>
    <x v="0"/>
    <x v="3"/>
    <s v="Avery Non-Stick Binders"/>
    <x v="3774"/>
    <n v="4"/>
    <n v="-4.49"/>
    <x v="9"/>
    <x v="2"/>
  </r>
  <r>
    <n v="45200"/>
    <x v="295"/>
    <x v="16"/>
    <x v="0"/>
    <x v="4"/>
    <s v="Staples in misc. colors"/>
    <x v="1000"/>
    <n v="8"/>
    <n v="5.03"/>
    <x v="9"/>
    <x v="2"/>
  </r>
  <r>
    <n v="45201"/>
    <x v="676"/>
    <x v="20"/>
    <x v="0"/>
    <x v="12"/>
    <s v="Kensington 6 Outlet Guardian Standard Surge Protector"/>
    <x v="2437"/>
    <n v="3"/>
    <n v="16.59"/>
    <x v="9"/>
    <x v="2"/>
  </r>
  <r>
    <n v="45201"/>
    <x v="760"/>
    <x v="12"/>
    <x v="0"/>
    <x v="3"/>
    <s v="Premier Elliptical Ring Binder, Black"/>
    <x v="3775"/>
    <n v="6"/>
    <n v="-40.18"/>
    <x v="9"/>
    <x v="2"/>
  </r>
  <r>
    <n v="45201"/>
    <x v="498"/>
    <x v="18"/>
    <x v="0"/>
    <x v="2"/>
    <s v="Acco Perma 4000 Stacking Storage Drawers"/>
    <x v="3776"/>
    <n v="2"/>
    <n v="4.87"/>
    <x v="9"/>
    <x v="2"/>
  </r>
  <r>
    <n v="45201"/>
    <x v="498"/>
    <x v="18"/>
    <x v="2"/>
    <x v="16"/>
    <s v="Canon imageCLASS 2200 Advanced Copier"/>
    <x v="3777"/>
    <n v="5"/>
    <n v="8399.98"/>
    <x v="9"/>
    <x v="2"/>
  </r>
  <r>
    <n v="45201"/>
    <x v="498"/>
    <x v="18"/>
    <x v="0"/>
    <x v="3"/>
    <s v="Ibico Ibimaster 300 Manual Binding System"/>
    <x v="3778"/>
    <n v="2"/>
    <n v="331.19"/>
    <x v="9"/>
    <x v="2"/>
  </r>
  <r>
    <n v="45201"/>
    <x v="498"/>
    <x v="18"/>
    <x v="0"/>
    <x v="3"/>
    <s v="Acco Pressboard Covers with Storage Hooks, 14 7/8&quot; x 11&quot;, Light Blue"/>
    <x v="3779"/>
    <n v="7"/>
    <n v="16.84"/>
    <x v="9"/>
    <x v="2"/>
  </r>
  <r>
    <n v="45201"/>
    <x v="498"/>
    <x v="18"/>
    <x v="0"/>
    <x v="4"/>
    <s v="Stanley Bostitch Contemporary Electric Pencil Sharpeners"/>
    <x v="2669"/>
    <n v="2"/>
    <n v="9.51"/>
    <x v="9"/>
    <x v="2"/>
  </r>
  <r>
    <n v="45202"/>
    <x v="19"/>
    <x v="0"/>
    <x v="0"/>
    <x v="10"/>
    <s v="Staple envelope"/>
    <x v="3780"/>
    <n v="2"/>
    <n v="5.09"/>
    <x v="9"/>
    <x v="2"/>
  </r>
  <r>
    <n v="45202"/>
    <x v="185"/>
    <x v="20"/>
    <x v="1"/>
    <x v="5"/>
    <s v="Office Star - Contemporary Task Swivel Chair"/>
    <x v="3781"/>
    <n v="6"/>
    <n v="93.22"/>
    <x v="9"/>
    <x v="2"/>
  </r>
  <r>
    <n v="45202"/>
    <x v="609"/>
    <x v="0"/>
    <x v="1"/>
    <x v="8"/>
    <s v="Eldon Expressions Desk Accessory, Wood Photo Frame, Mahogany"/>
    <x v="3782"/>
    <n v="5"/>
    <n v="-29.51"/>
    <x v="9"/>
    <x v="2"/>
  </r>
  <r>
    <n v="45202"/>
    <x v="474"/>
    <x v="3"/>
    <x v="0"/>
    <x v="1"/>
    <s v="Smead Alpha-Z Color-Coded Second Alphabetical Labels and Starter Set"/>
    <x v="1059"/>
    <n v="2"/>
    <n v="2.96"/>
    <x v="9"/>
    <x v="2"/>
  </r>
  <r>
    <n v="45202"/>
    <x v="474"/>
    <x v="3"/>
    <x v="1"/>
    <x v="5"/>
    <s v="Global Deluxe High-Back Manager's Chair"/>
    <x v="1755"/>
    <n v="4"/>
    <n v="102.95"/>
    <x v="9"/>
    <x v="2"/>
  </r>
  <r>
    <n v="45202"/>
    <x v="474"/>
    <x v="3"/>
    <x v="0"/>
    <x v="0"/>
    <s v="Xerox 1900"/>
    <x v="507"/>
    <n v="2"/>
    <n v="3.85"/>
    <x v="9"/>
    <x v="2"/>
  </r>
  <r>
    <n v="45202"/>
    <x v="474"/>
    <x v="3"/>
    <x v="0"/>
    <x v="0"/>
    <s v="Xerox 1891"/>
    <x v="148"/>
    <n v="2"/>
    <n v="45.98"/>
    <x v="9"/>
    <x v="2"/>
  </r>
  <r>
    <n v="45203"/>
    <x v="541"/>
    <x v="0"/>
    <x v="0"/>
    <x v="10"/>
    <s v="Laser &amp; Ink Jet Business Envelopes"/>
    <x v="3783"/>
    <n v="7"/>
    <n v="19.420000000000002"/>
    <x v="9"/>
    <x v="2"/>
  </r>
  <r>
    <n v="45203"/>
    <x v="108"/>
    <x v="43"/>
    <x v="0"/>
    <x v="3"/>
    <s v="Ibico Plastic Spiral Binding Combs"/>
    <x v="1431"/>
    <n v="1"/>
    <n v="13.98"/>
    <x v="9"/>
    <x v="2"/>
  </r>
  <r>
    <n v="45203"/>
    <x v="108"/>
    <x v="43"/>
    <x v="2"/>
    <x v="16"/>
    <s v="Hewlett Packard LaserJet 3310 Copier"/>
    <x v="3784"/>
    <n v="9"/>
    <n v="2591.96"/>
    <x v="9"/>
    <x v="2"/>
  </r>
  <r>
    <n v="45203"/>
    <x v="108"/>
    <x v="43"/>
    <x v="0"/>
    <x v="2"/>
    <s v="Letter Size File"/>
    <x v="3785"/>
    <n v="3"/>
    <n v="34.54"/>
    <x v="9"/>
    <x v="2"/>
  </r>
  <r>
    <n v="45203"/>
    <x v="7"/>
    <x v="36"/>
    <x v="1"/>
    <x v="13"/>
    <s v="Bush Andora Conference Table, Maple/Graphite Gray Finish"/>
    <x v="3786"/>
    <n v="2"/>
    <n v="-23.94"/>
    <x v="9"/>
    <x v="2"/>
  </r>
  <r>
    <n v="45203"/>
    <x v="123"/>
    <x v="16"/>
    <x v="2"/>
    <x v="6"/>
    <s v="Samsung HM1900 Bluetooth Headset"/>
    <x v="1485"/>
    <n v="3"/>
    <n v="19.760000000000002"/>
    <x v="9"/>
    <x v="2"/>
  </r>
  <r>
    <n v="45203"/>
    <x v="123"/>
    <x v="16"/>
    <x v="1"/>
    <x v="8"/>
    <s v="Magna Visual Magnetic Picture Hangers"/>
    <x v="3787"/>
    <n v="3"/>
    <n v="2.6"/>
    <x v="9"/>
    <x v="2"/>
  </r>
  <r>
    <n v="45205"/>
    <x v="657"/>
    <x v="39"/>
    <x v="0"/>
    <x v="3"/>
    <s v="Avery Binding System Hidden Tab Executive Style Index Sets"/>
    <x v="3788"/>
    <n v="5"/>
    <n v="14.43"/>
    <x v="9"/>
    <x v="2"/>
  </r>
  <r>
    <n v="45205"/>
    <x v="162"/>
    <x v="26"/>
    <x v="2"/>
    <x v="15"/>
    <s v="Zebra GK420t Direct Thermal/Thermal Transfer Printer"/>
    <x v="3789"/>
    <n v="6"/>
    <n v="-938.28"/>
    <x v="9"/>
    <x v="2"/>
  </r>
  <r>
    <n v="45205"/>
    <x v="162"/>
    <x v="26"/>
    <x v="0"/>
    <x v="3"/>
    <s v="Recycled Easel Ring Binders"/>
    <x v="558"/>
    <n v="4"/>
    <n v="-14.92"/>
    <x v="9"/>
    <x v="2"/>
  </r>
  <r>
    <n v="45205"/>
    <x v="162"/>
    <x v="26"/>
    <x v="0"/>
    <x v="3"/>
    <s v="Avery Framed View Binder, EZD Ring (Locking), Navy, 1 1/2&quot;"/>
    <x v="1106"/>
    <n v="4"/>
    <n v="-9.18"/>
    <x v="9"/>
    <x v="2"/>
  </r>
  <r>
    <n v="45205"/>
    <x v="162"/>
    <x v="26"/>
    <x v="2"/>
    <x v="9"/>
    <s v="Memorex 25GB 6X Branded Blu-Ray Recordable Disc, 15/Pack"/>
    <x v="2331"/>
    <n v="5"/>
    <n v="0.85"/>
    <x v="9"/>
    <x v="2"/>
  </r>
  <r>
    <n v="45206"/>
    <x v="560"/>
    <x v="3"/>
    <x v="0"/>
    <x v="3"/>
    <s v="GBC Recycled VeloBinder Covers"/>
    <x v="3790"/>
    <n v="2"/>
    <n v="8.86"/>
    <x v="9"/>
    <x v="2"/>
  </r>
  <r>
    <n v="45206"/>
    <x v="729"/>
    <x v="22"/>
    <x v="2"/>
    <x v="15"/>
    <s v="Okidata C331dn Printer"/>
    <x v="3574"/>
    <n v="3"/>
    <n v="62.82"/>
    <x v="9"/>
    <x v="2"/>
  </r>
  <r>
    <n v="45206"/>
    <x v="204"/>
    <x v="3"/>
    <x v="0"/>
    <x v="0"/>
    <s v="Astroparche Fine Business Paper"/>
    <x v="75"/>
    <n v="2"/>
    <n v="5.07"/>
    <x v="9"/>
    <x v="2"/>
  </r>
  <r>
    <n v="45206"/>
    <x v="299"/>
    <x v="2"/>
    <x v="0"/>
    <x v="1"/>
    <s v="Avery 511"/>
    <x v="1086"/>
    <n v="2"/>
    <n v="1.72"/>
    <x v="9"/>
    <x v="2"/>
  </r>
  <r>
    <n v="45206"/>
    <x v="260"/>
    <x v="22"/>
    <x v="0"/>
    <x v="7"/>
    <s v="Alliance Super-Size Bands, Assorted Sizes"/>
    <x v="3791"/>
    <n v="12"/>
    <n v="0.93"/>
    <x v="9"/>
    <x v="2"/>
  </r>
  <r>
    <n v="45207"/>
    <x v="620"/>
    <x v="0"/>
    <x v="1"/>
    <x v="8"/>
    <s v="Contemporary Wood/Metal Frame"/>
    <x v="3792"/>
    <n v="8"/>
    <n v="-32.32"/>
    <x v="9"/>
    <x v="2"/>
  </r>
  <r>
    <n v="45207"/>
    <x v="264"/>
    <x v="3"/>
    <x v="0"/>
    <x v="0"/>
    <s v="Xerox 1925"/>
    <x v="32"/>
    <n v="2"/>
    <n v="27.88"/>
    <x v="9"/>
    <x v="2"/>
  </r>
  <r>
    <n v="45207"/>
    <x v="725"/>
    <x v="0"/>
    <x v="0"/>
    <x v="1"/>
    <s v="Avery 50"/>
    <x v="3793"/>
    <n v="6"/>
    <n v="20.3"/>
    <x v="9"/>
    <x v="2"/>
  </r>
  <r>
    <n v="45207"/>
    <x v="440"/>
    <x v="25"/>
    <x v="0"/>
    <x v="2"/>
    <s v="Fellowes Econo/Stor Drawers"/>
    <x v="3794"/>
    <n v="5"/>
    <n v="-67.849999999999994"/>
    <x v="9"/>
    <x v="2"/>
  </r>
  <r>
    <n v="45208"/>
    <x v="634"/>
    <x v="10"/>
    <x v="2"/>
    <x v="6"/>
    <s v="Mediabridge Sport Armband iPhone 5s"/>
    <x v="837"/>
    <n v="4"/>
    <n v="-15.58"/>
    <x v="9"/>
    <x v="2"/>
  </r>
  <r>
    <n v="45208"/>
    <x v="457"/>
    <x v="2"/>
    <x v="0"/>
    <x v="0"/>
    <s v="Xerox 1947"/>
    <x v="1134"/>
    <n v="4"/>
    <n v="5.98"/>
    <x v="9"/>
    <x v="2"/>
  </r>
  <r>
    <n v="45208"/>
    <x v="457"/>
    <x v="2"/>
    <x v="1"/>
    <x v="8"/>
    <s v="Luxo Professional Magnifying Clamp-On Fluorescent Lamps"/>
    <x v="3795"/>
    <n v="4"/>
    <n v="-24.96"/>
    <x v="9"/>
    <x v="2"/>
  </r>
  <r>
    <n v="45208"/>
    <x v="713"/>
    <x v="12"/>
    <x v="0"/>
    <x v="4"/>
    <s v="Newell 310"/>
    <x v="3796"/>
    <n v="1"/>
    <n v="0.16"/>
    <x v="9"/>
    <x v="2"/>
  </r>
  <r>
    <n v="45208"/>
    <x v="713"/>
    <x v="12"/>
    <x v="1"/>
    <x v="8"/>
    <s v="Tenex 46&quot; x 60&quot; Computer Anti-Static Chairmat, Rectangular Shaped"/>
    <x v="3797"/>
    <n v="2"/>
    <n v="0"/>
    <x v="9"/>
    <x v="2"/>
  </r>
  <r>
    <n v="45209"/>
    <x v="732"/>
    <x v="25"/>
    <x v="0"/>
    <x v="14"/>
    <s v="Martin-Yale Premier Letter Opener"/>
    <x v="3798"/>
    <n v="2"/>
    <n v="-4.38"/>
    <x v="9"/>
    <x v="2"/>
  </r>
  <r>
    <n v="45209"/>
    <x v="732"/>
    <x v="25"/>
    <x v="0"/>
    <x v="3"/>
    <s v="Presstex Flexible Ring Binders"/>
    <x v="3799"/>
    <n v="3"/>
    <n v="-2.73"/>
    <x v="9"/>
    <x v="2"/>
  </r>
  <r>
    <n v="45209"/>
    <x v="369"/>
    <x v="26"/>
    <x v="1"/>
    <x v="11"/>
    <s v="Bush Westfield Collection Bookcases, Dark Cherry Finish, Fully Assembled"/>
    <x v="1684"/>
    <n v="3"/>
    <n v="-190.85"/>
    <x v="9"/>
    <x v="2"/>
  </r>
  <r>
    <n v="45209"/>
    <x v="369"/>
    <x v="26"/>
    <x v="2"/>
    <x v="6"/>
    <s v="iOttie HLCRIO102 Car Mount"/>
    <x v="1102"/>
    <n v="1"/>
    <n v="-3"/>
    <x v="9"/>
    <x v="2"/>
  </r>
  <r>
    <n v="45209"/>
    <x v="369"/>
    <x v="26"/>
    <x v="1"/>
    <x v="5"/>
    <s v="Global Manager's Adjustable Task Chair, Storm"/>
    <x v="3800"/>
    <n v="1"/>
    <n v="13.59"/>
    <x v="9"/>
    <x v="2"/>
  </r>
  <r>
    <n v="45209"/>
    <x v="494"/>
    <x v="0"/>
    <x v="1"/>
    <x v="8"/>
    <s v="Eldon 400 Class Desk Accessories, Black Carbon"/>
    <x v="3801"/>
    <n v="4"/>
    <n v="-6.3"/>
    <x v="9"/>
    <x v="2"/>
  </r>
  <r>
    <n v="45209"/>
    <x v="494"/>
    <x v="0"/>
    <x v="0"/>
    <x v="3"/>
    <s v="Wilson Jones Ledger-Size, Piano-Hinge Binder, 2&quot;, Blue"/>
    <x v="3802"/>
    <n v="2"/>
    <n v="-26.23"/>
    <x v="9"/>
    <x v="2"/>
  </r>
  <r>
    <n v="45210"/>
    <x v="287"/>
    <x v="1"/>
    <x v="0"/>
    <x v="4"/>
    <s v="Avery Fluorescent Highlighter Four-Color Set"/>
    <x v="373"/>
    <n v="2"/>
    <n v="0.67"/>
    <x v="9"/>
    <x v="2"/>
  </r>
  <r>
    <n v="45210"/>
    <x v="287"/>
    <x v="1"/>
    <x v="0"/>
    <x v="4"/>
    <s v="Newell 309"/>
    <x v="3264"/>
    <n v="3"/>
    <n v="3.47"/>
    <x v="9"/>
    <x v="2"/>
  </r>
  <r>
    <n v="45212"/>
    <x v="164"/>
    <x v="3"/>
    <x v="0"/>
    <x v="0"/>
    <s v="Xerox 195"/>
    <x v="1251"/>
    <n v="3"/>
    <n v="9.6199999999999992"/>
    <x v="9"/>
    <x v="2"/>
  </r>
  <r>
    <n v="45212"/>
    <x v="164"/>
    <x v="3"/>
    <x v="0"/>
    <x v="0"/>
    <s v="Xerox 1880"/>
    <x v="400"/>
    <n v="1"/>
    <n v="16.66"/>
    <x v="9"/>
    <x v="2"/>
  </r>
  <r>
    <n v="45212"/>
    <x v="164"/>
    <x v="3"/>
    <x v="0"/>
    <x v="4"/>
    <s v="Sanford Colorific Colored Pencils, 12/Box"/>
    <x v="697"/>
    <n v="4"/>
    <n v="3.46"/>
    <x v="9"/>
    <x v="2"/>
  </r>
  <r>
    <n v="45212"/>
    <x v="164"/>
    <x v="3"/>
    <x v="0"/>
    <x v="7"/>
    <s v="Ideal Clamps"/>
    <x v="909"/>
    <n v="2"/>
    <n v="1.97"/>
    <x v="9"/>
    <x v="2"/>
  </r>
  <r>
    <n v="45212"/>
    <x v="164"/>
    <x v="3"/>
    <x v="0"/>
    <x v="3"/>
    <s v="GBC Wire Binding Strips"/>
    <x v="3803"/>
    <n v="3"/>
    <n v="26.66"/>
    <x v="9"/>
    <x v="2"/>
  </r>
  <r>
    <n v="45212"/>
    <x v="164"/>
    <x v="3"/>
    <x v="0"/>
    <x v="14"/>
    <s v="Fiskars Softgrip Scissors"/>
    <x v="3804"/>
    <n v="6"/>
    <n v="18.45"/>
    <x v="9"/>
    <x v="2"/>
  </r>
  <r>
    <n v="45212"/>
    <x v="164"/>
    <x v="3"/>
    <x v="1"/>
    <x v="8"/>
    <s v="Longer-Life Soft White Bulbs"/>
    <x v="2989"/>
    <n v="14"/>
    <n v="20.7"/>
    <x v="9"/>
    <x v="2"/>
  </r>
  <r>
    <n v="45212"/>
    <x v="479"/>
    <x v="26"/>
    <x v="1"/>
    <x v="13"/>
    <s v="Hon 5100 Series Wood Tables"/>
    <x v="3805"/>
    <n v="5"/>
    <n v="-465.57"/>
    <x v="9"/>
    <x v="2"/>
  </r>
  <r>
    <n v="45212"/>
    <x v="479"/>
    <x v="26"/>
    <x v="1"/>
    <x v="8"/>
    <s v="Executive Impressions 8-1/2&quot; Career Panel/Partition Cubicle Clock"/>
    <x v="2119"/>
    <n v="3"/>
    <n v="4.37"/>
    <x v="9"/>
    <x v="2"/>
  </r>
  <r>
    <n v="45212"/>
    <x v="454"/>
    <x v="0"/>
    <x v="2"/>
    <x v="9"/>
    <s v="Razer Kraken PRO Over Ear PC and Music Headset"/>
    <x v="1611"/>
    <n v="3"/>
    <n v="24"/>
    <x v="9"/>
    <x v="2"/>
  </r>
  <r>
    <n v="45212"/>
    <x v="454"/>
    <x v="0"/>
    <x v="0"/>
    <x v="0"/>
    <s v="Array Memo Cubes"/>
    <x v="832"/>
    <n v="2"/>
    <n v="3"/>
    <x v="9"/>
    <x v="2"/>
  </r>
  <r>
    <n v="45212"/>
    <x v="454"/>
    <x v="0"/>
    <x v="1"/>
    <x v="8"/>
    <s v="Tenex &quot;The Solids&quot; Textured Chair Mats"/>
    <x v="3806"/>
    <n v="5"/>
    <n v="-150.41"/>
    <x v="9"/>
    <x v="2"/>
  </r>
  <r>
    <n v="45212"/>
    <x v="454"/>
    <x v="0"/>
    <x v="0"/>
    <x v="4"/>
    <s v="Newell 334"/>
    <x v="3807"/>
    <n v="1"/>
    <n v="1.19"/>
    <x v="9"/>
    <x v="2"/>
  </r>
  <r>
    <n v="45212"/>
    <x v="454"/>
    <x v="0"/>
    <x v="0"/>
    <x v="3"/>
    <s v="Avery Non-Stick Binders"/>
    <x v="3288"/>
    <n v="7"/>
    <n v="-11"/>
    <x v="9"/>
    <x v="2"/>
  </r>
  <r>
    <n v="45212"/>
    <x v="620"/>
    <x v="20"/>
    <x v="0"/>
    <x v="4"/>
    <s v="BIC Liqua Brite Liner"/>
    <x v="3808"/>
    <n v="5"/>
    <n v="12.49"/>
    <x v="9"/>
    <x v="2"/>
  </r>
  <r>
    <n v="45212"/>
    <x v="620"/>
    <x v="20"/>
    <x v="0"/>
    <x v="2"/>
    <s v="Fellowes Bases and Tops For Staxonsteel/High-Stak Systems"/>
    <x v="3809"/>
    <n v="3"/>
    <n v="23.97"/>
    <x v="9"/>
    <x v="2"/>
  </r>
  <r>
    <n v="45212"/>
    <x v="620"/>
    <x v="20"/>
    <x v="0"/>
    <x v="0"/>
    <s v="Computer Printout Paper with Letter-Trim Perforations"/>
    <x v="1956"/>
    <n v="2"/>
    <n v="18.21"/>
    <x v="9"/>
    <x v="2"/>
  </r>
  <r>
    <n v="45212"/>
    <x v="620"/>
    <x v="20"/>
    <x v="0"/>
    <x v="1"/>
    <s v="Avery White Multi-Purpose Labels"/>
    <x v="236"/>
    <n v="5"/>
    <n v="11.45"/>
    <x v="9"/>
    <x v="2"/>
  </r>
  <r>
    <n v="45212"/>
    <x v="620"/>
    <x v="20"/>
    <x v="1"/>
    <x v="8"/>
    <s v="Howard Miller Distant Time Traveler Alarm Clock"/>
    <x v="3810"/>
    <n v="3"/>
    <n v="33.729999999999997"/>
    <x v="9"/>
    <x v="2"/>
  </r>
  <r>
    <n v="45213"/>
    <x v="85"/>
    <x v="22"/>
    <x v="2"/>
    <x v="9"/>
    <s v="WD My Passport Ultra 500GB Portable External Hard Drive"/>
    <x v="1135"/>
    <n v="3"/>
    <n v="30.09"/>
    <x v="9"/>
    <x v="2"/>
  </r>
  <r>
    <n v="45213"/>
    <x v="180"/>
    <x v="25"/>
    <x v="1"/>
    <x v="5"/>
    <s v="SAFCO Folding Chair Trolley"/>
    <x v="3811"/>
    <n v="1"/>
    <n v="10.26"/>
    <x v="9"/>
    <x v="2"/>
  </r>
  <r>
    <n v="45213"/>
    <x v="180"/>
    <x v="25"/>
    <x v="2"/>
    <x v="9"/>
    <s v="Maxell 4.7GB DVD-R"/>
    <x v="2900"/>
    <n v="1"/>
    <n v="5.96"/>
    <x v="9"/>
    <x v="2"/>
  </r>
  <r>
    <n v="45213"/>
    <x v="180"/>
    <x v="25"/>
    <x v="0"/>
    <x v="0"/>
    <s v="Xerox 1944"/>
    <x v="745"/>
    <n v="3"/>
    <n v="33.72"/>
    <x v="9"/>
    <x v="2"/>
  </r>
  <r>
    <n v="45213"/>
    <x v="180"/>
    <x v="25"/>
    <x v="0"/>
    <x v="14"/>
    <s v="Staple remover"/>
    <x v="1074"/>
    <n v="2"/>
    <n v="1.44"/>
    <x v="9"/>
    <x v="2"/>
  </r>
  <r>
    <n v="45213"/>
    <x v="180"/>
    <x v="25"/>
    <x v="0"/>
    <x v="10"/>
    <s v="White Business Envelopes with Contemporary Seam, Recycled White Business Envelopes"/>
    <x v="3812"/>
    <n v="4"/>
    <n v="13.13"/>
    <x v="9"/>
    <x v="2"/>
  </r>
  <r>
    <n v="45213"/>
    <x v="180"/>
    <x v="25"/>
    <x v="0"/>
    <x v="0"/>
    <s v="Xerox 1916"/>
    <x v="3813"/>
    <n v="1"/>
    <n v="14.68"/>
    <x v="9"/>
    <x v="2"/>
  </r>
  <r>
    <n v="45213"/>
    <x v="203"/>
    <x v="20"/>
    <x v="2"/>
    <x v="6"/>
    <s v="Motorola L703CM"/>
    <x v="3814"/>
    <n v="7"/>
    <n v="272.98"/>
    <x v="9"/>
    <x v="2"/>
  </r>
  <r>
    <n v="45213"/>
    <x v="203"/>
    <x v="20"/>
    <x v="0"/>
    <x v="0"/>
    <s v="Xerox 1908"/>
    <x v="2663"/>
    <n v="2"/>
    <n v="54.86"/>
    <x v="9"/>
    <x v="2"/>
  </r>
  <r>
    <n v="45213"/>
    <x v="737"/>
    <x v="21"/>
    <x v="2"/>
    <x v="9"/>
    <s v="Plantronics CS510 - Over-the-Head monaural Wireless Headset System"/>
    <x v="3815"/>
    <n v="5"/>
    <n v="544.41999999999996"/>
    <x v="9"/>
    <x v="2"/>
  </r>
  <r>
    <n v="45214"/>
    <x v="715"/>
    <x v="27"/>
    <x v="0"/>
    <x v="0"/>
    <s v="Xerox 1982"/>
    <x v="1488"/>
    <n v="2"/>
    <n v="21.01"/>
    <x v="9"/>
    <x v="2"/>
  </r>
  <r>
    <n v="45214"/>
    <x v="715"/>
    <x v="27"/>
    <x v="0"/>
    <x v="0"/>
    <s v="Xerox 1986"/>
    <x v="2973"/>
    <n v="9"/>
    <n v="28.86"/>
    <x v="9"/>
    <x v="2"/>
  </r>
  <r>
    <n v="45214"/>
    <x v="715"/>
    <x v="27"/>
    <x v="0"/>
    <x v="3"/>
    <s v="Acco Data Flex Cable Posts For Top &amp; Bottom Load Binders, 6&quot; Capacity"/>
    <x v="1706"/>
    <n v="5"/>
    <n v="13.04"/>
    <x v="9"/>
    <x v="2"/>
  </r>
  <r>
    <n v="45214"/>
    <x v="715"/>
    <x v="27"/>
    <x v="0"/>
    <x v="0"/>
    <s v="Recycled Desk Saver Line &quot;While You Were Out&quot; Book, 5 1/2&quot; X 4&quot;"/>
    <x v="3816"/>
    <n v="8"/>
    <n v="32.94"/>
    <x v="9"/>
    <x v="2"/>
  </r>
  <r>
    <n v="45214"/>
    <x v="33"/>
    <x v="39"/>
    <x v="0"/>
    <x v="1"/>
    <s v="Avery 49"/>
    <x v="953"/>
    <n v="7"/>
    <n v="9.8800000000000008"/>
    <x v="9"/>
    <x v="2"/>
  </r>
  <r>
    <n v="45214"/>
    <x v="33"/>
    <x v="39"/>
    <x v="0"/>
    <x v="1"/>
    <s v="Avery 508"/>
    <x v="1526"/>
    <n v="6"/>
    <n v="14.44"/>
    <x v="9"/>
    <x v="2"/>
  </r>
  <r>
    <n v="45214"/>
    <x v="33"/>
    <x v="39"/>
    <x v="0"/>
    <x v="12"/>
    <s v="Hoover Upright Vacuum With Dirt Cup"/>
    <x v="3817"/>
    <n v="3"/>
    <n v="251.89"/>
    <x v="9"/>
    <x v="2"/>
  </r>
  <r>
    <n v="45214"/>
    <x v="33"/>
    <x v="39"/>
    <x v="0"/>
    <x v="0"/>
    <s v="Xerox 1999"/>
    <x v="115"/>
    <n v="2"/>
    <n v="6.22"/>
    <x v="9"/>
    <x v="2"/>
  </r>
  <r>
    <n v="45214"/>
    <x v="33"/>
    <x v="39"/>
    <x v="2"/>
    <x v="6"/>
    <s v="Samsung Replacement EH64AVFWE Premium Headset"/>
    <x v="3818"/>
    <n v="1"/>
    <n v="1.38"/>
    <x v="9"/>
    <x v="2"/>
  </r>
  <r>
    <n v="45214"/>
    <x v="33"/>
    <x v="39"/>
    <x v="0"/>
    <x v="3"/>
    <s v="Ibico Plastic Spiral Binding Combs"/>
    <x v="3819"/>
    <n v="4"/>
    <n v="55.94"/>
    <x v="9"/>
    <x v="2"/>
  </r>
  <r>
    <n v="45214"/>
    <x v="87"/>
    <x v="6"/>
    <x v="0"/>
    <x v="3"/>
    <s v="GBC Twin Loop Wire Binding Elements"/>
    <x v="3820"/>
    <n v="7"/>
    <n v="116.48"/>
    <x v="9"/>
    <x v="2"/>
  </r>
  <r>
    <n v="45214"/>
    <x v="87"/>
    <x v="6"/>
    <x v="0"/>
    <x v="10"/>
    <s v="#10 Self-Seal White Envelopes"/>
    <x v="3821"/>
    <n v="6"/>
    <n v="32.6"/>
    <x v="9"/>
    <x v="2"/>
  </r>
  <r>
    <n v="45214"/>
    <x v="87"/>
    <x v="6"/>
    <x v="0"/>
    <x v="12"/>
    <s v="Holmes Odor Grabber"/>
    <x v="2480"/>
    <n v="3"/>
    <n v="14.28"/>
    <x v="9"/>
    <x v="2"/>
  </r>
  <r>
    <n v="45215"/>
    <x v="555"/>
    <x v="20"/>
    <x v="1"/>
    <x v="13"/>
    <s v="Chromcraft Rectangular Conference Tables"/>
    <x v="3822"/>
    <n v="1"/>
    <n v="-37.92"/>
    <x v="9"/>
    <x v="2"/>
  </r>
  <r>
    <n v="45216"/>
    <x v="646"/>
    <x v="3"/>
    <x v="0"/>
    <x v="3"/>
    <s v="Avery Durable Plastic 1&quot; Binders"/>
    <x v="3823"/>
    <n v="5"/>
    <n v="6.58"/>
    <x v="9"/>
    <x v="2"/>
  </r>
  <r>
    <n v="45216"/>
    <x v="588"/>
    <x v="3"/>
    <x v="1"/>
    <x v="11"/>
    <s v="Safco Value Mate Steel Bookcase, Baked Enamel Finish on Steel, Black"/>
    <x v="2502"/>
    <n v="2"/>
    <n v="21.29"/>
    <x v="9"/>
    <x v="2"/>
  </r>
  <r>
    <n v="45216"/>
    <x v="658"/>
    <x v="24"/>
    <x v="2"/>
    <x v="6"/>
    <s v="Panasonic KX-TG9541B DECT 6.0 Digital 2-Line Expandable Cordless Phone With Digital Answering System"/>
    <x v="3824"/>
    <n v="3"/>
    <n v="220.49"/>
    <x v="9"/>
    <x v="2"/>
  </r>
  <r>
    <n v="45216"/>
    <x v="658"/>
    <x v="24"/>
    <x v="0"/>
    <x v="12"/>
    <s v="Honeywell Enviracaire Portable HEPA Air Cleaner for 16' x 20' Room"/>
    <x v="3825"/>
    <n v="7"/>
    <n v="751.76"/>
    <x v="9"/>
    <x v="2"/>
  </r>
  <r>
    <n v="45216"/>
    <x v="245"/>
    <x v="23"/>
    <x v="1"/>
    <x v="11"/>
    <s v="O'Sullivan Living Dimensions 2-Shelf Bookcases"/>
    <x v="3826"/>
    <n v="1"/>
    <n v="12.1"/>
    <x v="9"/>
    <x v="2"/>
  </r>
  <r>
    <n v="45216"/>
    <x v="245"/>
    <x v="23"/>
    <x v="0"/>
    <x v="3"/>
    <s v="GBC ProClick 150 Presentation Binding System"/>
    <x v="3827"/>
    <n v="1"/>
    <n v="148.51"/>
    <x v="9"/>
    <x v="2"/>
  </r>
  <r>
    <n v="45217"/>
    <x v="287"/>
    <x v="12"/>
    <x v="1"/>
    <x v="5"/>
    <s v="Global Deluxe Steno Chair"/>
    <x v="3828"/>
    <n v="5"/>
    <n v="-34.64"/>
    <x v="9"/>
    <x v="2"/>
  </r>
  <r>
    <n v="45219"/>
    <x v="321"/>
    <x v="10"/>
    <x v="0"/>
    <x v="4"/>
    <s v="Premium Writing Pencils, Soft, #2 by Central Association for the Blind"/>
    <x v="2288"/>
    <n v="3"/>
    <n v="0.72"/>
    <x v="9"/>
    <x v="2"/>
  </r>
  <r>
    <n v="45219"/>
    <x v="250"/>
    <x v="0"/>
    <x v="0"/>
    <x v="0"/>
    <s v="Black Print Carbonless Snap-Off Rapid Letter, 8 1/2&quot; x 7&quot;"/>
    <x v="1412"/>
    <n v="7"/>
    <n v="15.94"/>
    <x v="9"/>
    <x v="2"/>
  </r>
  <r>
    <n v="45219"/>
    <x v="250"/>
    <x v="0"/>
    <x v="0"/>
    <x v="7"/>
    <s v="Staples"/>
    <x v="60"/>
    <n v="4"/>
    <n v="7.89"/>
    <x v="9"/>
    <x v="2"/>
  </r>
  <r>
    <n v="45219"/>
    <x v="250"/>
    <x v="0"/>
    <x v="1"/>
    <x v="5"/>
    <s v="Office Star - Ergonomically Designed Knee Chair"/>
    <x v="1894"/>
    <n v="1"/>
    <n v="-14.58"/>
    <x v="9"/>
    <x v="2"/>
  </r>
  <r>
    <n v="45219"/>
    <x v="55"/>
    <x v="14"/>
    <x v="2"/>
    <x v="6"/>
    <s v="iKross Bluetooth Portable Keyboard + Cell Phone Stand Holder + Brush for Apple iPhone 5S 5C 5, 4S 4"/>
    <x v="3829"/>
    <n v="6"/>
    <n v="35.200000000000003"/>
    <x v="9"/>
    <x v="2"/>
  </r>
  <r>
    <n v="45219"/>
    <x v="55"/>
    <x v="14"/>
    <x v="2"/>
    <x v="6"/>
    <s v="Pyle PMP37LED"/>
    <x v="1611"/>
    <n v="2"/>
    <n v="51.83"/>
    <x v="9"/>
    <x v="2"/>
  </r>
  <r>
    <n v="45219"/>
    <x v="55"/>
    <x v="14"/>
    <x v="0"/>
    <x v="2"/>
    <s v="Woodgrain Magazine Files by Perma"/>
    <x v="371"/>
    <n v="7"/>
    <n v="1.46"/>
    <x v="9"/>
    <x v="2"/>
  </r>
  <r>
    <n v="45219"/>
    <x v="597"/>
    <x v="3"/>
    <x v="0"/>
    <x v="3"/>
    <s v="Fellowes Twister Kit, Gray/Clear, 3/pkg"/>
    <x v="50"/>
    <n v="3"/>
    <n v="6.03"/>
    <x v="9"/>
    <x v="2"/>
  </r>
  <r>
    <n v="45219"/>
    <x v="607"/>
    <x v="6"/>
    <x v="1"/>
    <x v="8"/>
    <s v="Aluminum Document Frame"/>
    <x v="3830"/>
    <n v="5"/>
    <n v="18.329999999999998"/>
    <x v="9"/>
    <x v="2"/>
  </r>
  <r>
    <n v="45219"/>
    <x v="168"/>
    <x v="3"/>
    <x v="1"/>
    <x v="5"/>
    <s v="Hon Every-Day Chair Series Swivel Task Chairs"/>
    <x v="2605"/>
    <n v="4"/>
    <n v="4.84"/>
    <x v="9"/>
    <x v="2"/>
  </r>
  <r>
    <n v="45220"/>
    <x v="521"/>
    <x v="37"/>
    <x v="0"/>
    <x v="3"/>
    <s v="Wilson Jones Â“SnapÂ” Scratch Pad Binder Tool for Ring Binders"/>
    <x v="2444"/>
    <n v="4"/>
    <n v="10.44"/>
    <x v="9"/>
    <x v="2"/>
  </r>
  <r>
    <n v="45220"/>
    <x v="521"/>
    <x v="37"/>
    <x v="0"/>
    <x v="14"/>
    <s v="Staple remover"/>
    <x v="541"/>
    <n v="2"/>
    <n v="0.15"/>
    <x v="9"/>
    <x v="2"/>
  </r>
  <r>
    <n v="45220"/>
    <x v="521"/>
    <x v="37"/>
    <x v="0"/>
    <x v="2"/>
    <s v="Pizazz Global Quick File"/>
    <x v="1987"/>
    <n v="7"/>
    <n v="29.34"/>
    <x v="9"/>
    <x v="2"/>
  </r>
  <r>
    <n v="45220"/>
    <x v="521"/>
    <x v="37"/>
    <x v="1"/>
    <x v="11"/>
    <s v="Atlantic Metals Mobile 3-Shelf Bookcases, Custom Colors"/>
    <x v="3831"/>
    <n v="4"/>
    <n v="271.42"/>
    <x v="9"/>
    <x v="2"/>
  </r>
  <r>
    <n v="45220"/>
    <x v="685"/>
    <x v="3"/>
    <x v="0"/>
    <x v="0"/>
    <s v="Rediform Wirebound &quot;Phone Memo&quot; Message Book, 11 x 5-3/4"/>
    <x v="1129"/>
    <n v="3"/>
    <n v="11.23"/>
    <x v="9"/>
    <x v="2"/>
  </r>
  <r>
    <n v="45220"/>
    <x v="264"/>
    <x v="3"/>
    <x v="0"/>
    <x v="2"/>
    <s v="Belkin 19&quot; Vented Equipment Shelf, Black"/>
    <x v="3014"/>
    <n v="3"/>
    <n v="1.54"/>
    <x v="9"/>
    <x v="2"/>
  </r>
  <r>
    <n v="45220"/>
    <x v="168"/>
    <x v="7"/>
    <x v="0"/>
    <x v="3"/>
    <s v="Avery Reinforcements for Hole-Punch Pages"/>
    <x v="2890"/>
    <n v="4"/>
    <n v="3.56"/>
    <x v="9"/>
    <x v="2"/>
  </r>
  <r>
    <n v="45220"/>
    <x v="773"/>
    <x v="36"/>
    <x v="2"/>
    <x v="9"/>
    <s v="Logitech Desktop MK120 Mouse and keyboard Combo"/>
    <x v="3832"/>
    <n v="6"/>
    <n v="9.82"/>
    <x v="9"/>
    <x v="2"/>
  </r>
  <r>
    <n v="45220"/>
    <x v="743"/>
    <x v="10"/>
    <x v="2"/>
    <x v="6"/>
    <s v="Panasonic KX TS208W Corded phone"/>
    <x v="3833"/>
    <n v="8"/>
    <n v="-47.03"/>
    <x v="9"/>
    <x v="2"/>
  </r>
  <r>
    <n v="45220"/>
    <x v="197"/>
    <x v="10"/>
    <x v="1"/>
    <x v="13"/>
    <s v="Chromcraft Bull-Nose Wood 48&quot; x 96&quot; Rectangular Conference Tables"/>
    <x v="3834"/>
    <n v="2"/>
    <n v="-231.41"/>
    <x v="9"/>
    <x v="2"/>
  </r>
  <r>
    <n v="45220"/>
    <x v="285"/>
    <x v="17"/>
    <x v="0"/>
    <x v="4"/>
    <s v="Panasonic KP-150 Electric Pencil Sharpener"/>
    <x v="3835"/>
    <n v="3"/>
    <n v="29.44"/>
    <x v="9"/>
    <x v="2"/>
  </r>
  <r>
    <n v="45220"/>
    <x v="285"/>
    <x v="17"/>
    <x v="0"/>
    <x v="0"/>
    <s v="Xerox 193"/>
    <x v="186"/>
    <n v="6"/>
    <n v="17.579999999999998"/>
    <x v="9"/>
    <x v="2"/>
  </r>
  <r>
    <n v="45220"/>
    <x v="285"/>
    <x v="17"/>
    <x v="0"/>
    <x v="3"/>
    <s v="Ibico EPK-21 Electric Binding System"/>
    <x v="3836"/>
    <n v="3"/>
    <n v="1644.29"/>
    <x v="9"/>
    <x v="2"/>
  </r>
  <r>
    <n v="45220"/>
    <x v="60"/>
    <x v="15"/>
    <x v="0"/>
    <x v="2"/>
    <s v="Tenex Personal Filing Tote With Secure Closure Lid, Black/Frost"/>
    <x v="3837"/>
    <n v="9"/>
    <n v="6.98"/>
    <x v="9"/>
    <x v="2"/>
  </r>
  <r>
    <n v="45220"/>
    <x v="453"/>
    <x v="0"/>
    <x v="2"/>
    <x v="9"/>
    <s v="SanDisk Ultra 32 GB MicroSDHC Class 10 Memory Card"/>
    <x v="3838"/>
    <n v="6"/>
    <n v="-9.2799999999999994"/>
    <x v="9"/>
    <x v="2"/>
  </r>
  <r>
    <n v="45220"/>
    <x v="246"/>
    <x v="3"/>
    <x v="1"/>
    <x v="5"/>
    <s v="Office Star Flex Back Scooter Chair with Aluminum Finish Frame"/>
    <x v="3839"/>
    <n v="3"/>
    <n v="12.11"/>
    <x v="9"/>
    <x v="2"/>
  </r>
  <r>
    <n v="45220"/>
    <x v="246"/>
    <x v="3"/>
    <x v="0"/>
    <x v="4"/>
    <s v="Newell Chalk Holder"/>
    <x v="1192"/>
    <n v="3"/>
    <n v="5.7"/>
    <x v="9"/>
    <x v="2"/>
  </r>
  <r>
    <n v="45220"/>
    <x v="246"/>
    <x v="3"/>
    <x v="1"/>
    <x v="8"/>
    <s v="Eldon Expressions Wood and Plastic Desk Accessories, Oak"/>
    <x v="2671"/>
    <n v="2"/>
    <n v="5.59"/>
    <x v="9"/>
    <x v="2"/>
  </r>
  <r>
    <n v="45220"/>
    <x v="246"/>
    <x v="3"/>
    <x v="0"/>
    <x v="2"/>
    <s v="SAFCO Boltless Steel Shelving"/>
    <x v="1269"/>
    <n v="3"/>
    <n v="3.41"/>
    <x v="9"/>
    <x v="2"/>
  </r>
  <r>
    <n v="45220"/>
    <x v="64"/>
    <x v="16"/>
    <x v="1"/>
    <x v="8"/>
    <s v="Seth Thomas 14&quot; Day/Date Wall Clock"/>
    <x v="3840"/>
    <n v="2"/>
    <n v="9.68"/>
    <x v="9"/>
    <x v="2"/>
  </r>
  <r>
    <n v="45220"/>
    <x v="64"/>
    <x v="16"/>
    <x v="0"/>
    <x v="3"/>
    <s v="GBC Personal VeloBind Strips"/>
    <x v="2072"/>
    <n v="8"/>
    <n v="-21.08"/>
    <x v="9"/>
    <x v="2"/>
  </r>
  <r>
    <n v="45221"/>
    <x v="725"/>
    <x v="14"/>
    <x v="1"/>
    <x v="8"/>
    <s v="Eldon 200 Class Desk Accessories"/>
    <x v="1931"/>
    <n v="5"/>
    <n v="10.050000000000001"/>
    <x v="9"/>
    <x v="2"/>
  </r>
  <r>
    <n v="45221"/>
    <x v="34"/>
    <x v="6"/>
    <x v="1"/>
    <x v="8"/>
    <s v="Eldon Expressions Wood and Plastic Desk Accessories, Oak"/>
    <x v="2153"/>
    <n v="4"/>
    <n v="11.18"/>
    <x v="9"/>
    <x v="2"/>
  </r>
  <r>
    <n v="45221"/>
    <x v="493"/>
    <x v="22"/>
    <x v="0"/>
    <x v="0"/>
    <s v="Xerox 1986"/>
    <x v="1667"/>
    <n v="1"/>
    <n v="3.21"/>
    <x v="9"/>
    <x v="2"/>
  </r>
  <r>
    <n v="45221"/>
    <x v="493"/>
    <x v="22"/>
    <x v="0"/>
    <x v="4"/>
    <s v="Prang Drawing Pencil Set"/>
    <x v="1758"/>
    <n v="3"/>
    <n v="2.25"/>
    <x v="9"/>
    <x v="2"/>
  </r>
  <r>
    <n v="45221"/>
    <x v="493"/>
    <x v="22"/>
    <x v="1"/>
    <x v="8"/>
    <s v="Linden 12&quot; Wall Clock With Oak Frame"/>
    <x v="2836"/>
    <n v="3"/>
    <n v="30.58"/>
    <x v="9"/>
    <x v="2"/>
  </r>
  <r>
    <n v="45222"/>
    <x v="50"/>
    <x v="20"/>
    <x v="0"/>
    <x v="0"/>
    <s v="Snap-A-Way Black Print Carbonless Ruled Speed Letter, Triplicate"/>
    <x v="3841"/>
    <n v="10"/>
    <n v="178.32"/>
    <x v="9"/>
    <x v="2"/>
  </r>
  <r>
    <n v="45222"/>
    <x v="252"/>
    <x v="1"/>
    <x v="1"/>
    <x v="8"/>
    <s v="DAX Cubicle Frames - 8x10"/>
    <x v="3842"/>
    <n v="7"/>
    <n v="-12.12"/>
    <x v="9"/>
    <x v="2"/>
  </r>
  <r>
    <n v="45222"/>
    <x v="252"/>
    <x v="1"/>
    <x v="0"/>
    <x v="0"/>
    <s v="Xerox 1929"/>
    <x v="1858"/>
    <n v="3"/>
    <n v="17.82"/>
    <x v="9"/>
    <x v="2"/>
  </r>
  <r>
    <n v="45222"/>
    <x v="314"/>
    <x v="22"/>
    <x v="0"/>
    <x v="7"/>
    <s v="Advantus SlideClip Paper Clips"/>
    <x v="3843"/>
    <n v="5"/>
    <n v="8.18"/>
    <x v="9"/>
    <x v="2"/>
  </r>
  <r>
    <n v="45223"/>
    <x v="197"/>
    <x v="3"/>
    <x v="2"/>
    <x v="9"/>
    <s v="Micro Innovations USB RF Wireless Keyboard with Mouse"/>
    <x v="3018"/>
    <n v="4"/>
    <n v="21"/>
    <x v="9"/>
    <x v="2"/>
  </r>
  <r>
    <n v="45223"/>
    <x v="197"/>
    <x v="3"/>
    <x v="2"/>
    <x v="9"/>
    <s v="LogitechÂ VX Revolution Cordless Laser Mouse for Notebooks (Black)"/>
    <x v="671"/>
    <n v="2"/>
    <n v="21.6"/>
    <x v="9"/>
    <x v="2"/>
  </r>
  <r>
    <n v="45223"/>
    <x v="651"/>
    <x v="15"/>
    <x v="2"/>
    <x v="6"/>
    <s v="Apple iPhone 5C"/>
    <x v="868"/>
    <n v="3"/>
    <n v="18"/>
    <x v="9"/>
    <x v="2"/>
  </r>
  <r>
    <n v="45223"/>
    <x v="331"/>
    <x v="3"/>
    <x v="2"/>
    <x v="9"/>
    <s v="Razer Tiamat Over Ear 7.1 Surround Sound PC Gaming Headset"/>
    <x v="3844"/>
    <n v="1"/>
    <n v="86"/>
    <x v="9"/>
    <x v="2"/>
  </r>
  <r>
    <n v="45223"/>
    <x v="359"/>
    <x v="0"/>
    <x v="0"/>
    <x v="0"/>
    <s v="Eureka Recycled Copy Paper 8 1/2&quot; x 11&quot;, Ream"/>
    <x v="143"/>
    <n v="3"/>
    <n v="5.44"/>
    <x v="9"/>
    <x v="2"/>
  </r>
  <r>
    <n v="45223"/>
    <x v="341"/>
    <x v="3"/>
    <x v="2"/>
    <x v="9"/>
    <s v="NETGEAR N750 Dual Band Wi-Fi Gigabit Router"/>
    <x v="3845"/>
    <n v="5"/>
    <n v="162"/>
    <x v="9"/>
    <x v="2"/>
  </r>
  <r>
    <n v="45224"/>
    <x v="65"/>
    <x v="16"/>
    <x v="2"/>
    <x v="6"/>
    <s v="Panasonic KX-TG9471B"/>
    <x v="1228"/>
    <n v="5"/>
    <n v="78.400000000000006"/>
    <x v="9"/>
    <x v="2"/>
  </r>
  <r>
    <n v="45226"/>
    <x v="617"/>
    <x v="20"/>
    <x v="1"/>
    <x v="8"/>
    <s v="Electrix 20W Halogen Replacement Bulb for Zoom-In Desk Lamp"/>
    <x v="293"/>
    <n v="3"/>
    <n v="19.3"/>
    <x v="9"/>
    <x v="2"/>
  </r>
  <r>
    <n v="45226"/>
    <x v="244"/>
    <x v="3"/>
    <x v="0"/>
    <x v="12"/>
    <s v="Staple holder"/>
    <x v="56"/>
    <n v="4"/>
    <n v="11.86"/>
    <x v="9"/>
    <x v="2"/>
  </r>
  <r>
    <n v="45226"/>
    <x v="244"/>
    <x v="3"/>
    <x v="0"/>
    <x v="3"/>
    <s v="Acco Data Flex Cable Posts For Top &amp; Bottom Load Binders, 6&quot; Capacity"/>
    <x v="2374"/>
    <n v="3"/>
    <n v="7.82"/>
    <x v="9"/>
    <x v="2"/>
  </r>
  <r>
    <n v="45226"/>
    <x v="346"/>
    <x v="6"/>
    <x v="1"/>
    <x v="5"/>
    <s v="Global Executive Mid-Back Manager's Chair"/>
    <x v="3846"/>
    <n v="1"/>
    <n v="75.650000000000006"/>
    <x v="9"/>
    <x v="2"/>
  </r>
  <r>
    <n v="45226"/>
    <x v="205"/>
    <x v="3"/>
    <x v="0"/>
    <x v="3"/>
    <s v="Avery Legal 4-Ring Binder"/>
    <x v="3659"/>
    <n v="4"/>
    <n v="25.18"/>
    <x v="9"/>
    <x v="2"/>
  </r>
  <r>
    <n v="45226"/>
    <x v="346"/>
    <x v="20"/>
    <x v="1"/>
    <x v="5"/>
    <s v="Metal Folding Chairs, Beige, 4/Carton"/>
    <x v="3847"/>
    <n v="14"/>
    <n v="80.78"/>
    <x v="9"/>
    <x v="2"/>
  </r>
  <r>
    <n v="45226"/>
    <x v="346"/>
    <x v="20"/>
    <x v="0"/>
    <x v="7"/>
    <s v="Advantus Push Pins, Aluminum Head"/>
    <x v="3848"/>
    <n v="7"/>
    <n v="12.61"/>
    <x v="9"/>
    <x v="2"/>
  </r>
  <r>
    <n v="45226"/>
    <x v="346"/>
    <x v="20"/>
    <x v="0"/>
    <x v="2"/>
    <s v="Rogers Profile Extra Capacity Storage Tub"/>
    <x v="3849"/>
    <n v="2"/>
    <n v="1.34"/>
    <x v="9"/>
    <x v="2"/>
  </r>
  <r>
    <n v="45226"/>
    <x v="346"/>
    <x v="20"/>
    <x v="0"/>
    <x v="3"/>
    <s v="Prestige Round Ring Binders"/>
    <x v="2574"/>
    <n v="2"/>
    <n v="3.28"/>
    <x v="9"/>
    <x v="2"/>
  </r>
  <r>
    <n v="45227"/>
    <x v="657"/>
    <x v="3"/>
    <x v="0"/>
    <x v="2"/>
    <s v="Personal Filing Tote with Lid, Black/Gray"/>
    <x v="3850"/>
    <n v="6"/>
    <n v="26.06"/>
    <x v="9"/>
    <x v="2"/>
  </r>
  <r>
    <n v="45227"/>
    <x v="657"/>
    <x v="3"/>
    <x v="2"/>
    <x v="6"/>
    <s v="Adtran 1202752G1"/>
    <x v="250"/>
    <n v="3"/>
    <n v="22.68"/>
    <x v="9"/>
    <x v="2"/>
  </r>
  <r>
    <n v="45227"/>
    <x v="104"/>
    <x v="23"/>
    <x v="0"/>
    <x v="0"/>
    <s v="Xerox 223"/>
    <x v="331"/>
    <n v="5"/>
    <n v="15.55"/>
    <x v="9"/>
    <x v="2"/>
  </r>
  <r>
    <n v="45227"/>
    <x v="104"/>
    <x v="23"/>
    <x v="0"/>
    <x v="2"/>
    <s v="Tennsco Stur-D-Stor Boltless Shelving, 5 Shelves, 24&quot; Deep, Sand"/>
    <x v="3851"/>
    <n v="8"/>
    <n v="10.82"/>
    <x v="9"/>
    <x v="2"/>
  </r>
  <r>
    <n v="45227"/>
    <x v="104"/>
    <x v="23"/>
    <x v="0"/>
    <x v="0"/>
    <s v="Xerox 1939"/>
    <x v="3852"/>
    <n v="3"/>
    <n v="27.32"/>
    <x v="9"/>
    <x v="2"/>
  </r>
  <r>
    <n v="45227"/>
    <x v="104"/>
    <x v="23"/>
    <x v="1"/>
    <x v="8"/>
    <s v="Floodlight Indoor Halogen Bulbs, 1 Bulb per Pack, 60 Watts"/>
    <x v="1664"/>
    <n v="4"/>
    <n v="38.020000000000003"/>
    <x v="9"/>
    <x v="2"/>
  </r>
  <r>
    <n v="45227"/>
    <x v="104"/>
    <x v="23"/>
    <x v="0"/>
    <x v="3"/>
    <s v="Avery Premier Heavy-Duty Binder with Round Locking Rings"/>
    <x v="2571"/>
    <n v="1"/>
    <n v="6.57"/>
    <x v="9"/>
    <x v="2"/>
  </r>
  <r>
    <n v="45227"/>
    <x v="756"/>
    <x v="3"/>
    <x v="0"/>
    <x v="0"/>
    <s v="Southworth Structures Collection"/>
    <x v="3853"/>
    <n v="7"/>
    <n v="25.48"/>
    <x v="9"/>
    <x v="2"/>
  </r>
  <r>
    <n v="45227"/>
    <x v="756"/>
    <x v="3"/>
    <x v="0"/>
    <x v="3"/>
    <s v="Square Ring Data Binders, Rigid 75 Pt. Covers, 11&quot; x 14-7/8&quot;"/>
    <x v="2974"/>
    <n v="3"/>
    <n v="17.34"/>
    <x v="9"/>
    <x v="2"/>
  </r>
  <r>
    <n v="45227"/>
    <x v="190"/>
    <x v="16"/>
    <x v="1"/>
    <x v="8"/>
    <s v="24-Hour Round Wall Clock"/>
    <x v="1839"/>
    <n v="3"/>
    <n v="13.79"/>
    <x v="9"/>
    <x v="2"/>
  </r>
  <r>
    <n v="45227"/>
    <x v="190"/>
    <x v="16"/>
    <x v="0"/>
    <x v="3"/>
    <s v="Large Capacity Hanging Post Binders"/>
    <x v="3854"/>
    <n v="5"/>
    <n v="-29.94"/>
    <x v="9"/>
    <x v="2"/>
  </r>
  <r>
    <n v="45227"/>
    <x v="190"/>
    <x v="16"/>
    <x v="1"/>
    <x v="8"/>
    <s v="Eldon Radial Chair Mat for Low to Medium Pile Carpets"/>
    <x v="3729"/>
    <n v="2"/>
    <n v="0"/>
    <x v="9"/>
    <x v="2"/>
  </r>
  <r>
    <n v="45227"/>
    <x v="190"/>
    <x v="16"/>
    <x v="1"/>
    <x v="8"/>
    <s v="Howard Miller 13-1/2&quot; Diameter Rosebrook Wall Clock"/>
    <x v="3855"/>
    <n v="3"/>
    <n v="41.26"/>
    <x v="9"/>
    <x v="2"/>
  </r>
  <r>
    <n v="45227"/>
    <x v="436"/>
    <x v="25"/>
    <x v="0"/>
    <x v="3"/>
    <s v="XtraLife ClearVue Slant-D Ring Binder, White, 3&quot;"/>
    <x v="3856"/>
    <n v="4"/>
    <n v="-14.09"/>
    <x v="9"/>
    <x v="2"/>
  </r>
  <r>
    <n v="45227"/>
    <x v="287"/>
    <x v="16"/>
    <x v="0"/>
    <x v="3"/>
    <s v="Canvas Sectional Post Binders"/>
    <x v="3857"/>
    <n v="5"/>
    <n v="-26.73"/>
    <x v="9"/>
    <x v="2"/>
  </r>
  <r>
    <n v="45227"/>
    <x v="268"/>
    <x v="20"/>
    <x v="0"/>
    <x v="4"/>
    <s v="BIC Brite Liner Highlighters"/>
    <x v="67"/>
    <n v="3"/>
    <n v="5.22"/>
    <x v="9"/>
    <x v="2"/>
  </r>
  <r>
    <n v="45227"/>
    <x v="668"/>
    <x v="20"/>
    <x v="1"/>
    <x v="8"/>
    <s v="Tenex Chairmat w/ Average Lip, 45&quot; x 53&quot;"/>
    <x v="3858"/>
    <n v="5"/>
    <n v="75.680000000000007"/>
    <x v="9"/>
    <x v="2"/>
  </r>
  <r>
    <n v="45228"/>
    <x v="140"/>
    <x v="23"/>
    <x v="0"/>
    <x v="2"/>
    <s v="Rogers Jumbo File, Granite"/>
    <x v="1854"/>
    <n v="3"/>
    <n v="0.41"/>
    <x v="9"/>
    <x v="2"/>
  </r>
  <r>
    <n v="45228"/>
    <x v="140"/>
    <x v="23"/>
    <x v="0"/>
    <x v="12"/>
    <s v="Commercial WindTunnel Clean Air Upright Vacuum, Replacement Belts, Filtration Bags"/>
    <x v="2069"/>
    <n v="3"/>
    <n v="3.03"/>
    <x v="9"/>
    <x v="2"/>
  </r>
  <r>
    <n v="45228"/>
    <x v="682"/>
    <x v="14"/>
    <x v="1"/>
    <x v="8"/>
    <s v="Electrix 20W Halogen Replacement Bulb for Zoom-In Desk Lamp"/>
    <x v="3859"/>
    <n v="5"/>
    <n v="32.159999999999997"/>
    <x v="9"/>
    <x v="2"/>
  </r>
  <r>
    <n v="45228"/>
    <x v="564"/>
    <x v="3"/>
    <x v="0"/>
    <x v="3"/>
    <s v="XtraLife ClearVue Slant-D Ring Binder, White, 3&quot;"/>
    <x v="1842"/>
    <n v="1"/>
    <n v="3.82"/>
    <x v="9"/>
    <x v="2"/>
  </r>
  <r>
    <n v="45229"/>
    <x v="80"/>
    <x v="14"/>
    <x v="0"/>
    <x v="4"/>
    <s v="Newell 312"/>
    <x v="2410"/>
    <n v="2"/>
    <n v="3.5"/>
    <x v="9"/>
    <x v="2"/>
  </r>
  <r>
    <n v="45229"/>
    <x v="150"/>
    <x v="20"/>
    <x v="0"/>
    <x v="3"/>
    <s v="GBC Personal VeloBind Strips"/>
    <x v="2072"/>
    <n v="3"/>
    <n v="10.06"/>
    <x v="9"/>
    <x v="2"/>
  </r>
  <r>
    <n v="45229"/>
    <x v="150"/>
    <x v="20"/>
    <x v="0"/>
    <x v="4"/>
    <s v="Boston KS Multi-Size Manual Pencil Sharpener"/>
    <x v="3860"/>
    <n v="5"/>
    <n v="32.19"/>
    <x v="9"/>
    <x v="2"/>
  </r>
  <r>
    <n v="45229"/>
    <x v="530"/>
    <x v="3"/>
    <x v="0"/>
    <x v="7"/>
    <s v="Assorted Color Push Pins"/>
    <x v="3861"/>
    <n v="2"/>
    <n v="1.19"/>
    <x v="9"/>
    <x v="2"/>
  </r>
  <r>
    <n v="45230"/>
    <x v="649"/>
    <x v="2"/>
    <x v="1"/>
    <x v="5"/>
    <s v="Hon Olson Stacker Stools"/>
    <x v="3862"/>
    <n v="5"/>
    <n v="-14.08"/>
    <x v="9"/>
    <x v="2"/>
  </r>
  <r>
    <n v="45230"/>
    <x v="104"/>
    <x v="3"/>
    <x v="0"/>
    <x v="2"/>
    <s v="Dual Level, Single-Width Filing Carts"/>
    <x v="1799"/>
    <n v="7"/>
    <n v="282.20999999999998"/>
    <x v="9"/>
    <x v="2"/>
  </r>
  <r>
    <n v="45230"/>
    <x v="251"/>
    <x v="16"/>
    <x v="0"/>
    <x v="0"/>
    <s v="Xerox 1898"/>
    <x v="890"/>
    <n v="6"/>
    <n v="11.22"/>
    <x v="9"/>
    <x v="2"/>
  </r>
  <r>
    <n v="45230"/>
    <x v="698"/>
    <x v="39"/>
    <x v="0"/>
    <x v="14"/>
    <s v="Fiskars Softgrip Scissors"/>
    <x v="3863"/>
    <n v="2"/>
    <n v="6.15"/>
    <x v="9"/>
    <x v="2"/>
  </r>
  <r>
    <n v="45230"/>
    <x v="698"/>
    <x v="39"/>
    <x v="1"/>
    <x v="5"/>
    <s v="Hon Mobius Operator's Chair"/>
    <x v="3734"/>
    <n v="3"/>
    <n v="81.17"/>
    <x v="9"/>
    <x v="2"/>
  </r>
  <r>
    <n v="45230"/>
    <x v="698"/>
    <x v="39"/>
    <x v="0"/>
    <x v="4"/>
    <s v="Newell 31"/>
    <x v="1192"/>
    <n v="3"/>
    <n v="3.47"/>
    <x v="9"/>
    <x v="2"/>
  </r>
  <r>
    <n v="45230"/>
    <x v="698"/>
    <x v="39"/>
    <x v="0"/>
    <x v="2"/>
    <s v="Carina Mini System Audio Rack, Model AR050B"/>
    <x v="100"/>
    <n v="3"/>
    <n v="9.99"/>
    <x v="9"/>
    <x v="2"/>
  </r>
  <r>
    <n v="45230"/>
    <x v="472"/>
    <x v="3"/>
    <x v="1"/>
    <x v="5"/>
    <s v="Office Star - Professional Matrix Back Chair with 2-to-1 Synchro Tilt and Mesh Fabric Seat"/>
    <x v="1525"/>
    <n v="5"/>
    <n v="70.2"/>
    <x v="9"/>
    <x v="2"/>
  </r>
  <r>
    <n v="45231"/>
    <x v="307"/>
    <x v="6"/>
    <x v="2"/>
    <x v="6"/>
    <s v="LF Elite 3D Dazzle Designer Hard Case Cover, Lf Stylus Pen and Wiper For Apple Iphone 5c Mini Lite"/>
    <x v="3387"/>
    <n v="2"/>
    <n v="6.1"/>
    <x v="10"/>
    <x v="2"/>
  </r>
  <r>
    <n v="45231"/>
    <x v="307"/>
    <x v="6"/>
    <x v="0"/>
    <x v="10"/>
    <s v="Airmail Envelopes"/>
    <x v="3864"/>
    <n v="3"/>
    <n v="118.34"/>
    <x v="10"/>
    <x v="2"/>
  </r>
  <r>
    <n v="45231"/>
    <x v="599"/>
    <x v="0"/>
    <x v="0"/>
    <x v="2"/>
    <s v="Tenex Personal Filing Tote With Secure Closure Lid, Black/Frost"/>
    <x v="3837"/>
    <n v="9"/>
    <n v="6.98"/>
    <x v="10"/>
    <x v="2"/>
  </r>
  <r>
    <n v="45231"/>
    <x v="21"/>
    <x v="1"/>
    <x v="2"/>
    <x v="9"/>
    <s v="Maxell 4.7GB DVD-R"/>
    <x v="3865"/>
    <n v="3"/>
    <n v="17.88"/>
    <x v="10"/>
    <x v="2"/>
  </r>
  <r>
    <n v="45233"/>
    <x v="68"/>
    <x v="30"/>
    <x v="0"/>
    <x v="4"/>
    <s v="Hunt PowerHouse Electric Pencil Sharpener, Blue"/>
    <x v="3866"/>
    <n v="2"/>
    <n v="22.79"/>
    <x v="10"/>
    <x v="2"/>
  </r>
  <r>
    <n v="45233"/>
    <x v="68"/>
    <x v="30"/>
    <x v="0"/>
    <x v="3"/>
    <s v="Avery Durable Plastic 1&quot; Binders"/>
    <x v="3768"/>
    <n v="6"/>
    <n v="13.35"/>
    <x v="10"/>
    <x v="2"/>
  </r>
  <r>
    <n v="45233"/>
    <x v="582"/>
    <x v="22"/>
    <x v="0"/>
    <x v="4"/>
    <s v="Newell 332"/>
    <x v="1946"/>
    <n v="3"/>
    <n v="2.38"/>
    <x v="10"/>
    <x v="2"/>
  </r>
  <r>
    <n v="45233"/>
    <x v="766"/>
    <x v="3"/>
    <x v="1"/>
    <x v="5"/>
    <s v="Global Deluxe High-Back Office Chair in Storm"/>
    <x v="1619"/>
    <n v="2"/>
    <n v="-29.92"/>
    <x v="10"/>
    <x v="2"/>
  </r>
  <r>
    <n v="45233"/>
    <x v="766"/>
    <x v="3"/>
    <x v="2"/>
    <x v="9"/>
    <s v="Kensington K72356US Mouse-in-a-Box USB Desktop Mouse"/>
    <x v="3867"/>
    <n v="5"/>
    <n v="29.03"/>
    <x v="10"/>
    <x v="2"/>
  </r>
  <r>
    <n v="45233"/>
    <x v="766"/>
    <x v="3"/>
    <x v="0"/>
    <x v="1"/>
    <s v="Avery 50"/>
    <x v="1708"/>
    <n v="7"/>
    <n v="41.22"/>
    <x v="10"/>
    <x v="2"/>
  </r>
  <r>
    <n v="45233"/>
    <x v="766"/>
    <x v="3"/>
    <x v="0"/>
    <x v="12"/>
    <s v="Honeywell Enviracaire Portable HEPA Air Cleaner for 16' x 20' Room"/>
    <x v="3868"/>
    <n v="4"/>
    <n v="429.58"/>
    <x v="10"/>
    <x v="2"/>
  </r>
  <r>
    <n v="45233"/>
    <x v="358"/>
    <x v="5"/>
    <x v="0"/>
    <x v="7"/>
    <s v="Advantus Plastic Paper Clips"/>
    <x v="3869"/>
    <n v="4"/>
    <n v="9.6"/>
    <x v="10"/>
    <x v="2"/>
  </r>
  <r>
    <n v="45233"/>
    <x v="358"/>
    <x v="5"/>
    <x v="0"/>
    <x v="4"/>
    <s v="Economy #2 Pencils"/>
    <x v="166"/>
    <n v="3"/>
    <n v="2.0699999999999998"/>
    <x v="10"/>
    <x v="2"/>
  </r>
  <r>
    <n v="45233"/>
    <x v="358"/>
    <x v="5"/>
    <x v="1"/>
    <x v="8"/>
    <s v="Magna Visual Magnetic Picture Hangers"/>
    <x v="2563"/>
    <n v="5"/>
    <n v="9.16"/>
    <x v="10"/>
    <x v="2"/>
  </r>
  <r>
    <n v="45233"/>
    <x v="358"/>
    <x v="5"/>
    <x v="0"/>
    <x v="4"/>
    <s v="Boston 16750 Black Compact Battery Pencil Sharpener"/>
    <x v="3870"/>
    <n v="1"/>
    <n v="2.63"/>
    <x v="10"/>
    <x v="2"/>
  </r>
  <r>
    <n v="45233"/>
    <x v="358"/>
    <x v="5"/>
    <x v="1"/>
    <x v="13"/>
    <s v="Global Adaptabilities Conference Tables"/>
    <x v="3871"/>
    <n v="3"/>
    <n v="160.16"/>
    <x v="10"/>
    <x v="2"/>
  </r>
  <r>
    <n v="45233"/>
    <x v="21"/>
    <x v="3"/>
    <x v="0"/>
    <x v="7"/>
    <s v="Stockwell Push Pins"/>
    <x v="3872"/>
    <n v="7"/>
    <n v="5.04"/>
    <x v="10"/>
    <x v="2"/>
  </r>
  <r>
    <n v="45233"/>
    <x v="21"/>
    <x v="3"/>
    <x v="0"/>
    <x v="12"/>
    <s v="Holmes 99% HEPA Air Purifier"/>
    <x v="3873"/>
    <n v="2"/>
    <n v="14.3"/>
    <x v="10"/>
    <x v="2"/>
  </r>
  <r>
    <n v="45233"/>
    <x v="21"/>
    <x v="3"/>
    <x v="0"/>
    <x v="3"/>
    <s v="Avery Durable Plastic 1&quot; Binders"/>
    <x v="3874"/>
    <n v="12"/>
    <n v="15.8"/>
    <x v="10"/>
    <x v="2"/>
  </r>
  <r>
    <n v="45233"/>
    <x v="21"/>
    <x v="3"/>
    <x v="0"/>
    <x v="0"/>
    <s v="Xerox 1892"/>
    <x v="468"/>
    <n v="3"/>
    <n v="56.98"/>
    <x v="10"/>
    <x v="2"/>
  </r>
  <r>
    <n v="45233"/>
    <x v="21"/>
    <x v="3"/>
    <x v="0"/>
    <x v="3"/>
    <s v="Fellowes Black Plastic Comb Bindings"/>
    <x v="3875"/>
    <n v="2"/>
    <n v="3.02"/>
    <x v="10"/>
    <x v="2"/>
  </r>
  <r>
    <n v="45233"/>
    <x v="21"/>
    <x v="3"/>
    <x v="0"/>
    <x v="0"/>
    <s v="Xerox 22"/>
    <x v="5"/>
    <n v="3"/>
    <n v="9.33"/>
    <x v="10"/>
    <x v="2"/>
  </r>
  <r>
    <n v="45233"/>
    <x v="21"/>
    <x v="3"/>
    <x v="0"/>
    <x v="0"/>
    <s v="Multicolor Computer Printout Paper"/>
    <x v="3305"/>
    <n v="3"/>
    <n v="150.97999999999999"/>
    <x v="10"/>
    <x v="2"/>
  </r>
  <r>
    <n v="45233"/>
    <x v="225"/>
    <x v="0"/>
    <x v="0"/>
    <x v="0"/>
    <s v="Xerox 1978"/>
    <x v="3521"/>
    <n v="2"/>
    <n v="3.35"/>
    <x v="10"/>
    <x v="2"/>
  </r>
  <r>
    <n v="45233"/>
    <x v="262"/>
    <x v="11"/>
    <x v="0"/>
    <x v="3"/>
    <s v="Avery Reinforcements for Hole-Punch Pages"/>
    <x v="2299"/>
    <n v="7"/>
    <n v="-3.47"/>
    <x v="10"/>
    <x v="2"/>
  </r>
  <r>
    <n v="45233"/>
    <x v="262"/>
    <x v="11"/>
    <x v="2"/>
    <x v="15"/>
    <s v="Okidata B401 Printer"/>
    <x v="3876"/>
    <n v="3"/>
    <n v="-251.99"/>
    <x v="10"/>
    <x v="2"/>
  </r>
  <r>
    <n v="45233"/>
    <x v="425"/>
    <x v="2"/>
    <x v="2"/>
    <x v="9"/>
    <s v="NETGEAR N750 Dual Band Wi-Fi Gigabit Router"/>
    <x v="3877"/>
    <n v="1"/>
    <n v="14.4"/>
    <x v="10"/>
    <x v="2"/>
  </r>
  <r>
    <n v="45233"/>
    <x v="425"/>
    <x v="2"/>
    <x v="1"/>
    <x v="5"/>
    <s v="Bevis Steel Folding Chairs"/>
    <x v="3878"/>
    <n v="7"/>
    <n v="-13.43"/>
    <x v="10"/>
    <x v="2"/>
  </r>
  <r>
    <n v="45234"/>
    <x v="554"/>
    <x v="5"/>
    <x v="0"/>
    <x v="7"/>
    <s v="OIC Colored Binder Clips, Assorted Sizes"/>
    <x v="1864"/>
    <n v="3"/>
    <n v="5.26"/>
    <x v="10"/>
    <x v="2"/>
  </r>
  <r>
    <n v="45234"/>
    <x v="756"/>
    <x v="22"/>
    <x v="1"/>
    <x v="8"/>
    <s v="Tenex &quot;The Solids&quot; Textured Chair Mats"/>
    <x v="1903"/>
    <n v="3"/>
    <n v="35.68"/>
    <x v="10"/>
    <x v="2"/>
  </r>
  <r>
    <n v="45234"/>
    <x v="384"/>
    <x v="3"/>
    <x v="1"/>
    <x v="8"/>
    <s v="Advantus Panel Wall Acrylic Frame"/>
    <x v="3879"/>
    <n v="7"/>
    <n v="16.46"/>
    <x v="10"/>
    <x v="2"/>
  </r>
  <r>
    <n v="45234"/>
    <x v="426"/>
    <x v="3"/>
    <x v="0"/>
    <x v="4"/>
    <s v="Boston Heavy-Duty Trimline Electric Pencil Sharpeners"/>
    <x v="3880"/>
    <n v="4"/>
    <n v="55.91"/>
    <x v="10"/>
    <x v="2"/>
  </r>
  <r>
    <n v="45234"/>
    <x v="609"/>
    <x v="11"/>
    <x v="0"/>
    <x v="14"/>
    <s v="Serrated Blade or Curved Handle Hand Letter Openers"/>
    <x v="3881"/>
    <n v="7"/>
    <n v="-4.18"/>
    <x v="10"/>
    <x v="2"/>
  </r>
  <r>
    <n v="45234"/>
    <x v="609"/>
    <x v="11"/>
    <x v="1"/>
    <x v="5"/>
    <s v="Office Star - Contemporary Task Swivel chair with Loop Arms, Charcoal"/>
    <x v="3882"/>
    <n v="1"/>
    <n v="-14.41"/>
    <x v="10"/>
    <x v="2"/>
  </r>
  <r>
    <n v="45234"/>
    <x v="609"/>
    <x v="11"/>
    <x v="0"/>
    <x v="0"/>
    <s v="Southworth 25% Cotton Premium Laser Paper and Envelopes"/>
    <x v="1839"/>
    <n v="3"/>
    <n v="16.78"/>
    <x v="10"/>
    <x v="2"/>
  </r>
  <r>
    <n v="45234"/>
    <x v="609"/>
    <x v="11"/>
    <x v="1"/>
    <x v="5"/>
    <s v="Global Enterprise Series Seating High-Back Swivel/Tilt Chairs"/>
    <x v="3883"/>
    <n v="3"/>
    <n v="-97.55"/>
    <x v="10"/>
    <x v="2"/>
  </r>
  <r>
    <n v="45234"/>
    <x v="609"/>
    <x v="11"/>
    <x v="0"/>
    <x v="1"/>
    <s v="Dot Matrix Printer Tape Reel Labels, White, 5000/Box"/>
    <x v="3884"/>
    <n v="8"/>
    <n v="228.08"/>
    <x v="10"/>
    <x v="2"/>
  </r>
  <r>
    <n v="45234"/>
    <x v="609"/>
    <x v="11"/>
    <x v="0"/>
    <x v="0"/>
    <s v="Xerox 1887"/>
    <x v="1128"/>
    <n v="1"/>
    <n v="5.31"/>
    <x v="10"/>
    <x v="2"/>
  </r>
  <r>
    <n v="45234"/>
    <x v="591"/>
    <x v="16"/>
    <x v="1"/>
    <x v="8"/>
    <s v="Ultra Door Pull Handle"/>
    <x v="3885"/>
    <n v="6"/>
    <n v="8.2100000000000009"/>
    <x v="10"/>
    <x v="2"/>
  </r>
  <r>
    <n v="45234"/>
    <x v="249"/>
    <x v="3"/>
    <x v="0"/>
    <x v="3"/>
    <s v="Tuff Stuff Recycled Round Ring Binders"/>
    <x v="647"/>
    <n v="2"/>
    <n v="2.8"/>
    <x v="10"/>
    <x v="2"/>
  </r>
  <r>
    <n v="45234"/>
    <x v="249"/>
    <x v="3"/>
    <x v="0"/>
    <x v="3"/>
    <s v="Acco Economy Flexible Poly Round Ring Binder"/>
    <x v="3886"/>
    <n v="1"/>
    <n v="1.31"/>
    <x v="10"/>
    <x v="2"/>
  </r>
  <r>
    <n v="45234"/>
    <x v="249"/>
    <x v="3"/>
    <x v="0"/>
    <x v="0"/>
    <s v="Xerox 229"/>
    <x v="2167"/>
    <n v="6"/>
    <n v="18.66"/>
    <x v="10"/>
    <x v="2"/>
  </r>
  <r>
    <n v="45234"/>
    <x v="727"/>
    <x v="25"/>
    <x v="0"/>
    <x v="2"/>
    <s v="Eldon Portable Mobile Manager"/>
    <x v="398"/>
    <n v="2"/>
    <n v="3.96"/>
    <x v="10"/>
    <x v="2"/>
  </r>
  <r>
    <n v="45234"/>
    <x v="727"/>
    <x v="25"/>
    <x v="1"/>
    <x v="13"/>
    <s v="BPI Conference Tables"/>
    <x v="3887"/>
    <n v="10"/>
    <n v="-292.10000000000002"/>
    <x v="10"/>
    <x v="2"/>
  </r>
  <r>
    <n v="45234"/>
    <x v="727"/>
    <x v="25"/>
    <x v="0"/>
    <x v="14"/>
    <s v="Premier Electric Letter Opener"/>
    <x v="3205"/>
    <n v="2"/>
    <n v="-34.76"/>
    <x v="10"/>
    <x v="2"/>
  </r>
  <r>
    <n v="45234"/>
    <x v="204"/>
    <x v="3"/>
    <x v="2"/>
    <x v="15"/>
    <s v="Okidata B400 Printer"/>
    <x v="3888"/>
    <n v="2"/>
    <n v="77.22"/>
    <x v="10"/>
    <x v="2"/>
  </r>
  <r>
    <n v="45234"/>
    <x v="533"/>
    <x v="0"/>
    <x v="1"/>
    <x v="8"/>
    <s v="DAX Two-Tone Rosewood/Black Document Frame, Desktop, 5 x 7"/>
    <x v="3889"/>
    <n v="3"/>
    <n v="-5.69"/>
    <x v="10"/>
    <x v="2"/>
  </r>
  <r>
    <n v="45234"/>
    <x v="533"/>
    <x v="0"/>
    <x v="1"/>
    <x v="8"/>
    <s v="Deflect-o EconoMat Studded, No Bevel Mat for Low Pile Carpeting"/>
    <x v="424"/>
    <n v="4"/>
    <n v="-84.29"/>
    <x v="10"/>
    <x v="2"/>
  </r>
  <r>
    <n v="45235"/>
    <x v="431"/>
    <x v="3"/>
    <x v="0"/>
    <x v="3"/>
    <s v="Cardinal Holdit Data Disk Pockets"/>
    <x v="852"/>
    <n v="5"/>
    <n v="9.83"/>
    <x v="10"/>
    <x v="2"/>
  </r>
  <r>
    <n v="45235"/>
    <x v="756"/>
    <x v="2"/>
    <x v="2"/>
    <x v="6"/>
    <s v="Anker Astro Mini 3000mAh Ultra-Compact Portable Charger"/>
    <x v="664"/>
    <n v="2"/>
    <n v="-15.99"/>
    <x v="10"/>
    <x v="2"/>
  </r>
  <r>
    <n v="45235"/>
    <x v="287"/>
    <x v="0"/>
    <x v="1"/>
    <x v="13"/>
    <s v="Laminate Occasional Tables"/>
    <x v="3525"/>
    <n v="8"/>
    <n v="-160.30000000000001"/>
    <x v="10"/>
    <x v="2"/>
  </r>
  <r>
    <n v="45235"/>
    <x v="287"/>
    <x v="0"/>
    <x v="0"/>
    <x v="3"/>
    <s v="Storex Dura Pro Binders"/>
    <x v="2028"/>
    <n v="3"/>
    <n v="-6.24"/>
    <x v="10"/>
    <x v="2"/>
  </r>
  <r>
    <n v="45235"/>
    <x v="287"/>
    <x v="0"/>
    <x v="1"/>
    <x v="11"/>
    <s v="O'Sullivan Plantations 2-Door Library in Landvery Oak"/>
    <x v="3764"/>
    <n v="7"/>
    <n v="-225.1"/>
    <x v="10"/>
    <x v="2"/>
  </r>
  <r>
    <n v="45235"/>
    <x v="287"/>
    <x v="0"/>
    <x v="0"/>
    <x v="3"/>
    <s v="Premium Transparent Presentation Covers by GBC"/>
    <x v="3890"/>
    <n v="3"/>
    <n v="-20.14"/>
    <x v="10"/>
    <x v="2"/>
  </r>
  <r>
    <n v="45235"/>
    <x v="287"/>
    <x v="0"/>
    <x v="2"/>
    <x v="9"/>
    <s v="Logitech Wireless Headset H600 Over-The-Head Design"/>
    <x v="1761"/>
    <n v="5"/>
    <n v="45.14"/>
    <x v="10"/>
    <x v="2"/>
  </r>
  <r>
    <n v="45235"/>
    <x v="415"/>
    <x v="18"/>
    <x v="0"/>
    <x v="3"/>
    <s v="Premium Transparent Presentation Covers by GBC"/>
    <x v="2745"/>
    <n v="5"/>
    <n v="50.35"/>
    <x v="10"/>
    <x v="2"/>
  </r>
  <r>
    <n v="45235"/>
    <x v="415"/>
    <x v="18"/>
    <x v="0"/>
    <x v="4"/>
    <s v="Prismacolor Color Pencil Set"/>
    <x v="332"/>
    <n v="2"/>
    <n v="16.27"/>
    <x v="10"/>
    <x v="2"/>
  </r>
  <r>
    <n v="45235"/>
    <x v="415"/>
    <x v="18"/>
    <x v="0"/>
    <x v="1"/>
    <s v="Avery 503"/>
    <x v="3460"/>
    <n v="5"/>
    <n v="24.84"/>
    <x v="10"/>
    <x v="2"/>
  </r>
  <r>
    <n v="45235"/>
    <x v="343"/>
    <x v="3"/>
    <x v="0"/>
    <x v="3"/>
    <s v="GBC Twin Loop Wire Binding Elements"/>
    <x v="1809"/>
    <n v="2"/>
    <n v="19.97"/>
    <x v="10"/>
    <x v="2"/>
  </r>
  <r>
    <n v="45235"/>
    <x v="438"/>
    <x v="0"/>
    <x v="0"/>
    <x v="1"/>
    <s v="Avery 490"/>
    <x v="3891"/>
    <n v="1"/>
    <n v="4.4400000000000004"/>
    <x v="10"/>
    <x v="2"/>
  </r>
  <r>
    <n v="45235"/>
    <x v="377"/>
    <x v="22"/>
    <x v="2"/>
    <x v="9"/>
    <s v="Cherry 142-key Programmable Keyboard"/>
    <x v="3892"/>
    <n v="4"/>
    <n v="52.77"/>
    <x v="10"/>
    <x v="2"/>
  </r>
  <r>
    <n v="45235"/>
    <x v="564"/>
    <x v="3"/>
    <x v="2"/>
    <x v="9"/>
    <s v="KeyTronicÂ E03601U1 -Â KeyboardÂ - Beige"/>
    <x v="3877"/>
    <n v="4"/>
    <n v="12.96"/>
    <x v="10"/>
    <x v="2"/>
  </r>
  <r>
    <n v="45235"/>
    <x v="564"/>
    <x v="3"/>
    <x v="1"/>
    <x v="5"/>
    <s v="Harbour Creations 67200 Series Stacking Chairs"/>
    <x v="3703"/>
    <n v="2"/>
    <n v="9.9700000000000006"/>
    <x v="10"/>
    <x v="2"/>
  </r>
  <r>
    <n v="45235"/>
    <x v="564"/>
    <x v="3"/>
    <x v="0"/>
    <x v="10"/>
    <s v="Strathmore #10 Envelopes, Ultimate White"/>
    <x v="414"/>
    <n v="3"/>
    <n v="77.48"/>
    <x v="10"/>
    <x v="2"/>
  </r>
  <r>
    <n v="45235"/>
    <x v="395"/>
    <x v="6"/>
    <x v="1"/>
    <x v="8"/>
    <s v="3M Polarizing Task Lamp with Clamp Arm, Light Gray"/>
    <x v="1323"/>
    <n v="2"/>
    <n v="71.23"/>
    <x v="10"/>
    <x v="2"/>
  </r>
  <r>
    <n v="45235"/>
    <x v="395"/>
    <x v="6"/>
    <x v="2"/>
    <x v="9"/>
    <s v="Microsoft Natural Ergonomic Keyboard 4000"/>
    <x v="1236"/>
    <n v="3"/>
    <n v="18.89"/>
    <x v="10"/>
    <x v="2"/>
  </r>
  <r>
    <n v="45235"/>
    <x v="395"/>
    <x v="6"/>
    <x v="1"/>
    <x v="8"/>
    <s v="Tenex Chairmat w/ Average Lip, 45&quot; x 53&quot;"/>
    <x v="3858"/>
    <n v="5"/>
    <n v="75.680000000000007"/>
    <x v="10"/>
    <x v="2"/>
  </r>
  <r>
    <n v="45236"/>
    <x v="471"/>
    <x v="3"/>
    <x v="1"/>
    <x v="5"/>
    <s v="Global Task Chair, Black"/>
    <x v="3893"/>
    <n v="2"/>
    <n v="-9.16"/>
    <x v="10"/>
    <x v="2"/>
  </r>
  <r>
    <n v="45236"/>
    <x v="471"/>
    <x v="3"/>
    <x v="1"/>
    <x v="8"/>
    <s v="Eldon Cleatmat Plus Chair Mats for High Pile Carpets"/>
    <x v="3894"/>
    <n v="3"/>
    <n v="26.24"/>
    <x v="10"/>
    <x v="2"/>
  </r>
  <r>
    <n v="45236"/>
    <x v="254"/>
    <x v="16"/>
    <x v="1"/>
    <x v="5"/>
    <s v="High-Back Leather Manager's Chair"/>
    <x v="2000"/>
    <n v="2"/>
    <n v="-28.6"/>
    <x v="10"/>
    <x v="2"/>
  </r>
  <r>
    <n v="45236"/>
    <x v="254"/>
    <x v="16"/>
    <x v="0"/>
    <x v="0"/>
    <s v="Embossed Ink Jet Note Cards"/>
    <x v="3895"/>
    <n v="2"/>
    <n v="12.64"/>
    <x v="10"/>
    <x v="2"/>
  </r>
  <r>
    <n v="45236"/>
    <x v="254"/>
    <x v="16"/>
    <x v="1"/>
    <x v="8"/>
    <s v="Executive Impressions 14&quot; Contract Wall Clock"/>
    <x v="3896"/>
    <n v="2"/>
    <n v="5.78"/>
    <x v="10"/>
    <x v="2"/>
  </r>
  <r>
    <n v="45236"/>
    <x v="254"/>
    <x v="16"/>
    <x v="0"/>
    <x v="0"/>
    <s v="Eaton Premium Continuous-Feed Paper, 25% Cotton, Letter Size, White, 1000 Shts/Box"/>
    <x v="1100"/>
    <n v="2"/>
    <n v="31.07"/>
    <x v="10"/>
    <x v="2"/>
  </r>
  <r>
    <n v="45236"/>
    <x v="576"/>
    <x v="3"/>
    <x v="0"/>
    <x v="2"/>
    <s v="Eldon Portable Mobile Manager"/>
    <x v="3897"/>
    <n v="3"/>
    <n v="22.91"/>
    <x v="10"/>
    <x v="2"/>
  </r>
  <r>
    <n v="45237"/>
    <x v="655"/>
    <x v="22"/>
    <x v="0"/>
    <x v="3"/>
    <s v="Wilson Jones International Size A4 Ring Binders"/>
    <x v="3898"/>
    <n v="2"/>
    <n v="9.69"/>
    <x v="10"/>
    <x v="2"/>
  </r>
  <r>
    <n v="45237"/>
    <x v="673"/>
    <x v="3"/>
    <x v="0"/>
    <x v="3"/>
    <s v="Fellowes Binding Cases"/>
    <x v="3899"/>
    <n v="4"/>
    <n v="11.7"/>
    <x v="10"/>
    <x v="2"/>
  </r>
  <r>
    <n v="45237"/>
    <x v="673"/>
    <x v="3"/>
    <x v="0"/>
    <x v="3"/>
    <s v="Ibico Plastic and Wire Spiral Binding Combs"/>
    <x v="1984"/>
    <n v="4"/>
    <n v="8.77"/>
    <x v="10"/>
    <x v="2"/>
  </r>
  <r>
    <n v="45237"/>
    <x v="673"/>
    <x v="3"/>
    <x v="0"/>
    <x v="14"/>
    <s v="Acme Preferred Stainless Steel Scissors"/>
    <x v="21"/>
    <n v="2"/>
    <n v="3.29"/>
    <x v="10"/>
    <x v="2"/>
  </r>
  <r>
    <n v="45237"/>
    <x v="673"/>
    <x v="3"/>
    <x v="0"/>
    <x v="1"/>
    <s v="Avery 486"/>
    <x v="471"/>
    <n v="2"/>
    <n v="6.87"/>
    <x v="10"/>
    <x v="2"/>
  </r>
  <r>
    <n v="45237"/>
    <x v="595"/>
    <x v="3"/>
    <x v="1"/>
    <x v="8"/>
    <s v="C-Line Magnetic Cubicle Keepers, Clear Polypropylene"/>
    <x v="3704"/>
    <n v="3"/>
    <n v="6.22"/>
    <x v="10"/>
    <x v="2"/>
  </r>
  <r>
    <n v="45237"/>
    <x v="491"/>
    <x v="10"/>
    <x v="2"/>
    <x v="9"/>
    <s v="Plantronics Audio 478 Stereo USB Headset"/>
    <x v="1143"/>
    <n v="3"/>
    <n v="22.5"/>
    <x v="10"/>
    <x v="2"/>
  </r>
  <r>
    <n v="45237"/>
    <x v="204"/>
    <x v="23"/>
    <x v="0"/>
    <x v="7"/>
    <s v="Rubber Band Ball"/>
    <x v="3900"/>
    <n v="4"/>
    <n v="0.3"/>
    <x v="10"/>
    <x v="2"/>
  </r>
  <r>
    <n v="45237"/>
    <x v="577"/>
    <x v="3"/>
    <x v="0"/>
    <x v="0"/>
    <s v="Wirebound Four 2-3/4 x 5 Forms per Page, 400 Sets per Book"/>
    <x v="3901"/>
    <n v="2"/>
    <n v="6.32"/>
    <x v="10"/>
    <x v="2"/>
  </r>
  <r>
    <n v="45237"/>
    <x v="415"/>
    <x v="46"/>
    <x v="1"/>
    <x v="5"/>
    <s v="Global Troy Executive Leather Low-Back Tilter"/>
    <x v="3583"/>
    <n v="4"/>
    <n v="100.2"/>
    <x v="10"/>
    <x v="2"/>
  </r>
  <r>
    <n v="45237"/>
    <x v="399"/>
    <x v="20"/>
    <x v="2"/>
    <x v="6"/>
    <s v="AT&amp;T SB67148 SynJ"/>
    <x v="592"/>
    <n v="4"/>
    <n v="71.27"/>
    <x v="10"/>
    <x v="2"/>
  </r>
  <r>
    <n v="45237"/>
    <x v="399"/>
    <x v="20"/>
    <x v="2"/>
    <x v="6"/>
    <s v="Jabra Supreme Plus Driver EditionÂ Headset"/>
    <x v="3902"/>
    <n v="3"/>
    <n v="100.79"/>
    <x v="10"/>
    <x v="2"/>
  </r>
  <r>
    <n v="45237"/>
    <x v="399"/>
    <x v="20"/>
    <x v="0"/>
    <x v="0"/>
    <s v="Xerox 23"/>
    <x v="115"/>
    <n v="2"/>
    <n v="6.22"/>
    <x v="10"/>
    <x v="2"/>
  </r>
  <r>
    <n v="45237"/>
    <x v="399"/>
    <x v="20"/>
    <x v="0"/>
    <x v="2"/>
    <s v="Eldon Base for stackable storage shelf, platinum"/>
    <x v="3903"/>
    <n v="3"/>
    <n v="5.84"/>
    <x v="10"/>
    <x v="2"/>
  </r>
  <r>
    <n v="45237"/>
    <x v="399"/>
    <x v="20"/>
    <x v="0"/>
    <x v="3"/>
    <s v="Ibico EB-19 Dual Function Manual Binding System"/>
    <x v="3560"/>
    <n v="2"/>
    <n v="89.95"/>
    <x v="10"/>
    <x v="2"/>
  </r>
  <r>
    <n v="45237"/>
    <x v="283"/>
    <x v="0"/>
    <x v="1"/>
    <x v="8"/>
    <s v="Executive Impressions 14&quot; Contract Wall Clock with Quartz Movement"/>
    <x v="1519"/>
    <n v="5"/>
    <n v="-17.78"/>
    <x v="10"/>
    <x v="2"/>
  </r>
  <r>
    <n v="45237"/>
    <x v="283"/>
    <x v="0"/>
    <x v="0"/>
    <x v="2"/>
    <s v="Mini 13-1/2 Capacity Data Binder Rack, Pearl"/>
    <x v="3904"/>
    <n v="3"/>
    <n v="19.63"/>
    <x v="10"/>
    <x v="2"/>
  </r>
  <r>
    <n v="45237"/>
    <x v="44"/>
    <x v="3"/>
    <x v="2"/>
    <x v="9"/>
    <s v="NETGEAR AC1750 Dual Band GigabitÂ Smart WiFi Router"/>
    <x v="145"/>
    <n v="3"/>
    <n v="163.19"/>
    <x v="10"/>
    <x v="2"/>
  </r>
  <r>
    <n v="45237"/>
    <x v="437"/>
    <x v="3"/>
    <x v="0"/>
    <x v="3"/>
    <s v="GBC VeloBinder Manual Binding System"/>
    <x v="3046"/>
    <n v="2"/>
    <n v="20.149999999999999"/>
    <x v="10"/>
    <x v="2"/>
  </r>
  <r>
    <n v="45238"/>
    <x v="704"/>
    <x v="5"/>
    <x v="1"/>
    <x v="11"/>
    <s v="Bush Somerset Collection Bookcase"/>
    <x v="3905"/>
    <n v="2"/>
    <n v="41.91"/>
    <x v="10"/>
    <x v="2"/>
  </r>
  <r>
    <n v="45238"/>
    <x v="704"/>
    <x v="5"/>
    <x v="1"/>
    <x v="5"/>
    <s v="Hon Deluxe Fabric Upholstered Stacking Chairs, Rounded Back"/>
    <x v="3906"/>
    <n v="3"/>
    <n v="219.58"/>
    <x v="10"/>
    <x v="2"/>
  </r>
  <r>
    <n v="45239"/>
    <x v="413"/>
    <x v="3"/>
    <x v="2"/>
    <x v="9"/>
    <s v="Logitech Wireless Gaming Headset G930"/>
    <x v="145"/>
    <n v="3"/>
    <n v="177.59"/>
    <x v="10"/>
    <x v="2"/>
  </r>
  <r>
    <n v="45240"/>
    <x v="593"/>
    <x v="3"/>
    <x v="0"/>
    <x v="2"/>
    <s v="File Shuttle I and Handi-File"/>
    <x v="2140"/>
    <n v="7"/>
    <n v="42.07"/>
    <x v="10"/>
    <x v="2"/>
  </r>
  <r>
    <n v="45240"/>
    <x v="593"/>
    <x v="3"/>
    <x v="0"/>
    <x v="3"/>
    <s v="Binding Machine Supplies"/>
    <x v="1663"/>
    <n v="3"/>
    <n v="24.5"/>
    <x v="10"/>
    <x v="2"/>
  </r>
  <r>
    <n v="45240"/>
    <x v="684"/>
    <x v="3"/>
    <x v="0"/>
    <x v="3"/>
    <s v="ACCOHIDE 3-Ring Binder, Blue, 1&quot;"/>
    <x v="3740"/>
    <n v="4"/>
    <n v="4.46"/>
    <x v="10"/>
    <x v="2"/>
  </r>
  <r>
    <n v="45240"/>
    <x v="684"/>
    <x v="3"/>
    <x v="0"/>
    <x v="0"/>
    <s v="Xerox 1996"/>
    <x v="331"/>
    <n v="5"/>
    <n v="15.55"/>
    <x v="10"/>
    <x v="2"/>
  </r>
  <r>
    <n v="45240"/>
    <x v="587"/>
    <x v="4"/>
    <x v="0"/>
    <x v="4"/>
    <s v="Newell 315"/>
    <x v="2821"/>
    <n v="7"/>
    <n v="10.47"/>
    <x v="10"/>
    <x v="2"/>
  </r>
  <r>
    <n v="45240"/>
    <x v="192"/>
    <x v="10"/>
    <x v="0"/>
    <x v="14"/>
    <s v="Staple remover"/>
    <x v="3907"/>
    <n v="5"/>
    <n v="-3.31"/>
    <x v="10"/>
    <x v="2"/>
  </r>
  <r>
    <n v="45240"/>
    <x v="192"/>
    <x v="10"/>
    <x v="0"/>
    <x v="2"/>
    <s v="Acco Perma 4000 Stacking Storage Drawers"/>
    <x v="1614"/>
    <n v="3"/>
    <n v="-2.44"/>
    <x v="10"/>
    <x v="2"/>
  </r>
  <r>
    <n v="45240"/>
    <x v="367"/>
    <x v="10"/>
    <x v="0"/>
    <x v="1"/>
    <s v="Avery File Folder Labels"/>
    <x v="2910"/>
    <n v="4"/>
    <n v="3.34"/>
    <x v="10"/>
    <x v="2"/>
  </r>
  <r>
    <n v="45240"/>
    <x v="367"/>
    <x v="10"/>
    <x v="2"/>
    <x v="6"/>
    <s v="Square Credit Card Reader"/>
    <x v="2237"/>
    <n v="7"/>
    <n v="-9.7899999999999991"/>
    <x v="10"/>
    <x v="2"/>
  </r>
  <r>
    <n v="45240"/>
    <x v="367"/>
    <x v="10"/>
    <x v="0"/>
    <x v="0"/>
    <s v="Xerox 1882"/>
    <x v="2969"/>
    <n v="2"/>
    <n v="32.47"/>
    <x v="10"/>
    <x v="2"/>
  </r>
  <r>
    <n v="45240"/>
    <x v="367"/>
    <x v="10"/>
    <x v="0"/>
    <x v="0"/>
    <s v="Wirebound Message Books, Four 2 3/4&quot; x 5&quot; Forms per Page, 600 Sets per Book"/>
    <x v="3908"/>
    <n v="3"/>
    <n v="7.51"/>
    <x v="10"/>
    <x v="2"/>
  </r>
  <r>
    <n v="45240"/>
    <x v="367"/>
    <x v="10"/>
    <x v="0"/>
    <x v="12"/>
    <s v="Eureka The Boss Plus 12-Amp Hard Box Upright Vacuum, Red"/>
    <x v="3909"/>
    <n v="4"/>
    <n v="29.3"/>
    <x v="10"/>
    <x v="2"/>
  </r>
  <r>
    <n v="45240"/>
    <x v="367"/>
    <x v="10"/>
    <x v="1"/>
    <x v="8"/>
    <s v="DAX Natural Wood-Tone Poster Frame"/>
    <x v="3910"/>
    <n v="7"/>
    <n v="29.66"/>
    <x v="10"/>
    <x v="2"/>
  </r>
  <r>
    <n v="45240"/>
    <x v="367"/>
    <x v="10"/>
    <x v="0"/>
    <x v="0"/>
    <s v="Xerox 1924"/>
    <x v="973"/>
    <n v="1"/>
    <n v="1.68"/>
    <x v="10"/>
    <x v="2"/>
  </r>
  <r>
    <n v="45240"/>
    <x v="367"/>
    <x v="10"/>
    <x v="2"/>
    <x v="9"/>
    <s v="Memorex 25GB 6X Branded Blu-Ray Recordable Disc, 30/Pack"/>
    <x v="3911"/>
    <n v="7"/>
    <n v="-29.07"/>
    <x v="10"/>
    <x v="2"/>
  </r>
  <r>
    <n v="45240"/>
    <x v="367"/>
    <x v="10"/>
    <x v="0"/>
    <x v="3"/>
    <s v="GBC Twin Loop Wire Binding Elements"/>
    <x v="3912"/>
    <n v="7"/>
    <n v="-46.59"/>
    <x v="10"/>
    <x v="2"/>
  </r>
  <r>
    <n v="45240"/>
    <x v="282"/>
    <x v="0"/>
    <x v="2"/>
    <x v="9"/>
    <s v="Kensington SlimBlade Notebook Wireless Mouse with Nano Receiver"/>
    <x v="3913"/>
    <n v="7"/>
    <n v="48.99"/>
    <x v="10"/>
    <x v="2"/>
  </r>
  <r>
    <n v="45240"/>
    <x v="666"/>
    <x v="24"/>
    <x v="1"/>
    <x v="8"/>
    <s v="3M Polarizing Light Filter Sleeves"/>
    <x v="1325"/>
    <n v="2"/>
    <n v="17.16"/>
    <x v="10"/>
    <x v="2"/>
  </r>
  <r>
    <n v="45240"/>
    <x v="666"/>
    <x v="24"/>
    <x v="0"/>
    <x v="3"/>
    <s v="Wilson Jones Ledger-Size, Piano-Hinge Binder, 2&quot;, Blue"/>
    <x v="105"/>
    <n v="2"/>
    <n v="39.340000000000003"/>
    <x v="10"/>
    <x v="2"/>
  </r>
  <r>
    <n v="45240"/>
    <x v="562"/>
    <x v="20"/>
    <x v="0"/>
    <x v="3"/>
    <s v="Canvas Sectional Post Binders"/>
    <x v="3914"/>
    <n v="1"/>
    <n v="7.38"/>
    <x v="10"/>
    <x v="2"/>
  </r>
  <r>
    <n v="45240"/>
    <x v="562"/>
    <x v="20"/>
    <x v="0"/>
    <x v="3"/>
    <s v="Wilson Jones Century Plastic Molded Ring Binders"/>
    <x v="1782"/>
    <n v="3"/>
    <n v="16.82"/>
    <x v="10"/>
    <x v="2"/>
  </r>
  <r>
    <n v="45240"/>
    <x v="170"/>
    <x v="3"/>
    <x v="0"/>
    <x v="0"/>
    <s v="Embossed Ink Jet Note Cards"/>
    <x v="3915"/>
    <n v="3"/>
    <n v="32.5"/>
    <x v="10"/>
    <x v="2"/>
  </r>
  <r>
    <n v="45240"/>
    <x v="170"/>
    <x v="3"/>
    <x v="0"/>
    <x v="12"/>
    <s v="Belkin F9S820V06 8 Outlet Surge"/>
    <x v="1096"/>
    <n v="4"/>
    <n v="38.979999999999997"/>
    <x v="10"/>
    <x v="2"/>
  </r>
  <r>
    <n v="45240"/>
    <x v="170"/>
    <x v="3"/>
    <x v="1"/>
    <x v="8"/>
    <s v="Howard Miller 11-1/2&quot; Diameter Ridgewood Wall Clock"/>
    <x v="3916"/>
    <n v="9"/>
    <n v="191.66"/>
    <x v="10"/>
    <x v="2"/>
  </r>
  <r>
    <n v="45240"/>
    <x v="170"/>
    <x v="3"/>
    <x v="0"/>
    <x v="0"/>
    <s v="Xerox 1933"/>
    <x v="2416"/>
    <n v="5"/>
    <n v="28.86"/>
    <x v="10"/>
    <x v="2"/>
  </r>
  <r>
    <n v="45240"/>
    <x v="170"/>
    <x v="3"/>
    <x v="0"/>
    <x v="2"/>
    <s v="Standard Rollaway File with Lock"/>
    <x v="3917"/>
    <n v="4"/>
    <n v="187.4"/>
    <x v="10"/>
    <x v="2"/>
  </r>
  <r>
    <n v="45240"/>
    <x v="170"/>
    <x v="3"/>
    <x v="0"/>
    <x v="3"/>
    <s v="Peel &amp; Stick Add-On Corner Pockets"/>
    <x v="193"/>
    <n v="3"/>
    <n v="1.81"/>
    <x v="10"/>
    <x v="2"/>
  </r>
  <r>
    <n v="45240"/>
    <x v="170"/>
    <x v="3"/>
    <x v="0"/>
    <x v="4"/>
    <s v="Newell 338"/>
    <x v="2742"/>
    <n v="5"/>
    <n v="3.97"/>
    <x v="10"/>
    <x v="2"/>
  </r>
  <r>
    <n v="45240"/>
    <x v="151"/>
    <x v="3"/>
    <x v="1"/>
    <x v="8"/>
    <s v="Eldon Expressions Wood and Plastic Desk Accessories, Oak"/>
    <x v="1375"/>
    <n v="1"/>
    <n v="2.79"/>
    <x v="10"/>
    <x v="2"/>
  </r>
  <r>
    <n v="45240"/>
    <x v="644"/>
    <x v="3"/>
    <x v="0"/>
    <x v="2"/>
    <s v="Acco Perma 2700 Stacking Storage Drawers"/>
    <x v="3918"/>
    <n v="1"/>
    <n v="4.46"/>
    <x v="10"/>
    <x v="2"/>
  </r>
  <r>
    <n v="45240"/>
    <x v="9"/>
    <x v="10"/>
    <x v="0"/>
    <x v="0"/>
    <s v="Xerox 227"/>
    <x v="792"/>
    <n v="6"/>
    <n v="10.89"/>
    <x v="10"/>
    <x v="2"/>
  </r>
  <r>
    <n v="45240"/>
    <x v="48"/>
    <x v="39"/>
    <x v="2"/>
    <x v="6"/>
    <s v="Samsung Convoy 3"/>
    <x v="3919"/>
    <n v="2"/>
    <n v="62.15"/>
    <x v="10"/>
    <x v="2"/>
  </r>
  <r>
    <n v="45240"/>
    <x v="48"/>
    <x v="39"/>
    <x v="1"/>
    <x v="11"/>
    <s v="Sauder Facets Collection Library, Sky Alder Finish"/>
    <x v="1635"/>
    <n v="2"/>
    <n v="54.71"/>
    <x v="10"/>
    <x v="2"/>
  </r>
  <r>
    <n v="45240"/>
    <x v="72"/>
    <x v="20"/>
    <x v="0"/>
    <x v="3"/>
    <s v="Presstex Flexible Ring Binders"/>
    <x v="2788"/>
    <n v="1"/>
    <n v="1.37"/>
    <x v="10"/>
    <x v="2"/>
  </r>
  <r>
    <n v="45240"/>
    <x v="72"/>
    <x v="20"/>
    <x v="2"/>
    <x v="6"/>
    <s v="BlackBerry Q10"/>
    <x v="502"/>
    <n v="7"/>
    <n v="220.48"/>
    <x v="10"/>
    <x v="2"/>
  </r>
  <r>
    <n v="45241"/>
    <x v="741"/>
    <x v="20"/>
    <x v="2"/>
    <x v="9"/>
    <s v="Micropad Numeric Keypads"/>
    <x v="2388"/>
    <n v="3"/>
    <n v="14.99"/>
    <x v="10"/>
    <x v="2"/>
  </r>
  <r>
    <n v="45241"/>
    <x v="741"/>
    <x v="20"/>
    <x v="0"/>
    <x v="2"/>
    <s v="Safco Steel Mobile File Cart"/>
    <x v="3920"/>
    <n v="1"/>
    <n v="20.84"/>
    <x v="10"/>
    <x v="2"/>
  </r>
  <r>
    <n v="45241"/>
    <x v="653"/>
    <x v="1"/>
    <x v="2"/>
    <x v="9"/>
    <s v="Belkin F8E887 USB Wired Ergonomic Keyboard"/>
    <x v="574"/>
    <n v="4"/>
    <n v="1.2"/>
    <x v="10"/>
    <x v="2"/>
  </r>
  <r>
    <n v="45241"/>
    <x v="653"/>
    <x v="1"/>
    <x v="1"/>
    <x v="5"/>
    <s v="Global Chrome Stack Chair"/>
    <x v="1435"/>
    <n v="2"/>
    <n v="-2.06"/>
    <x v="10"/>
    <x v="2"/>
  </r>
  <r>
    <n v="45241"/>
    <x v="437"/>
    <x v="14"/>
    <x v="2"/>
    <x v="6"/>
    <s v="Digium D40 VoIP phone"/>
    <x v="1181"/>
    <n v="2"/>
    <n v="74.81"/>
    <x v="10"/>
    <x v="2"/>
  </r>
  <r>
    <n v="45241"/>
    <x v="328"/>
    <x v="3"/>
    <x v="1"/>
    <x v="8"/>
    <s v="Eldon Regeneration Recycled Desk Accessories, Smoke"/>
    <x v="3921"/>
    <n v="4"/>
    <n v="2.23"/>
    <x v="10"/>
    <x v="2"/>
  </r>
  <r>
    <n v="45241"/>
    <x v="162"/>
    <x v="16"/>
    <x v="0"/>
    <x v="3"/>
    <s v="Ibico Standard Transparent Covers"/>
    <x v="3922"/>
    <n v="2"/>
    <n v="-6.92"/>
    <x v="10"/>
    <x v="2"/>
  </r>
  <r>
    <n v="45241"/>
    <x v="162"/>
    <x v="16"/>
    <x v="0"/>
    <x v="12"/>
    <s v="Sanyo 2.5 Cubic Foot Mid-Size Office Refrigerators"/>
    <x v="3923"/>
    <n v="3"/>
    <n v="50.37"/>
    <x v="10"/>
    <x v="2"/>
  </r>
  <r>
    <n v="45241"/>
    <x v="615"/>
    <x v="20"/>
    <x v="0"/>
    <x v="2"/>
    <s v="Staple magnet"/>
    <x v="3924"/>
    <n v="3"/>
    <n v="7.88"/>
    <x v="10"/>
    <x v="2"/>
  </r>
  <r>
    <n v="45241"/>
    <x v="615"/>
    <x v="20"/>
    <x v="2"/>
    <x v="9"/>
    <s v="KeyTronicÂ E03601U1 -Â KeyboardÂ - Beige"/>
    <x v="3925"/>
    <n v="2"/>
    <n v="6.48"/>
    <x v="10"/>
    <x v="2"/>
  </r>
  <r>
    <n v="45241"/>
    <x v="615"/>
    <x v="20"/>
    <x v="0"/>
    <x v="4"/>
    <s v="Boston School Pro Electric Pencil Sharpener, 1670"/>
    <x v="805"/>
    <n v="3"/>
    <n v="25.09"/>
    <x v="10"/>
    <x v="2"/>
  </r>
  <r>
    <n v="45241"/>
    <x v="615"/>
    <x v="20"/>
    <x v="1"/>
    <x v="5"/>
    <s v="Global Wood Trimmed Manager's Task Chair, Khaki"/>
    <x v="3926"/>
    <n v="3"/>
    <n v="8.19"/>
    <x v="10"/>
    <x v="2"/>
  </r>
  <r>
    <n v="45241"/>
    <x v="615"/>
    <x v="20"/>
    <x v="0"/>
    <x v="3"/>
    <s v="Deluxe Heavy-Duty Vinyl Round Ring Binder"/>
    <x v="3927"/>
    <n v="3"/>
    <n v="17.190000000000001"/>
    <x v="10"/>
    <x v="2"/>
  </r>
  <r>
    <n v="45241"/>
    <x v="615"/>
    <x v="20"/>
    <x v="0"/>
    <x v="3"/>
    <s v="XtraLife ClearVue Slant-D Ring Binder, White, 3&quot;"/>
    <x v="3928"/>
    <n v="3"/>
    <n v="11.45"/>
    <x v="10"/>
    <x v="2"/>
  </r>
  <r>
    <n v="45241"/>
    <x v="269"/>
    <x v="3"/>
    <x v="1"/>
    <x v="8"/>
    <s v="Magnifier Swing Arm Lamp"/>
    <x v="2237"/>
    <n v="2"/>
    <n v="10.91"/>
    <x v="10"/>
    <x v="2"/>
  </r>
  <r>
    <n v="45241"/>
    <x v="269"/>
    <x v="3"/>
    <x v="1"/>
    <x v="5"/>
    <s v="Hon Every-Day Series Multi-Task Chairs"/>
    <x v="3929"/>
    <n v="3"/>
    <n v="0"/>
    <x v="10"/>
    <x v="2"/>
  </r>
  <r>
    <n v="45241"/>
    <x v="269"/>
    <x v="3"/>
    <x v="0"/>
    <x v="3"/>
    <s v="Avery Poly Binder Pockets"/>
    <x v="1979"/>
    <n v="11"/>
    <n v="11.03"/>
    <x v="10"/>
    <x v="2"/>
  </r>
  <r>
    <n v="45241"/>
    <x v="756"/>
    <x v="18"/>
    <x v="1"/>
    <x v="13"/>
    <s v="Balt Solid Wood Round Tables"/>
    <x v="3930"/>
    <n v="6"/>
    <n v="241.1"/>
    <x v="10"/>
    <x v="2"/>
  </r>
  <r>
    <n v="45241"/>
    <x v="774"/>
    <x v="1"/>
    <x v="0"/>
    <x v="4"/>
    <s v="Newell 332"/>
    <x v="1787"/>
    <n v="6"/>
    <n v="1.23"/>
    <x v="10"/>
    <x v="2"/>
  </r>
  <r>
    <n v="45242"/>
    <x v="102"/>
    <x v="12"/>
    <x v="0"/>
    <x v="3"/>
    <s v="Avery Durable Slant Ring Binders With Label Holder"/>
    <x v="3931"/>
    <n v="5"/>
    <n v="-4.5999999999999996"/>
    <x v="10"/>
    <x v="2"/>
  </r>
  <r>
    <n v="45242"/>
    <x v="102"/>
    <x v="12"/>
    <x v="0"/>
    <x v="3"/>
    <s v="Round Ring Binders"/>
    <x v="621"/>
    <n v="7"/>
    <n v="-3.35"/>
    <x v="10"/>
    <x v="2"/>
  </r>
  <r>
    <n v="45242"/>
    <x v="102"/>
    <x v="12"/>
    <x v="2"/>
    <x v="9"/>
    <s v="Micropad Numeric Keypads"/>
    <x v="665"/>
    <n v="2"/>
    <n v="2"/>
    <x v="10"/>
    <x v="2"/>
  </r>
  <r>
    <n v="45242"/>
    <x v="136"/>
    <x v="18"/>
    <x v="0"/>
    <x v="10"/>
    <s v="Tyvek  Top-Opening Peel &amp; Seel  Envelopes, Gray"/>
    <x v="3932"/>
    <n v="8"/>
    <n v="129.38"/>
    <x v="10"/>
    <x v="2"/>
  </r>
  <r>
    <n v="45242"/>
    <x v="136"/>
    <x v="18"/>
    <x v="0"/>
    <x v="12"/>
    <s v="Belkin F9H710-06 7 Outlet SurgeMaster Surge Protector"/>
    <x v="1859"/>
    <n v="2"/>
    <n v="10.55"/>
    <x v="10"/>
    <x v="2"/>
  </r>
  <r>
    <n v="45242"/>
    <x v="136"/>
    <x v="18"/>
    <x v="0"/>
    <x v="0"/>
    <s v="Xerox 1896"/>
    <x v="381"/>
    <n v="2"/>
    <n v="8.99"/>
    <x v="10"/>
    <x v="2"/>
  </r>
  <r>
    <n v="45242"/>
    <x v="136"/>
    <x v="18"/>
    <x v="0"/>
    <x v="4"/>
    <s v="Newell 332"/>
    <x v="3933"/>
    <n v="7"/>
    <n v="5.56"/>
    <x v="10"/>
    <x v="2"/>
  </r>
  <r>
    <n v="45242"/>
    <x v="136"/>
    <x v="18"/>
    <x v="0"/>
    <x v="3"/>
    <s v="Cardinal Slant-D Ring Binders"/>
    <x v="3934"/>
    <n v="2"/>
    <n v="8.69"/>
    <x v="10"/>
    <x v="2"/>
  </r>
  <r>
    <n v="45242"/>
    <x v="530"/>
    <x v="10"/>
    <x v="1"/>
    <x v="5"/>
    <s v="Global Leather and Oak Executive Chair, Black"/>
    <x v="3935"/>
    <n v="7"/>
    <n v="-21.07"/>
    <x v="10"/>
    <x v="2"/>
  </r>
  <r>
    <n v="45242"/>
    <x v="530"/>
    <x v="10"/>
    <x v="0"/>
    <x v="12"/>
    <s v="Holmes Replacement Filter for HEPA Air Cleaner, Very Large Room, HEPA Filter"/>
    <x v="3936"/>
    <n v="2"/>
    <n v="33.03"/>
    <x v="10"/>
    <x v="2"/>
  </r>
  <r>
    <n v="45242"/>
    <x v="530"/>
    <x v="10"/>
    <x v="0"/>
    <x v="7"/>
    <s v="OIC Bulk Pack Metal Binder Clips"/>
    <x v="3937"/>
    <n v="6"/>
    <n v="5.44"/>
    <x v="10"/>
    <x v="2"/>
  </r>
  <r>
    <n v="45242"/>
    <x v="530"/>
    <x v="10"/>
    <x v="1"/>
    <x v="5"/>
    <s v="Hon Deluxe Fabric Upholstered Stacking Chairs, Rounded Back"/>
    <x v="3938"/>
    <n v="9"/>
    <n v="0"/>
    <x v="10"/>
    <x v="2"/>
  </r>
  <r>
    <n v="45242"/>
    <x v="530"/>
    <x v="10"/>
    <x v="1"/>
    <x v="5"/>
    <s v="Hon 4070 Series Pagoda Round Back Stacking Chairs"/>
    <x v="3939"/>
    <n v="2"/>
    <n v="-12.84"/>
    <x v="10"/>
    <x v="2"/>
  </r>
  <r>
    <n v="45242"/>
    <x v="233"/>
    <x v="3"/>
    <x v="2"/>
    <x v="6"/>
    <s v="Panasonic KX TS3282W Corded phone"/>
    <x v="3940"/>
    <n v="3"/>
    <n v="25.5"/>
    <x v="10"/>
    <x v="2"/>
  </r>
  <r>
    <n v="45242"/>
    <x v="233"/>
    <x v="3"/>
    <x v="1"/>
    <x v="13"/>
    <s v="Global Adaptabilities Conference Tables"/>
    <x v="714"/>
    <n v="3"/>
    <n v="-8.43"/>
    <x v="10"/>
    <x v="2"/>
  </r>
  <r>
    <n v="45242"/>
    <x v="153"/>
    <x v="1"/>
    <x v="1"/>
    <x v="8"/>
    <s v="DAX Charcoal/Nickel-Tone Document Frame, 5 x 7"/>
    <x v="3314"/>
    <n v="6"/>
    <n v="-8.5299999999999994"/>
    <x v="10"/>
    <x v="2"/>
  </r>
  <r>
    <n v="45243"/>
    <x v="365"/>
    <x v="22"/>
    <x v="0"/>
    <x v="4"/>
    <s v="Boston 16801 Nautilus Battery Pencil Sharpener"/>
    <x v="3941"/>
    <n v="2"/>
    <n v="11.45"/>
    <x v="10"/>
    <x v="2"/>
  </r>
  <r>
    <n v="45243"/>
    <x v="106"/>
    <x v="25"/>
    <x v="0"/>
    <x v="14"/>
    <s v="Acme Forged Steel Scissors with Black Enamel Handles"/>
    <x v="3942"/>
    <n v="7"/>
    <n v="5.87"/>
    <x v="10"/>
    <x v="2"/>
  </r>
  <r>
    <n v="45243"/>
    <x v="775"/>
    <x v="22"/>
    <x v="1"/>
    <x v="8"/>
    <s v="Eldon Image Series Desk Accessories, Burgundy"/>
    <x v="3886"/>
    <n v="1"/>
    <n v="1.5"/>
    <x v="10"/>
    <x v="2"/>
  </r>
  <r>
    <n v="45243"/>
    <x v="684"/>
    <x v="2"/>
    <x v="0"/>
    <x v="0"/>
    <s v="White Computer Printout Paper by Universal"/>
    <x v="3943"/>
    <n v="7"/>
    <n v="78.680000000000007"/>
    <x v="10"/>
    <x v="2"/>
  </r>
  <r>
    <n v="45243"/>
    <x v="162"/>
    <x v="1"/>
    <x v="0"/>
    <x v="3"/>
    <s v="XtraLife ClearVue Slant-D Ring Binders by Cardinal"/>
    <x v="3944"/>
    <n v="2"/>
    <n v="-4.7"/>
    <x v="10"/>
    <x v="2"/>
  </r>
  <r>
    <n v="45243"/>
    <x v="38"/>
    <x v="20"/>
    <x v="0"/>
    <x v="2"/>
    <s v="Tenex File Box, Personal Filing Tote with Lid, Black"/>
    <x v="2011"/>
    <n v="5"/>
    <n v="20.16"/>
    <x v="10"/>
    <x v="2"/>
  </r>
  <r>
    <n v="45243"/>
    <x v="38"/>
    <x v="20"/>
    <x v="0"/>
    <x v="2"/>
    <s v="Eldon Simplefile Box Office"/>
    <x v="3945"/>
    <n v="2"/>
    <n v="6.97"/>
    <x v="10"/>
    <x v="2"/>
  </r>
  <r>
    <n v="45243"/>
    <x v="38"/>
    <x v="20"/>
    <x v="0"/>
    <x v="4"/>
    <s v="Boston Electric Pencil Sharpener, Model 1818, Charcoal Black"/>
    <x v="2117"/>
    <n v="5"/>
    <n v="39.409999999999997"/>
    <x v="10"/>
    <x v="2"/>
  </r>
  <r>
    <n v="45243"/>
    <x v="38"/>
    <x v="20"/>
    <x v="0"/>
    <x v="2"/>
    <s v="Portable Personal File Box"/>
    <x v="1263"/>
    <n v="3"/>
    <n v="9.89"/>
    <x v="10"/>
    <x v="2"/>
  </r>
  <r>
    <n v="45243"/>
    <x v="324"/>
    <x v="39"/>
    <x v="1"/>
    <x v="8"/>
    <s v="Master Giant Foot Doorstop, Safety Yellow"/>
    <x v="1572"/>
    <n v="4"/>
    <n v="13.05"/>
    <x v="10"/>
    <x v="2"/>
  </r>
  <r>
    <n v="45243"/>
    <x v="619"/>
    <x v="20"/>
    <x v="2"/>
    <x v="6"/>
    <s v="Xiaomi Mi3"/>
    <x v="3946"/>
    <n v="4"/>
    <n v="592.79"/>
    <x v="10"/>
    <x v="2"/>
  </r>
  <r>
    <n v="45243"/>
    <x v="619"/>
    <x v="20"/>
    <x v="0"/>
    <x v="1"/>
    <s v="Avery 499"/>
    <x v="98"/>
    <n v="3"/>
    <n v="6.87"/>
    <x v="10"/>
    <x v="2"/>
  </r>
  <r>
    <n v="45243"/>
    <x v="675"/>
    <x v="22"/>
    <x v="1"/>
    <x v="8"/>
    <s v="DAX Solid Wood Frames"/>
    <x v="4"/>
    <n v="2"/>
    <n v="7.23"/>
    <x v="10"/>
    <x v="2"/>
  </r>
  <r>
    <n v="45244"/>
    <x v="158"/>
    <x v="4"/>
    <x v="2"/>
    <x v="9"/>
    <s v="Logitech diNovo Edge Keyboard"/>
    <x v="3947"/>
    <n v="2"/>
    <n v="115"/>
    <x v="10"/>
    <x v="2"/>
  </r>
  <r>
    <n v="45244"/>
    <x v="158"/>
    <x v="4"/>
    <x v="0"/>
    <x v="0"/>
    <s v="Xerox 4200 Series MultiUse Premium Copy Paper (20Lb. and 84 Bright)"/>
    <x v="1685"/>
    <n v="1"/>
    <n v="2.38"/>
    <x v="10"/>
    <x v="2"/>
  </r>
  <r>
    <n v="45244"/>
    <x v="158"/>
    <x v="4"/>
    <x v="0"/>
    <x v="3"/>
    <s v="ACCOHIDE 3-Ring Binder, Blue, 1&quot;"/>
    <x v="1985"/>
    <n v="2"/>
    <n v="3.88"/>
    <x v="10"/>
    <x v="2"/>
  </r>
  <r>
    <n v="45244"/>
    <x v="776"/>
    <x v="3"/>
    <x v="0"/>
    <x v="1"/>
    <s v="Avery 52"/>
    <x v="1764"/>
    <n v="2"/>
    <n v="3.47"/>
    <x v="10"/>
    <x v="2"/>
  </r>
  <r>
    <n v="45244"/>
    <x v="708"/>
    <x v="0"/>
    <x v="0"/>
    <x v="3"/>
    <s v="Binder Posts"/>
    <x v="2256"/>
    <n v="2"/>
    <n v="-3.9"/>
    <x v="10"/>
    <x v="2"/>
  </r>
  <r>
    <n v="45244"/>
    <x v="337"/>
    <x v="20"/>
    <x v="1"/>
    <x v="5"/>
    <s v="Hon GuestStacker Chair"/>
    <x v="3445"/>
    <n v="2"/>
    <n v="72.53"/>
    <x v="10"/>
    <x v="2"/>
  </r>
  <r>
    <n v="45244"/>
    <x v="337"/>
    <x v="20"/>
    <x v="0"/>
    <x v="2"/>
    <s v="Tenex Personal Project File with Scoop Front Design, Black"/>
    <x v="3948"/>
    <n v="3"/>
    <n v="10.51"/>
    <x v="10"/>
    <x v="2"/>
  </r>
  <r>
    <n v="45244"/>
    <x v="632"/>
    <x v="2"/>
    <x v="1"/>
    <x v="5"/>
    <s v="Global Ergonomic Managers Chair"/>
    <x v="3949"/>
    <n v="3"/>
    <n v="-21.72"/>
    <x v="10"/>
    <x v="2"/>
  </r>
  <r>
    <n v="45244"/>
    <x v="632"/>
    <x v="2"/>
    <x v="2"/>
    <x v="16"/>
    <s v="Sharp AL-1530CS Digital Copier"/>
    <x v="768"/>
    <n v="4"/>
    <n v="180"/>
    <x v="10"/>
    <x v="2"/>
  </r>
  <r>
    <n v="45244"/>
    <x v="632"/>
    <x v="2"/>
    <x v="1"/>
    <x v="8"/>
    <s v="DAX Contemporary Wood Frame with Silver Metal Mat, Desktop, 11 x 14 Size"/>
    <x v="2996"/>
    <n v="3"/>
    <n v="9.7200000000000006"/>
    <x v="10"/>
    <x v="2"/>
  </r>
  <r>
    <n v="45244"/>
    <x v="560"/>
    <x v="3"/>
    <x v="0"/>
    <x v="4"/>
    <s v="Newell 35"/>
    <x v="1026"/>
    <n v="3"/>
    <n v="2.85"/>
    <x v="10"/>
    <x v="2"/>
  </r>
  <r>
    <n v="45244"/>
    <x v="176"/>
    <x v="7"/>
    <x v="0"/>
    <x v="0"/>
    <s v="Tops Wirebound Message Log Books"/>
    <x v="0"/>
    <n v="5"/>
    <n v="7.57"/>
    <x v="10"/>
    <x v="2"/>
  </r>
  <r>
    <n v="45244"/>
    <x v="176"/>
    <x v="7"/>
    <x v="1"/>
    <x v="8"/>
    <s v="Stacking Trays by OIC"/>
    <x v="611"/>
    <n v="4"/>
    <n v="6.57"/>
    <x v="10"/>
    <x v="2"/>
  </r>
  <r>
    <n v="45244"/>
    <x v="361"/>
    <x v="36"/>
    <x v="2"/>
    <x v="6"/>
    <s v="BlueLounge Milo Smartphone Stand, White/Metallic"/>
    <x v="1236"/>
    <n v="3"/>
    <n v="25.19"/>
    <x v="10"/>
    <x v="2"/>
  </r>
  <r>
    <n v="45244"/>
    <x v="0"/>
    <x v="20"/>
    <x v="2"/>
    <x v="6"/>
    <s v="SmartStand Mobile Device Holder, Assorted Colors"/>
    <x v="51"/>
    <n v="2"/>
    <n v="3.91"/>
    <x v="10"/>
    <x v="2"/>
  </r>
  <r>
    <n v="45244"/>
    <x v="0"/>
    <x v="20"/>
    <x v="0"/>
    <x v="4"/>
    <s v="Boston Home &amp; Office Model 2000 Electric Pencil Sharpeners"/>
    <x v="3950"/>
    <n v="1"/>
    <n v="6.15"/>
    <x v="10"/>
    <x v="2"/>
  </r>
  <r>
    <n v="45245"/>
    <x v="660"/>
    <x v="3"/>
    <x v="2"/>
    <x v="9"/>
    <s v="ImationÂ 16GB Mini TravelDrive USB 2.0Â Flash Drive"/>
    <x v="3951"/>
    <n v="3"/>
    <n v="40.75"/>
    <x v="10"/>
    <x v="2"/>
  </r>
  <r>
    <n v="45245"/>
    <x v="614"/>
    <x v="3"/>
    <x v="0"/>
    <x v="3"/>
    <s v="Fellowes PB500 Electric Punch Plastic Comb Binding Machine with Manual Bind"/>
    <x v="3952"/>
    <n v="1"/>
    <n v="381.3"/>
    <x v="10"/>
    <x v="2"/>
  </r>
  <r>
    <n v="45245"/>
    <x v="614"/>
    <x v="3"/>
    <x v="0"/>
    <x v="3"/>
    <s v="Avery Self-Adhesive Photo Pockets for Polaroid Photos"/>
    <x v="3953"/>
    <n v="7"/>
    <n v="13.35"/>
    <x v="10"/>
    <x v="2"/>
  </r>
  <r>
    <n v="45245"/>
    <x v="123"/>
    <x v="3"/>
    <x v="2"/>
    <x v="6"/>
    <s v="Polycom SoundPoint IP 450 VoIP phone"/>
    <x v="3954"/>
    <n v="2"/>
    <n v="27.1"/>
    <x v="10"/>
    <x v="2"/>
  </r>
  <r>
    <n v="45245"/>
    <x v="402"/>
    <x v="25"/>
    <x v="1"/>
    <x v="13"/>
    <s v="Hon Racetrack Conference Tables"/>
    <x v="3955"/>
    <n v="4"/>
    <n v="-199.51"/>
    <x v="10"/>
    <x v="2"/>
  </r>
  <r>
    <n v="45246"/>
    <x v="131"/>
    <x v="31"/>
    <x v="0"/>
    <x v="10"/>
    <s v="Staple envelope"/>
    <x v="1680"/>
    <n v="5"/>
    <n v="13.35"/>
    <x v="10"/>
    <x v="2"/>
  </r>
  <r>
    <n v="45246"/>
    <x v="24"/>
    <x v="3"/>
    <x v="0"/>
    <x v="3"/>
    <s v="Round Ring Binders"/>
    <x v="160"/>
    <n v="5"/>
    <n v="2.81"/>
    <x v="10"/>
    <x v="2"/>
  </r>
  <r>
    <n v="45247"/>
    <x v="389"/>
    <x v="31"/>
    <x v="0"/>
    <x v="3"/>
    <s v="Avery Non-Stick Binders"/>
    <x v="1142"/>
    <n v="3"/>
    <n v="3.37"/>
    <x v="10"/>
    <x v="2"/>
  </r>
  <r>
    <n v="45247"/>
    <x v="497"/>
    <x v="0"/>
    <x v="2"/>
    <x v="6"/>
    <s v="Apple EarPods with Remote and Mic"/>
    <x v="1058"/>
    <n v="3"/>
    <n v="6.72"/>
    <x v="10"/>
    <x v="2"/>
  </r>
  <r>
    <n v="45247"/>
    <x v="497"/>
    <x v="0"/>
    <x v="0"/>
    <x v="0"/>
    <s v="TOPS Voice Message Log Book, Flash Format"/>
    <x v="3262"/>
    <n v="4"/>
    <n v="5.52"/>
    <x v="10"/>
    <x v="2"/>
  </r>
  <r>
    <n v="45247"/>
    <x v="631"/>
    <x v="3"/>
    <x v="0"/>
    <x v="14"/>
    <s v="Acme Tagit Stainless Steel Antibacterial Scissors"/>
    <x v="3956"/>
    <n v="5"/>
    <n v="13.37"/>
    <x v="10"/>
    <x v="2"/>
  </r>
  <r>
    <n v="45248"/>
    <x v="299"/>
    <x v="39"/>
    <x v="0"/>
    <x v="2"/>
    <s v="Tennsco Snap-Together Open Shelving Units, Starter Sets and Add-On Units"/>
    <x v="1410"/>
    <n v="4"/>
    <n v="55.9"/>
    <x v="10"/>
    <x v="2"/>
  </r>
  <r>
    <n v="45248"/>
    <x v="188"/>
    <x v="0"/>
    <x v="0"/>
    <x v="4"/>
    <s v="4009 Highlighters by Sanford"/>
    <x v="1380"/>
    <n v="2"/>
    <n v="1.03"/>
    <x v="10"/>
    <x v="2"/>
  </r>
  <r>
    <n v="45248"/>
    <x v="188"/>
    <x v="0"/>
    <x v="0"/>
    <x v="1"/>
    <s v="Avery 4027 File Folder Labels for Dot Matrix Printers, 5000 Labels per Box, White"/>
    <x v="3957"/>
    <n v="2"/>
    <n v="15.88"/>
    <x v="10"/>
    <x v="2"/>
  </r>
  <r>
    <n v="45248"/>
    <x v="188"/>
    <x v="0"/>
    <x v="0"/>
    <x v="0"/>
    <s v="Xerox 1881"/>
    <x v="578"/>
    <n v="2"/>
    <n v="6.63"/>
    <x v="10"/>
    <x v="2"/>
  </r>
  <r>
    <n v="45248"/>
    <x v="188"/>
    <x v="0"/>
    <x v="1"/>
    <x v="5"/>
    <s v="Global Value Steno Chair, Gray"/>
    <x v="3958"/>
    <n v="6"/>
    <n v="-18.22"/>
    <x v="10"/>
    <x v="2"/>
  </r>
  <r>
    <n v="45248"/>
    <x v="191"/>
    <x v="10"/>
    <x v="0"/>
    <x v="12"/>
    <s v="Holmes 99% HEPA Air Purifier"/>
    <x v="3959"/>
    <n v="6"/>
    <n v="16.89"/>
    <x v="10"/>
    <x v="2"/>
  </r>
  <r>
    <n v="45248"/>
    <x v="492"/>
    <x v="3"/>
    <x v="2"/>
    <x v="6"/>
    <s v="Grandstream GXP2100 Mainstream Business Phone"/>
    <x v="3960"/>
    <n v="1"/>
    <n v="6.12"/>
    <x v="10"/>
    <x v="2"/>
  </r>
  <r>
    <n v="45248"/>
    <x v="492"/>
    <x v="3"/>
    <x v="0"/>
    <x v="12"/>
    <s v="Fellowes Command Center 5-outlet power strip"/>
    <x v="3961"/>
    <n v="1"/>
    <n v="18.32"/>
    <x v="10"/>
    <x v="2"/>
  </r>
  <r>
    <n v="45248"/>
    <x v="63"/>
    <x v="14"/>
    <x v="1"/>
    <x v="5"/>
    <s v="Novimex Swivel Fabric Task Chair"/>
    <x v="2143"/>
    <n v="2"/>
    <n v="33.22"/>
    <x v="10"/>
    <x v="2"/>
  </r>
  <r>
    <n v="45248"/>
    <x v="385"/>
    <x v="33"/>
    <x v="2"/>
    <x v="9"/>
    <s v="LogitechÂ Z-906 Speaker sys - home theater - 5.1-CH"/>
    <x v="3962"/>
    <n v="4"/>
    <n v="527.98"/>
    <x v="10"/>
    <x v="2"/>
  </r>
  <r>
    <n v="45248"/>
    <x v="190"/>
    <x v="3"/>
    <x v="2"/>
    <x v="9"/>
    <s v="WD My Passport Ultra 2TB Portable External Hard Drive"/>
    <x v="3963"/>
    <n v="5"/>
    <n v="95.2"/>
    <x v="10"/>
    <x v="2"/>
  </r>
  <r>
    <n v="45248"/>
    <x v="737"/>
    <x v="3"/>
    <x v="0"/>
    <x v="3"/>
    <s v="Recycled Premium Regency Composition Covers"/>
    <x v="3338"/>
    <n v="5"/>
    <n v="22.16"/>
    <x v="10"/>
    <x v="2"/>
  </r>
  <r>
    <n v="45249"/>
    <x v="724"/>
    <x v="20"/>
    <x v="0"/>
    <x v="3"/>
    <s v="Avery Hanging File Binders"/>
    <x v="632"/>
    <n v="3"/>
    <n v="4.66"/>
    <x v="10"/>
    <x v="2"/>
  </r>
  <r>
    <n v="45249"/>
    <x v="724"/>
    <x v="20"/>
    <x v="0"/>
    <x v="2"/>
    <s v="Fellowes Neat Ideas Storage Cubes"/>
    <x v="92"/>
    <n v="2"/>
    <n v="2.6"/>
    <x v="10"/>
    <x v="2"/>
  </r>
  <r>
    <n v="45249"/>
    <x v="724"/>
    <x v="20"/>
    <x v="0"/>
    <x v="2"/>
    <s v="Advantus Rolling Storage Box"/>
    <x v="2124"/>
    <n v="4"/>
    <n v="18.52"/>
    <x v="10"/>
    <x v="2"/>
  </r>
  <r>
    <n v="45249"/>
    <x v="281"/>
    <x v="0"/>
    <x v="0"/>
    <x v="2"/>
    <s v="Tennsco Lockers, Gray"/>
    <x v="1491"/>
    <n v="6"/>
    <n v="-16.36"/>
    <x v="10"/>
    <x v="2"/>
  </r>
  <r>
    <n v="45249"/>
    <x v="281"/>
    <x v="0"/>
    <x v="1"/>
    <x v="8"/>
    <s v="GE General Purpose, Extra Long Life, Showcase &amp; Floodlight Incandescent Bulbs"/>
    <x v="3063"/>
    <n v="2"/>
    <n v="-0.76"/>
    <x v="10"/>
    <x v="2"/>
  </r>
  <r>
    <n v="45249"/>
    <x v="281"/>
    <x v="0"/>
    <x v="0"/>
    <x v="3"/>
    <s v="GBC Standard Recycled Report Covers, Clear Plastic Sheets"/>
    <x v="1142"/>
    <n v="5"/>
    <n v="-17.25"/>
    <x v="10"/>
    <x v="2"/>
  </r>
  <r>
    <n v="45249"/>
    <x v="281"/>
    <x v="0"/>
    <x v="0"/>
    <x v="7"/>
    <s v="Staples"/>
    <x v="3964"/>
    <n v="12"/>
    <n v="21.89"/>
    <x v="10"/>
    <x v="2"/>
  </r>
  <r>
    <n v="45249"/>
    <x v="281"/>
    <x v="0"/>
    <x v="0"/>
    <x v="10"/>
    <s v="Recycled Interoffice Envelopes with Re-Use-A-Seal Closure, 10 x 13"/>
    <x v="787"/>
    <n v="3"/>
    <n v="13.83"/>
    <x v="10"/>
    <x v="2"/>
  </r>
  <r>
    <n v="45249"/>
    <x v="281"/>
    <x v="0"/>
    <x v="2"/>
    <x v="6"/>
    <s v="invisibleSHIELD by ZAGG Smudge-Free Screen Protector"/>
    <x v="3196"/>
    <n v="5"/>
    <n v="25.19"/>
    <x v="10"/>
    <x v="2"/>
  </r>
  <r>
    <n v="45249"/>
    <x v="281"/>
    <x v="0"/>
    <x v="0"/>
    <x v="0"/>
    <s v="Xerox 1905"/>
    <x v="320"/>
    <n v="2"/>
    <n v="3.63"/>
    <x v="10"/>
    <x v="2"/>
  </r>
  <r>
    <n v="45249"/>
    <x v="281"/>
    <x v="0"/>
    <x v="0"/>
    <x v="3"/>
    <s v="Avery Hidden Tab Dividers for Binding Systems"/>
    <x v="3965"/>
    <n v="2"/>
    <n v="-2.0299999999999998"/>
    <x v="10"/>
    <x v="2"/>
  </r>
  <r>
    <n v="45249"/>
    <x v="70"/>
    <x v="20"/>
    <x v="0"/>
    <x v="4"/>
    <s v="Newell 340"/>
    <x v="1561"/>
    <n v="6"/>
    <n v="5.01"/>
    <x v="10"/>
    <x v="2"/>
  </r>
  <r>
    <n v="45249"/>
    <x v="70"/>
    <x v="20"/>
    <x v="0"/>
    <x v="3"/>
    <s v="GBC Plastic Binding Combs"/>
    <x v="3392"/>
    <n v="3"/>
    <n v="6.42"/>
    <x v="10"/>
    <x v="2"/>
  </r>
  <r>
    <n v="45249"/>
    <x v="676"/>
    <x v="18"/>
    <x v="0"/>
    <x v="12"/>
    <s v="Acco 6 Outlet Guardian Premium Plus Surge Suppressor"/>
    <x v="3966"/>
    <n v="3"/>
    <n v="15.94"/>
    <x v="10"/>
    <x v="2"/>
  </r>
  <r>
    <n v="45249"/>
    <x v="235"/>
    <x v="25"/>
    <x v="0"/>
    <x v="4"/>
    <s v="Deluxe Chalkboard Eraser Cleaner"/>
    <x v="3967"/>
    <n v="2"/>
    <n v="6.01"/>
    <x v="10"/>
    <x v="2"/>
  </r>
  <r>
    <n v="45249"/>
    <x v="11"/>
    <x v="20"/>
    <x v="0"/>
    <x v="12"/>
    <s v="Disposable Triple-Filter Dust Bags"/>
    <x v="1615"/>
    <n v="2"/>
    <n v="2.27"/>
    <x v="10"/>
    <x v="2"/>
  </r>
  <r>
    <n v="45249"/>
    <x v="11"/>
    <x v="20"/>
    <x v="0"/>
    <x v="0"/>
    <s v="Recycled Desk Saver Line &quot;While You Were Out&quot; Book, 5 1/2&quot; X 4&quot;"/>
    <x v="2839"/>
    <n v="5"/>
    <n v="20.59"/>
    <x v="10"/>
    <x v="2"/>
  </r>
  <r>
    <n v="45249"/>
    <x v="362"/>
    <x v="22"/>
    <x v="1"/>
    <x v="8"/>
    <s v="Tenex Chairmats For Use With Carpeted Floors"/>
    <x v="3968"/>
    <n v="2"/>
    <n v="1.6"/>
    <x v="10"/>
    <x v="2"/>
  </r>
  <r>
    <n v="45250"/>
    <x v="608"/>
    <x v="39"/>
    <x v="0"/>
    <x v="1"/>
    <s v="Avery 519"/>
    <x v="471"/>
    <n v="2"/>
    <n v="6.87"/>
    <x v="10"/>
    <x v="2"/>
  </r>
  <r>
    <n v="45250"/>
    <x v="608"/>
    <x v="39"/>
    <x v="2"/>
    <x v="6"/>
    <s v="Avaya 5420 Digital phone"/>
    <x v="3969"/>
    <n v="7"/>
    <n v="236.23"/>
    <x v="10"/>
    <x v="2"/>
  </r>
  <r>
    <n v="45250"/>
    <x v="327"/>
    <x v="10"/>
    <x v="0"/>
    <x v="7"/>
    <s v="Advantus SlideClip Paper Clips"/>
    <x v="3970"/>
    <n v="7"/>
    <n v="6.68"/>
    <x v="10"/>
    <x v="2"/>
  </r>
  <r>
    <n v="45250"/>
    <x v="327"/>
    <x v="10"/>
    <x v="0"/>
    <x v="1"/>
    <s v="Avery 512"/>
    <x v="535"/>
    <n v="8"/>
    <n v="6.24"/>
    <x v="10"/>
    <x v="2"/>
  </r>
  <r>
    <n v="45250"/>
    <x v="327"/>
    <x v="10"/>
    <x v="2"/>
    <x v="9"/>
    <s v="Logitech Wireless Gaming Headset G930"/>
    <x v="3971"/>
    <n v="2"/>
    <n v="54.4"/>
    <x v="10"/>
    <x v="2"/>
  </r>
  <r>
    <n v="45250"/>
    <x v="327"/>
    <x v="10"/>
    <x v="1"/>
    <x v="11"/>
    <s v="Bush Westfield Collection Bookcases, Medium Cherry Finish"/>
    <x v="3972"/>
    <n v="3"/>
    <n v="-48.7"/>
    <x v="10"/>
    <x v="2"/>
  </r>
  <r>
    <n v="45250"/>
    <x v="156"/>
    <x v="10"/>
    <x v="0"/>
    <x v="0"/>
    <s v="Southworth 25% Cotton Granite Paper &amp; Envelopes"/>
    <x v="1210"/>
    <n v="3"/>
    <n v="5.0999999999999996"/>
    <x v="10"/>
    <x v="2"/>
  </r>
  <r>
    <n v="45250"/>
    <x v="156"/>
    <x v="10"/>
    <x v="0"/>
    <x v="3"/>
    <s v="Acco 3-Hole Punch"/>
    <x v="3438"/>
    <n v="2"/>
    <n v="-1.93"/>
    <x v="10"/>
    <x v="2"/>
  </r>
  <r>
    <n v="45250"/>
    <x v="156"/>
    <x v="10"/>
    <x v="0"/>
    <x v="3"/>
    <s v="Avery Recycled Flexi-View Covers for Binding Systems"/>
    <x v="2177"/>
    <n v="3"/>
    <n v="-10.58"/>
    <x v="10"/>
    <x v="2"/>
  </r>
  <r>
    <n v="45250"/>
    <x v="17"/>
    <x v="0"/>
    <x v="1"/>
    <x v="5"/>
    <s v="Global Wood Trimmed Manager's Task Chair, Khaki"/>
    <x v="3973"/>
    <n v="5"/>
    <n v="-77.33"/>
    <x v="10"/>
    <x v="2"/>
  </r>
  <r>
    <n v="45250"/>
    <x v="17"/>
    <x v="0"/>
    <x v="2"/>
    <x v="6"/>
    <s v="Samsung HM1900 Bluetooth Headset"/>
    <x v="3974"/>
    <n v="7"/>
    <n v="46.1"/>
    <x v="10"/>
    <x v="2"/>
  </r>
  <r>
    <n v="45250"/>
    <x v="17"/>
    <x v="0"/>
    <x v="1"/>
    <x v="8"/>
    <s v="Eldon Wave Desk Accessories"/>
    <x v="3254"/>
    <n v="3"/>
    <n v="-2.83"/>
    <x v="10"/>
    <x v="2"/>
  </r>
  <r>
    <n v="45250"/>
    <x v="302"/>
    <x v="18"/>
    <x v="0"/>
    <x v="0"/>
    <s v="Ampad Poly Cover Wirebound Steno Book, 6&quot; x 9&quot; Assorted Colors, Gregg Ruled"/>
    <x v="3975"/>
    <n v="2"/>
    <n v="4.09"/>
    <x v="10"/>
    <x v="2"/>
  </r>
  <r>
    <n v="45250"/>
    <x v="302"/>
    <x v="18"/>
    <x v="0"/>
    <x v="0"/>
    <s v="Xerox 189"/>
    <x v="3305"/>
    <n v="3"/>
    <n v="150.97999999999999"/>
    <x v="10"/>
    <x v="2"/>
  </r>
  <r>
    <n v="45250"/>
    <x v="302"/>
    <x v="18"/>
    <x v="0"/>
    <x v="3"/>
    <s v="Pressboard Covers with Storage Hooks, 9 1/2&quot; x 11&quot;, Light Blue"/>
    <x v="3732"/>
    <n v="1"/>
    <n v="2.31"/>
    <x v="10"/>
    <x v="2"/>
  </r>
  <r>
    <n v="45250"/>
    <x v="15"/>
    <x v="0"/>
    <x v="2"/>
    <x v="6"/>
    <s v="Wireless Extenders zBoost YX545 SOHO Signal Booster"/>
    <x v="3976"/>
    <n v="1"/>
    <n v="13.23"/>
    <x v="10"/>
    <x v="2"/>
  </r>
  <r>
    <n v="45250"/>
    <x v="91"/>
    <x v="3"/>
    <x v="0"/>
    <x v="12"/>
    <s v="Bravo II Megaboss 12-Amp Hard Body Upright, Replacement Belts, 2 Belts per Pack"/>
    <x v="2811"/>
    <n v="12"/>
    <n v="11.31"/>
    <x v="10"/>
    <x v="2"/>
  </r>
  <r>
    <n v="45250"/>
    <x v="373"/>
    <x v="7"/>
    <x v="0"/>
    <x v="3"/>
    <s v="Wilson Jones Elliptical Ring 3 1/2&quot; Capacity Binders, 800 sheets"/>
    <x v="3059"/>
    <n v="3"/>
    <n v="62.92"/>
    <x v="10"/>
    <x v="2"/>
  </r>
  <r>
    <n v="45250"/>
    <x v="410"/>
    <x v="16"/>
    <x v="1"/>
    <x v="11"/>
    <s v="O'Sullivan 2-Door Barrister Bookcase in Odessa Pine"/>
    <x v="3977"/>
    <n v="2"/>
    <n v="10.86"/>
    <x v="10"/>
    <x v="2"/>
  </r>
  <r>
    <n v="45250"/>
    <x v="410"/>
    <x v="16"/>
    <x v="0"/>
    <x v="2"/>
    <s v="Akro-Mils 12-Gallon Tote"/>
    <x v="3978"/>
    <n v="5"/>
    <n v="4.47"/>
    <x v="10"/>
    <x v="2"/>
  </r>
  <r>
    <n v="45250"/>
    <x v="410"/>
    <x v="16"/>
    <x v="2"/>
    <x v="6"/>
    <s v="Grandstream GXP2100 Mainstream Business Phone"/>
    <x v="1892"/>
    <n v="4"/>
    <n v="24.48"/>
    <x v="10"/>
    <x v="2"/>
  </r>
  <r>
    <n v="45250"/>
    <x v="688"/>
    <x v="3"/>
    <x v="2"/>
    <x v="9"/>
    <s v="Sony Micro Vault Click 4 GB USB 2.0 Flash Drive"/>
    <x v="3979"/>
    <n v="2"/>
    <n v="3.9"/>
    <x v="10"/>
    <x v="2"/>
  </r>
  <r>
    <n v="45251"/>
    <x v="645"/>
    <x v="11"/>
    <x v="1"/>
    <x v="5"/>
    <s v="Novimex Fabric Task Chair"/>
    <x v="807"/>
    <n v="4"/>
    <n v="-12.2"/>
    <x v="10"/>
    <x v="2"/>
  </r>
  <r>
    <n v="45251"/>
    <x v="491"/>
    <x v="30"/>
    <x v="0"/>
    <x v="0"/>
    <s v="Xerox 1987"/>
    <x v="3980"/>
    <n v="7"/>
    <n v="19.829999999999998"/>
    <x v="10"/>
    <x v="2"/>
  </r>
  <r>
    <n v="45251"/>
    <x v="491"/>
    <x v="30"/>
    <x v="2"/>
    <x v="6"/>
    <s v="Logitech Mobile Speakerphone P710e -Â speaker phone"/>
    <x v="3981"/>
    <n v="3"/>
    <n v="109.33"/>
    <x v="10"/>
    <x v="2"/>
  </r>
  <r>
    <n v="45251"/>
    <x v="74"/>
    <x v="10"/>
    <x v="2"/>
    <x v="15"/>
    <s v="Texas Instrument TI-15 Fraction Calculator"/>
    <x v="3019"/>
    <n v="7"/>
    <n v="-24.28"/>
    <x v="10"/>
    <x v="2"/>
  </r>
  <r>
    <n v="45251"/>
    <x v="74"/>
    <x v="10"/>
    <x v="1"/>
    <x v="5"/>
    <s v="Global Value Steno Chair, Gray"/>
    <x v="3982"/>
    <n v="3"/>
    <n v="-9.11"/>
    <x v="10"/>
    <x v="2"/>
  </r>
  <r>
    <n v="45251"/>
    <x v="74"/>
    <x v="10"/>
    <x v="1"/>
    <x v="8"/>
    <s v="Computer Room Manger, 14&quot;"/>
    <x v="2793"/>
    <n v="3"/>
    <n v="15.59"/>
    <x v="10"/>
    <x v="2"/>
  </r>
  <r>
    <n v="45251"/>
    <x v="310"/>
    <x v="1"/>
    <x v="0"/>
    <x v="0"/>
    <s v="Xerox 1910"/>
    <x v="3983"/>
    <n v="1"/>
    <n v="13.45"/>
    <x v="10"/>
    <x v="2"/>
  </r>
  <r>
    <n v="45251"/>
    <x v="310"/>
    <x v="1"/>
    <x v="0"/>
    <x v="2"/>
    <s v="Tenex Personal Project File with Scoop Front Design, Black"/>
    <x v="3984"/>
    <n v="2"/>
    <n v="1.62"/>
    <x v="10"/>
    <x v="2"/>
  </r>
  <r>
    <n v="45251"/>
    <x v="310"/>
    <x v="1"/>
    <x v="2"/>
    <x v="9"/>
    <s v="Lenovo 17-Key USB Numeric Keypad"/>
    <x v="3985"/>
    <n v="3"/>
    <n v="2.04"/>
    <x v="10"/>
    <x v="2"/>
  </r>
  <r>
    <n v="45251"/>
    <x v="30"/>
    <x v="20"/>
    <x v="0"/>
    <x v="0"/>
    <s v="Xerox 1975"/>
    <x v="115"/>
    <n v="2"/>
    <n v="6.35"/>
    <x v="10"/>
    <x v="2"/>
  </r>
  <r>
    <n v="45251"/>
    <x v="488"/>
    <x v="20"/>
    <x v="1"/>
    <x v="11"/>
    <s v="Hon Metal Bookcases, Putty"/>
    <x v="3986"/>
    <n v="2"/>
    <n v="12.78"/>
    <x v="10"/>
    <x v="2"/>
  </r>
  <r>
    <n v="45251"/>
    <x v="495"/>
    <x v="3"/>
    <x v="0"/>
    <x v="0"/>
    <s v="Xerox 222"/>
    <x v="331"/>
    <n v="5"/>
    <n v="15.55"/>
    <x v="10"/>
    <x v="2"/>
  </r>
  <r>
    <n v="45252"/>
    <x v="735"/>
    <x v="20"/>
    <x v="1"/>
    <x v="8"/>
    <s v="Luxo Economy Swing Arm Lamp"/>
    <x v="1277"/>
    <n v="2"/>
    <n v="11.17"/>
    <x v="10"/>
    <x v="2"/>
  </r>
  <r>
    <n v="45252"/>
    <x v="735"/>
    <x v="20"/>
    <x v="0"/>
    <x v="3"/>
    <s v="Acco Pressboard Covers with Storage Hooks, 9 1/2&quot; x 11&quot;, Executive Red"/>
    <x v="3633"/>
    <n v="4"/>
    <n v="4.1100000000000003"/>
    <x v="10"/>
    <x v="2"/>
  </r>
  <r>
    <n v="45252"/>
    <x v="735"/>
    <x v="20"/>
    <x v="0"/>
    <x v="4"/>
    <s v="BIC Liqua Brite Liner"/>
    <x v="3987"/>
    <n v="3"/>
    <n v="7.5"/>
    <x v="10"/>
    <x v="2"/>
  </r>
  <r>
    <n v="45252"/>
    <x v="122"/>
    <x v="14"/>
    <x v="0"/>
    <x v="3"/>
    <s v="Ibico Standard Transparent Covers"/>
    <x v="3988"/>
    <n v="3"/>
    <n v="24.23"/>
    <x v="10"/>
    <x v="2"/>
  </r>
  <r>
    <n v="45252"/>
    <x v="617"/>
    <x v="0"/>
    <x v="0"/>
    <x v="3"/>
    <s v="Wilson Jones Impact Binders"/>
    <x v="3989"/>
    <n v="6"/>
    <n v="-9.6300000000000008"/>
    <x v="10"/>
    <x v="2"/>
  </r>
  <r>
    <n v="45252"/>
    <x v="617"/>
    <x v="0"/>
    <x v="0"/>
    <x v="4"/>
    <s v="Newell 348"/>
    <x v="3352"/>
    <n v="9"/>
    <n v="2.66"/>
    <x v="10"/>
    <x v="2"/>
  </r>
  <r>
    <n v="45252"/>
    <x v="617"/>
    <x v="0"/>
    <x v="2"/>
    <x v="9"/>
    <s v="KeyTronicÂ KT800P2 -Â KeyboardÂ - Black"/>
    <x v="3990"/>
    <n v="2"/>
    <n v="-0.6"/>
    <x v="10"/>
    <x v="2"/>
  </r>
  <r>
    <n v="45252"/>
    <x v="617"/>
    <x v="0"/>
    <x v="0"/>
    <x v="1"/>
    <s v="Avery 494"/>
    <x v="3991"/>
    <n v="1"/>
    <n v="0.68"/>
    <x v="10"/>
    <x v="2"/>
  </r>
  <r>
    <n v="45252"/>
    <x v="617"/>
    <x v="0"/>
    <x v="0"/>
    <x v="3"/>
    <s v="Accohide Poly Flexible Ring Binders"/>
    <x v="3992"/>
    <n v="6"/>
    <n v="-6.73"/>
    <x v="10"/>
    <x v="2"/>
  </r>
  <r>
    <n v="45252"/>
    <x v="683"/>
    <x v="20"/>
    <x v="0"/>
    <x v="3"/>
    <s v="GBC Premium Transparent Covers with Diagonal Lined Pattern"/>
    <x v="3993"/>
    <n v="8"/>
    <n v="47"/>
    <x v="10"/>
    <x v="2"/>
  </r>
  <r>
    <n v="45253"/>
    <x v="465"/>
    <x v="2"/>
    <x v="0"/>
    <x v="7"/>
    <s v="Advantus Map Pennant Flags and Round Head Tacks"/>
    <x v="2145"/>
    <n v="5"/>
    <n v="2.37"/>
    <x v="10"/>
    <x v="2"/>
  </r>
  <r>
    <n v="45253"/>
    <x v="465"/>
    <x v="2"/>
    <x v="1"/>
    <x v="8"/>
    <s v="Nu-Dell Float Frame 11 x 14 1/2"/>
    <x v="2309"/>
    <n v="2"/>
    <n v="3.95"/>
    <x v="10"/>
    <x v="2"/>
  </r>
  <r>
    <n v="45253"/>
    <x v="465"/>
    <x v="2"/>
    <x v="1"/>
    <x v="8"/>
    <s v="DAX Executive Solid Wood Document Frame, Desktop or Hang, Mahogany, 5 x 7"/>
    <x v="3994"/>
    <n v="7"/>
    <n v="12.33"/>
    <x v="10"/>
    <x v="2"/>
  </r>
  <r>
    <n v="45254"/>
    <x v="342"/>
    <x v="2"/>
    <x v="0"/>
    <x v="7"/>
    <s v="Stockwell Gold Paper Clips"/>
    <x v="1714"/>
    <n v="3"/>
    <n v="1.6"/>
    <x v="10"/>
    <x v="2"/>
  </r>
  <r>
    <n v="45254"/>
    <x v="115"/>
    <x v="20"/>
    <x v="0"/>
    <x v="3"/>
    <s v="Acco PRESSTEX Data Binder with Storage Hooks, Light Blue, 9 1/2&quot; X 11&quot;"/>
    <x v="2632"/>
    <n v="4"/>
    <n v="6.03"/>
    <x v="10"/>
    <x v="2"/>
  </r>
  <r>
    <n v="45254"/>
    <x v="115"/>
    <x v="20"/>
    <x v="0"/>
    <x v="0"/>
    <s v="Xerox 196"/>
    <x v="825"/>
    <n v="2"/>
    <n v="5.66"/>
    <x v="10"/>
    <x v="2"/>
  </r>
  <r>
    <n v="45254"/>
    <x v="115"/>
    <x v="20"/>
    <x v="2"/>
    <x v="9"/>
    <s v="SanDisk Ultra 32 GB MicroSDHC Class 10 Memory Card"/>
    <x v="3995"/>
    <n v="4"/>
    <n v="11.49"/>
    <x v="10"/>
    <x v="2"/>
  </r>
  <r>
    <n v="45254"/>
    <x v="115"/>
    <x v="20"/>
    <x v="0"/>
    <x v="0"/>
    <s v="Xerox 217"/>
    <x v="710"/>
    <n v="1"/>
    <n v="3.11"/>
    <x v="10"/>
    <x v="2"/>
  </r>
  <r>
    <n v="45254"/>
    <x v="538"/>
    <x v="3"/>
    <x v="2"/>
    <x v="6"/>
    <s v="iKross Bluetooth Portable Keyboard + Cell Phone Stand Holder + Brush for Apple iPhone 5S 5C 5, 4S 4"/>
    <x v="3996"/>
    <n v="2"/>
    <n v="3.35"/>
    <x v="10"/>
    <x v="2"/>
  </r>
  <r>
    <n v="45254"/>
    <x v="538"/>
    <x v="3"/>
    <x v="1"/>
    <x v="8"/>
    <s v="DAX Value U-Channel Document Frames, Easel Back"/>
    <x v="20"/>
    <n v="2"/>
    <n v="3.08"/>
    <x v="10"/>
    <x v="2"/>
  </r>
  <r>
    <n v="45254"/>
    <x v="777"/>
    <x v="0"/>
    <x v="0"/>
    <x v="2"/>
    <s v="Sterilite Officeware Hinged File Box"/>
    <x v="3654"/>
    <n v="5"/>
    <n v="3.67"/>
    <x v="10"/>
    <x v="2"/>
  </r>
  <r>
    <n v="45254"/>
    <x v="777"/>
    <x v="0"/>
    <x v="2"/>
    <x v="9"/>
    <s v="Logitech G19 Programmable Gaming Keyboard"/>
    <x v="3997"/>
    <n v="3"/>
    <n v="-7.44"/>
    <x v="10"/>
    <x v="2"/>
  </r>
  <r>
    <n v="45254"/>
    <x v="777"/>
    <x v="0"/>
    <x v="0"/>
    <x v="7"/>
    <s v="Colored Push Pins"/>
    <x v="1084"/>
    <n v="3"/>
    <n v="0.87"/>
    <x v="10"/>
    <x v="2"/>
  </r>
  <r>
    <n v="45254"/>
    <x v="777"/>
    <x v="0"/>
    <x v="2"/>
    <x v="9"/>
    <s v="Logitech G105 Gaming Keyboard"/>
    <x v="1370"/>
    <n v="2"/>
    <n v="-2.37"/>
    <x v="10"/>
    <x v="2"/>
  </r>
  <r>
    <n v="45254"/>
    <x v="777"/>
    <x v="0"/>
    <x v="0"/>
    <x v="0"/>
    <s v="Xerox 1925"/>
    <x v="230"/>
    <n v="3"/>
    <n v="23.24"/>
    <x v="10"/>
    <x v="2"/>
  </r>
  <r>
    <n v="45254"/>
    <x v="777"/>
    <x v="0"/>
    <x v="0"/>
    <x v="4"/>
    <s v="Dixon My First Ticonderoga Pencil, #2"/>
    <x v="798"/>
    <n v="3"/>
    <n v="1.58"/>
    <x v="10"/>
    <x v="2"/>
  </r>
  <r>
    <n v="45254"/>
    <x v="778"/>
    <x v="11"/>
    <x v="0"/>
    <x v="0"/>
    <s v="IBM Multi-Purpose Copy Paper, 8 1/2 x 11&quot;, Case"/>
    <x v="2061"/>
    <n v="1"/>
    <n v="7.75"/>
    <x v="10"/>
    <x v="2"/>
  </r>
  <r>
    <n v="45254"/>
    <x v="208"/>
    <x v="0"/>
    <x v="2"/>
    <x v="6"/>
    <s v="AT&amp;T 1080 Phone"/>
    <x v="3998"/>
    <n v="6"/>
    <n v="49.32"/>
    <x v="10"/>
    <x v="2"/>
  </r>
  <r>
    <n v="45254"/>
    <x v="569"/>
    <x v="3"/>
    <x v="2"/>
    <x v="9"/>
    <s v="Plantronics CS510 - Over-the-Head monaural Wireless Headset System"/>
    <x v="2404"/>
    <n v="2"/>
    <n v="217.77"/>
    <x v="10"/>
    <x v="2"/>
  </r>
  <r>
    <n v="45254"/>
    <x v="569"/>
    <x v="3"/>
    <x v="1"/>
    <x v="5"/>
    <s v="Global Leather Executive Chair"/>
    <x v="3999"/>
    <n v="6"/>
    <n v="210.59"/>
    <x v="10"/>
    <x v="2"/>
  </r>
  <r>
    <n v="45254"/>
    <x v="569"/>
    <x v="3"/>
    <x v="2"/>
    <x v="9"/>
    <s v="Logitech G500s Laser Gaming Mouse with Adjustable Weight Tuning"/>
    <x v="4000"/>
    <n v="8"/>
    <n v="190.37"/>
    <x v="10"/>
    <x v="2"/>
  </r>
  <r>
    <n v="45254"/>
    <x v="482"/>
    <x v="22"/>
    <x v="0"/>
    <x v="3"/>
    <s v="Ibico Hi-Tech Manual Binding System"/>
    <x v="4001"/>
    <n v="5"/>
    <n v="381.24"/>
    <x v="10"/>
    <x v="2"/>
  </r>
  <r>
    <n v="45254"/>
    <x v="174"/>
    <x v="36"/>
    <x v="1"/>
    <x v="8"/>
    <s v="Howard Miller 11-1/2&quot; Diameter Ridgewood Wall Clock"/>
    <x v="4002"/>
    <n v="4"/>
    <n v="85.18"/>
    <x v="10"/>
    <x v="2"/>
  </r>
  <r>
    <n v="45254"/>
    <x v="683"/>
    <x v="10"/>
    <x v="0"/>
    <x v="10"/>
    <s v="Brown Kraft Recycled Envelopes"/>
    <x v="4003"/>
    <n v="3"/>
    <n v="15.28"/>
    <x v="10"/>
    <x v="2"/>
  </r>
  <r>
    <n v="45254"/>
    <x v="683"/>
    <x v="10"/>
    <x v="2"/>
    <x v="9"/>
    <s v="V7 USB Numeric Keypad"/>
    <x v="3418"/>
    <n v="5"/>
    <n v="-22.74"/>
    <x v="10"/>
    <x v="2"/>
  </r>
  <r>
    <n v="45254"/>
    <x v="748"/>
    <x v="22"/>
    <x v="0"/>
    <x v="14"/>
    <s v="Elite 5&quot; Scissors"/>
    <x v="3056"/>
    <n v="3"/>
    <n v="7.61"/>
    <x v="10"/>
    <x v="2"/>
  </r>
  <r>
    <n v="45254"/>
    <x v="528"/>
    <x v="22"/>
    <x v="1"/>
    <x v="8"/>
    <s v="Howard Miller Distant Time Traveler Alarm Clock"/>
    <x v="3810"/>
    <n v="3"/>
    <n v="33.729999999999997"/>
    <x v="10"/>
    <x v="2"/>
  </r>
  <r>
    <n v="45254"/>
    <x v="90"/>
    <x v="16"/>
    <x v="1"/>
    <x v="11"/>
    <s v="O'Sullivan Cherrywood Estates Traditional Bookcase"/>
    <x v="4004"/>
    <n v="5"/>
    <n v="8.5"/>
    <x v="10"/>
    <x v="2"/>
  </r>
  <r>
    <n v="45254"/>
    <x v="90"/>
    <x v="16"/>
    <x v="0"/>
    <x v="0"/>
    <s v="Tops Wirebound Message Log Books"/>
    <x v="3737"/>
    <n v="4"/>
    <n v="3.42"/>
    <x v="10"/>
    <x v="2"/>
  </r>
  <r>
    <n v="45254"/>
    <x v="90"/>
    <x v="16"/>
    <x v="0"/>
    <x v="12"/>
    <s v="Fellowes Advanced Computer Series Surge Protectors"/>
    <x v="4005"/>
    <n v="2"/>
    <n v="4.24"/>
    <x v="10"/>
    <x v="2"/>
  </r>
  <r>
    <n v="45255"/>
    <x v="631"/>
    <x v="16"/>
    <x v="0"/>
    <x v="0"/>
    <s v="Telephone Message Books with Fax/Mobile Section, 5 1/2&quot; x 3 3/16&quot;"/>
    <x v="4006"/>
    <n v="1"/>
    <n v="1.65"/>
    <x v="10"/>
    <x v="2"/>
  </r>
  <r>
    <n v="45255"/>
    <x v="455"/>
    <x v="23"/>
    <x v="0"/>
    <x v="2"/>
    <s v="Fellowes Strictly Business Drawer File, Letter/Legal Size"/>
    <x v="1731"/>
    <n v="4"/>
    <n v="67.61"/>
    <x v="10"/>
    <x v="2"/>
  </r>
  <r>
    <n v="45255"/>
    <x v="455"/>
    <x v="23"/>
    <x v="2"/>
    <x v="15"/>
    <s v="Konica Minolta magicolor 1690MF Multifunction Printer"/>
    <x v="4007"/>
    <n v="8"/>
    <n v="118.37"/>
    <x v="10"/>
    <x v="2"/>
  </r>
  <r>
    <n v="45255"/>
    <x v="287"/>
    <x v="13"/>
    <x v="2"/>
    <x v="6"/>
    <s v="OtterBox Defender Series Case - Samsung Galaxy S4"/>
    <x v="995"/>
    <n v="2"/>
    <n v="17.989999999999998"/>
    <x v="10"/>
    <x v="2"/>
  </r>
  <r>
    <n v="45255"/>
    <x v="653"/>
    <x v="14"/>
    <x v="1"/>
    <x v="13"/>
    <s v="Chromcraft Round Conference Tables"/>
    <x v="4008"/>
    <n v="9"/>
    <n v="329.41"/>
    <x v="10"/>
    <x v="2"/>
  </r>
  <r>
    <n v="45255"/>
    <x v="653"/>
    <x v="14"/>
    <x v="0"/>
    <x v="3"/>
    <s v="Wilson Jones International Size A4 Ring Binders"/>
    <x v="4009"/>
    <n v="1"/>
    <n v="8.3000000000000007"/>
    <x v="10"/>
    <x v="2"/>
  </r>
  <r>
    <n v="45255"/>
    <x v="653"/>
    <x v="14"/>
    <x v="2"/>
    <x v="9"/>
    <s v="Memorex Mini Travel Drive 32 GB USB 2.0 Flash Drive"/>
    <x v="4010"/>
    <n v="8"/>
    <n v="62.4"/>
    <x v="10"/>
    <x v="2"/>
  </r>
  <r>
    <n v="45255"/>
    <x v="106"/>
    <x v="10"/>
    <x v="0"/>
    <x v="3"/>
    <s v="GBC Ibimaster 500 Manual ProClick Binding System"/>
    <x v="4011"/>
    <n v="2"/>
    <n v="-304.39"/>
    <x v="10"/>
    <x v="2"/>
  </r>
  <r>
    <n v="45255"/>
    <x v="106"/>
    <x v="10"/>
    <x v="2"/>
    <x v="15"/>
    <s v="Cubify CubeX 3D Printer Double Head Print"/>
    <x v="4012"/>
    <n v="5"/>
    <n v="-6599.98"/>
    <x v="10"/>
    <x v="2"/>
  </r>
  <r>
    <n v="45255"/>
    <x v="106"/>
    <x v="10"/>
    <x v="2"/>
    <x v="9"/>
    <s v="NETGEAR RangeMax WNR1000 Wireless Router"/>
    <x v="995"/>
    <n v="3"/>
    <n v="12"/>
    <x v="10"/>
    <x v="2"/>
  </r>
  <r>
    <n v="45255"/>
    <x v="144"/>
    <x v="33"/>
    <x v="0"/>
    <x v="2"/>
    <s v="Sterilite Officeware Hinged File Box"/>
    <x v="4013"/>
    <n v="7"/>
    <n v="19.809999999999999"/>
    <x v="10"/>
    <x v="2"/>
  </r>
  <r>
    <n v="45255"/>
    <x v="294"/>
    <x v="3"/>
    <x v="1"/>
    <x v="5"/>
    <s v="Padded Folding Chairs, Black, 4/Carton"/>
    <x v="3174"/>
    <n v="3"/>
    <n v="19.440000000000001"/>
    <x v="10"/>
    <x v="2"/>
  </r>
  <r>
    <n v="45256"/>
    <x v="231"/>
    <x v="33"/>
    <x v="0"/>
    <x v="0"/>
    <s v="Easy-staple paper"/>
    <x v="2130"/>
    <n v="7"/>
    <n v="34.78"/>
    <x v="10"/>
    <x v="2"/>
  </r>
  <r>
    <n v="45256"/>
    <x v="231"/>
    <x v="33"/>
    <x v="0"/>
    <x v="3"/>
    <s v="Surelock Post Binders"/>
    <x v="440"/>
    <n v="3"/>
    <n v="45.84"/>
    <x v="10"/>
    <x v="2"/>
  </r>
  <r>
    <n v="45256"/>
    <x v="231"/>
    <x v="33"/>
    <x v="0"/>
    <x v="3"/>
    <s v="Wilson Jones DublLock D-Ring Binders"/>
    <x v="4014"/>
    <n v="5"/>
    <n v="16.88"/>
    <x v="10"/>
    <x v="2"/>
  </r>
  <r>
    <n v="45256"/>
    <x v="231"/>
    <x v="33"/>
    <x v="2"/>
    <x v="15"/>
    <s v="Hewlett-Packard Deskjet 3050a All-in-One Color Inkjet Printer"/>
    <x v="4015"/>
    <n v="8"/>
    <n v="1459.2"/>
    <x v="10"/>
    <x v="2"/>
  </r>
  <r>
    <n v="45256"/>
    <x v="498"/>
    <x v="22"/>
    <x v="0"/>
    <x v="3"/>
    <s v="Newell 3-Hole Punched Plastic Slotted Magazine Holders for Binders"/>
    <x v="1117"/>
    <n v="2"/>
    <n v="2.56"/>
    <x v="10"/>
    <x v="2"/>
  </r>
  <r>
    <n v="45256"/>
    <x v="189"/>
    <x v="2"/>
    <x v="2"/>
    <x v="6"/>
    <s v="Mitel MiVoice 5330e IP Phone"/>
    <x v="4016"/>
    <n v="3"/>
    <n v="-115.5"/>
    <x v="10"/>
    <x v="2"/>
  </r>
  <r>
    <n v="45256"/>
    <x v="205"/>
    <x v="16"/>
    <x v="0"/>
    <x v="3"/>
    <s v="Zipper Ring Binder Pockets"/>
    <x v="4017"/>
    <n v="4"/>
    <n v="-2.62"/>
    <x v="10"/>
    <x v="2"/>
  </r>
  <r>
    <n v="45256"/>
    <x v="78"/>
    <x v="20"/>
    <x v="1"/>
    <x v="13"/>
    <s v="Bevis Oval Conference Table, Walnut"/>
    <x v="4018"/>
    <n v="2"/>
    <n v="-120.05"/>
    <x v="10"/>
    <x v="2"/>
  </r>
  <r>
    <n v="45256"/>
    <x v="208"/>
    <x v="0"/>
    <x v="0"/>
    <x v="4"/>
    <s v="DIXON Ticonderoga Erasable Checking Pencils"/>
    <x v="333"/>
    <n v="4"/>
    <n v="4.24"/>
    <x v="10"/>
    <x v="2"/>
  </r>
  <r>
    <n v="45256"/>
    <x v="33"/>
    <x v="37"/>
    <x v="2"/>
    <x v="9"/>
    <s v="Micropad Numeric Keypads"/>
    <x v="2388"/>
    <n v="3"/>
    <n v="14.99"/>
    <x v="10"/>
    <x v="2"/>
  </r>
  <r>
    <n v="45256"/>
    <x v="33"/>
    <x v="37"/>
    <x v="0"/>
    <x v="0"/>
    <s v="Xerox 1959"/>
    <x v="518"/>
    <n v="2"/>
    <n v="6.41"/>
    <x v="10"/>
    <x v="2"/>
  </r>
  <r>
    <n v="45256"/>
    <x v="281"/>
    <x v="2"/>
    <x v="0"/>
    <x v="3"/>
    <s v="Binding Machine Supplies"/>
    <x v="4019"/>
    <n v="9"/>
    <n v="-57.76"/>
    <x v="10"/>
    <x v="2"/>
  </r>
  <r>
    <n v="45256"/>
    <x v="389"/>
    <x v="3"/>
    <x v="1"/>
    <x v="11"/>
    <s v="DMI Eclipse Executive Suite Bookcases"/>
    <x v="4020"/>
    <n v="8"/>
    <n v="160.31"/>
    <x v="10"/>
    <x v="2"/>
  </r>
  <r>
    <n v="45256"/>
    <x v="389"/>
    <x v="3"/>
    <x v="0"/>
    <x v="4"/>
    <s v="Newell 31"/>
    <x v="3510"/>
    <n v="9"/>
    <n v="10.41"/>
    <x v="10"/>
    <x v="2"/>
  </r>
  <r>
    <n v="45256"/>
    <x v="389"/>
    <x v="3"/>
    <x v="0"/>
    <x v="12"/>
    <s v="Belkin F9S820V06 8 Outlet Surge"/>
    <x v="92"/>
    <n v="2"/>
    <n v="19.489999999999998"/>
    <x v="10"/>
    <x v="2"/>
  </r>
  <r>
    <n v="45256"/>
    <x v="389"/>
    <x v="3"/>
    <x v="1"/>
    <x v="8"/>
    <s v="GE 48&quot; Fluorescent Tube, Cool White Energy Saver, 34 Watts, 30/Box"/>
    <x v="1898"/>
    <n v="6"/>
    <n v="297.69"/>
    <x v="10"/>
    <x v="2"/>
  </r>
  <r>
    <n v="45257"/>
    <x v="480"/>
    <x v="1"/>
    <x v="0"/>
    <x v="2"/>
    <s v="SAFCO Commercial Wire Shelving, 72h"/>
    <x v="3731"/>
    <n v="2"/>
    <n v="-24.5"/>
    <x v="10"/>
    <x v="2"/>
  </r>
  <r>
    <n v="45257"/>
    <x v="480"/>
    <x v="1"/>
    <x v="2"/>
    <x v="9"/>
    <s v="Memorex Micro Travel Drive 8 GB"/>
    <x v="4021"/>
    <n v="6"/>
    <n v="19.5"/>
    <x v="10"/>
    <x v="2"/>
  </r>
  <r>
    <n v="45257"/>
    <x v="583"/>
    <x v="12"/>
    <x v="2"/>
    <x v="6"/>
    <s v="Motorola Moto X"/>
    <x v="4022"/>
    <n v="1"/>
    <n v="23.8"/>
    <x v="10"/>
    <x v="2"/>
  </r>
  <r>
    <n v="45257"/>
    <x v="668"/>
    <x v="14"/>
    <x v="0"/>
    <x v="12"/>
    <s v="Euro-Pro Shark Turbo Vacuum"/>
    <x v="4023"/>
    <n v="6"/>
    <n v="29.74"/>
    <x v="10"/>
    <x v="2"/>
  </r>
  <r>
    <n v="45257"/>
    <x v="274"/>
    <x v="42"/>
    <x v="2"/>
    <x v="9"/>
    <s v="Verbatim 25 GB 6x Blu-ray Single Layer Recordable Disc, 3/Pack"/>
    <x v="4024"/>
    <n v="5"/>
    <n v="15.38"/>
    <x v="10"/>
    <x v="2"/>
  </r>
  <r>
    <n v="45257"/>
    <x v="274"/>
    <x v="42"/>
    <x v="0"/>
    <x v="3"/>
    <s v="Ibico Plastic Spiral Binding Combs"/>
    <x v="4025"/>
    <n v="5"/>
    <n v="69.92"/>
    <x v="10"/>
    <x v="2"/>
  </r>
  <r>
    <n v="45257"/>
    <x v="593"/>
    <x v="23"/>
    <x v="1"/>
    <x v="8"/>
    <s v="Ultra Door Pull Handle"/>
    <x v="1791"/>
    <n v="3"/>
    <n v="10.41"/>
    <x v="10"/>
    <x v="2"/>
  </r>
  <r>
    <n v="45257"/>
    <x v="221"/>
    <x v="16"/>
    <x v="2"/>
    <x v="6"/>
    <s v="Wi-Ex zBoost YX540 Cellular Phone Signal Booster"/>
    <x v="4026"/>
    <n v="1"/>
    <n v="14.6"/>
    <x v="10"/>
    <x v="2"/>
  </r>
  <r>
    <n v="45257"/>
    <x v="221"/>
    <x v="16"/>
    <x v="1"/>
    <x v="13"/>
    <s v="KI Adjustable-Height Table"/>
    <x v="4027"/>
    <n v="7"/>
    <n v="-114.35"/>
    <x v="10"/>
    <x v="2"/>
  </r>
  <r>
    <n v="45257"/>
    <x v="752"/>
    <x v="12"/>
    <x v="0"/>
    <x v="2"/>
    <s v="Eldon Simplefile Box Office"/>
    <x v="4028"/>
    <n v="4"/>
    <n v="3.98"/>
    <x v="10"/>
    <x v="2"/>
  </r>
  <r>
    <n v="45257"/>
    <x v="92"/>
    <x v="23"/>
    <x v="0"/>
    <x v="0"/>
    <s v="Xerox 215"/>
    <x v="499"/>
    <n v="4"/>
    <n v="12.44"/>
    <x v="10"/>
    <x v="2"/>
  </r>
  <r>
    <n v="45257"/>
    <x v="92"/>
    <x v="23"/>
    <x v="0"/>
    <x v="4"/>
    <s v="Newell 324"/>
    <x v="1929"/>
    <n v="3"/>
    <n v="9.6999999999999993"/>
    <x v="10"/>
    <x v="2"/>
  </r>
  <r>
    <n v="45257"/>
    <x v="92"/>
    <x v="23"/>
    <x v="0"/>
    <x v="0"/>
    <s v="Xerox 1945"/>
    <x v="4029"/>
    <n v="5"/>
    <n v="100.43"/>
    <x v="10"/>
    <x v="2"/>
  </r>
  <r>
    <n v="45257"/>
    <x v="92"/>
    <x v="23"/>
    <x v="0"/>
    <x v="3"/>
    <s v="GBC Pre-Punched Binding Paper, Plastic, White, 8-1/2&quot; x 11&quot;"/>
    <x v="4030"/>
    <n v="5"/>
    <n v="38.380000000000003"/>
    <x v="10"/>
    <x v="2"/>
  </r>
  <r>
    <n v="45258"/>
    <x v="779"/>
    <x v="37"/>
    <x v="0"/>
    <x v="3"/>
    <s v="Avery Poly Binder Pockets"/>
    <x v="959"/>
    <n v="2"/>
    <n v="3.44"/>
    <x v="10"/>
    <x v="2"/>
  </r>
  <r>
    <n v="45258"/>
    <x v="8"/>
    <x v="16"/>
    <x v="0"/>
    <x v="3"/>
    <s v="ACCOHIDE Binder by Acco"/>
    <x v="4031"/>
    <n v="6"/>
    <n v="-5.7"/>
    <x v="10"/>
    <x v="2"/>
  </r>
  <r>
    <n v="45258"/>
    <x v="211"/>
    <x v="4"/>
    <x v="1"/>
    <x v="5"/>
    <s v="Global Push Button Manager's Chair, Indigo"/>
    <x v="4032"/>
    <n v="3"/>
    <n v="52.97"/>
    <x v="10"/>
    <x v="2"/>
  </r>
  <r>
    <n v="45258"/>
    <x v="211"/>
    <x v="4"/>
    <x v="2"/>
    <x v="9"/>
    <s v="Kingston Digital DataTraveler 32GB USB 2.0"/>
    <x v="4033"/>
    <n v="6"/>
    <n v="6.1"/>
    <x v="10"/>
    <x v="2"/>
  </r>
  <r>
    <n v="45258"/>
    <x v="211"/>
    <x v="4"/>
    <x v="0"/>
    <x v="2"/>
    <s v="Tennsco Single-Tier Lockers"/>
    <x v="4034"/>
    <n v="3"/>
    <n v="56.3"/>
    <x v="10"/>
    <x v="2"/>
  </r>
  <r>
    <n v="45258"/>
    <x v="211"/>
    <x v="4"/>
    <x v="0"/>
    <x v="2"/>
    <s v="24 Capacity Maxi Data Binder Racks, Pearl"/>
    <x v="4035"/>
    <n v="6"/>
    <n v="315.83"/>
    <x v="10"/>
    <x v="2"/>
  </r>
  <r>
    <n v="45258"/>
    <x v="171"/>
    <x v="2"/>
    <x v="2"/>
    <x v="6"/>
    <s v="Wireless Extenders zBoost YX545 SOHO Signal Booster"/>
    <x v="4036"/>
    <n v="3"/>
    <n v="-73.709999999999994"/>
    <x v="10"/>
    <x v="2"/>
  </r>
  <r>
    <n v="45258"/>
    <x v="171"/>
    <x v="2"/>
    <x v="0"/>
    <x v="7"/>
    <s v="Translucent Push Pins by OIC"/>
    <x v="810"/>
    <n v="8"/>
    <n v="2.69"/>
    <x v="10"/>
    <x v="2"/>
  </r>
  <r>
    <n v="45258"/>
    <x v="171"/>
    <x v="2"/>
    <x v="0"/>
    <x v="3"/>
    <s v="GBC Plasticlear Binding Covers"/>
    <x v="4037"/>
    <n v="2"/>
    <n v="-5.05"/>
    <x v="10"/>
    <x v="2"/>
  </r>
  <r>
    <n v="45258"/>
    <x v="171"/>
    <x v="2"/>
    <x v="0"/>
    <x v="2"/>
    <s v="Tennsco Commercial Shelving"/>
    <x v="3110"/>
    <n v="2"/>
    <n v="-7.73"/>
    <x v="10"/>
    <x v="2"/>
  </r>
  <r>
    <n v="45258"/>
    <x v="171"/>
    <x v="2"/>
    <x v="1"/>
    <x v="5"/>
    <s v="Situations Contoured Folding Chairs, 4/Set"/>
    <x v="3641"/>
    <n v="7"/>
    <n v="-24.84"/>
    <x v="10"/>
    <x v="2"/>
  </r>
  <r>
    <n v="45259"/>
    <x v="317"/>
    <x v="0"/>
    <x v="2"/>
    <x v="9"/>
    <s v="Memorex Micro Travel Drive 32 GB"/>
    <x v="1256"/>
    <n v="2"/>
    <n v="16.79"/>
    <x v="10"/>
    <x v="2"/>
  </r>
  <r>
    <n v="45259"/>
    <x v="108"/>
    <x v="1"/>
    <x v="1"/>
    <x v="8"/>
    <s v="Tenex Chairmat w/ Average Lip, 45&quot; x 53&quot;"/>
    <x v="4038"/>
    <n v="4"/>
    <n v="-302.72000000000003"/>
    <x v="10"/>
    <x v="2"/>
  </r>
  <r>
    <n v="45260"/>
    <x v="622"/>
    <x v="25"/>
    <x v="2"/>
    <x v="6"/>
    <s v="AT&amp;T 17929 Lendline Telephone"/>
    <x v="4039"/>
    <n v="1"/>
    <n v="2.71"/>
    <x v="10"/>
    <x v="2"/>
  </r>
  <r>
    <n v="45260"/>
    <x v="206"/>
    <x v="14"/>
    <x v="0"/>
    <x v="0"/>
    <s v="REDIFORM Incoming/Outgoing Call Register, 11&quot; X 8 1/2&quot;, 100 Messages"/>
    <x v="1773"/>
    <n v="4"/>
    <n v="16.68"/>
    <x v="10"/>
    <x v="2"/>
  </r>
  <r>
    <n v="45260"/>
    <x v="206"/>
    <x v="14"/>
    <x v="0"/>
    <x v="0"/>
    <s v="Adams Phone Message Book, 200 Message Capacity, 8 1/16Â” x 11Â”"/>
    <x v="4040"/>
    <n v="2"/>
    <n v="6.33"/>
    <x v="10"/>
    <x v="2"/>
  </r>
  <r>
    <n v="45260"/>
    <x v="206"/>
    <x v="14"/>
    <x v="0"/>
    <x v="2"/>
    <s v="Sensible Storage WireTech Storage Systems"/>
    <x v="4041"/>
    <n v="7"/>
    <n v="24.84"/>
    <x v="10"/>
    <x v="2"/>
  </r>
  <r>
    <n v="45260"/>
    <x v="206"/>
    <x v="14"/>
    <x v="1"/>
    <x v="5"/>
    <s v="High-Back Leather Manager's Chair"/>
    <x v="2516"/>
    <n v="3"/>
    <n v="35.1"/>
    <x v="10"/>
    <x v="2"/>
  </r>
  <r>
    <n v="45261"/>
    <x v="333"/>
    <x v="28"/>
    <x v="0"/>
    <x v="0"/>
    <s v="Universal Premium White Copier/Laser Paper (20Lb. and 87 Bright)"/>
    <x v="635"/>
    <n v="4"/>
    <n v="11.72"/>
    <x v="11"/>
    <x v="2"/>
  </r>
  <r>
    <n v="45261"/>
    <x v="264"/>
    <x v="36"/>
    <x v="1"/>
    <x v="5"/>
    <s v="Harbour Creations Steel Folding Chair"/>
    <x v="4042"/>
    <n v="2"/>
    <n v="51.75"/>
    <x v="11"/>
    <x v="2"/>
  </r>
  <r>
    <n v="45261"/>
    <x v="264"/>
    <x v="36"/>
    <x v="2"/>
    <x v="6"/>
    <s v="JBL Micro Wireless Portable Bluetooth Speaker"/>
    <x v="1141"/>
    <n v="3"/>
    <n v="44.99"/>
    <x v="11"/>
    <x v="2"/>
  </r>
  <r>
    <n v="45261"/>
    <x v="247"/>
    <x v="18"/>
    <x v="1"/>
    <x v="8"/>
    <s v="DAX Cubicle Frames - 8x10"/>
    <x v="4043"/>
    <n v="3"/>
    <n v="5.19"/>
    <x v="11"/>
    <x v="2"/>
  </r>
  <r>
    <n v="45261"/>
    <x v="156"/>
    <x v="15"/>
    <x v="0"/>
    <x v="4"/>
    <s v="Newell 343"/>
    <x v="4044"/>
    <n v="2"/>
    <n v="0.41"/>
    <x v="11"/>
    <x v="2"/>
  </r>
  <r>
    <n v="45261"/>
    <x v="319"/>
    <x v="3"/>
    <x v="1"/>
    <x v="8"/>
    <s v="Westinghouse Clip-On Gooseneck Lamps"/>
    <x v="677"/>
    <n v="2"/>
    <n v="4.3499999999999996"/>
    <x v="11"/>
    <x v="2"/>
  </r>
  <r>
    <n v="45261"/>
    <x v="373"/>
    <x v="37"/>
    <x v="0"/>
    <x v="3"/>
    <s v="XtraLife ClearVue Slant-D Ring Binder, White, 3&quot;"/>
    <x v="4045"/>
    <n v="6"/>
    <n v="40.520000000000003"/>
    <x v="11"/>
    <x v="2"/>
  </r>
  <r>
    <n v="45261"/>
    <x v="373"/>
    <x v="37"/>
    <x v="1"/>
    <x v="5"/>
    <s v="Hon Every-Day Series Multi-Task Chairs"/>
    <x v="4046"/>
    <n v="4"/>
    <n v="150.38"/>
    <x v="11"/>
    <x v="2"/>
  </r>
  <r>
    <n v="45261"/>
    <x v="30"/>
    <x v="25"/>
    <x v="2"/>
    <x v="6"/>
    <s v="Jabra Supreme Plus Driver EditionÂ Headset"/>
    <x v="4047"/>
    <n v="9"/>
    <n v="86.39"/>
    <x v="11"/>
    <x v="2"/>
  </r>
  <r>
    <n v="45261"/>
    <x v="522"/>
    <x v="0"/>
    <x v="1"/>
    <x v="5"/>
    <s v="Situations Contoured Folding Chairs, 4/Set"/>
    <x v="4048"/>
    <n v="5"/>
    <n v="-17.75"/>
    <x v="11"/>
    <x v="2"/>
  </r>
  <r>
    <n v="45261"/>
    <x v="522"/>
    <x v="0"/>
    <x v="0"/>
    <x v="12"/>
    <s v="Acco 6 Outlet Guardian Premium Surge Suppressor"/>
    <x v="563"/>
    <n v="4"/>
    <n v="-30.87"/>
    <x v="11"/>
    <x v="2"/>
  </r>
  <r>
    <n v="45261"/>
    <x v="522"/>
    <x v="0"/>
    <x v="1"/>
    <x v="5"/>
    <s v="Global Push Button Manager's Chair, Indigo"/>
    <x v="3411"/>
    <n v="2"/>
    <n v="-1.22"/>
    <x v="11"/>
    <x v="2"/>
  </r>
  <r>
    <n v="45261"/>
    <x v="67"/>
    <x v="32"/>
    <x v="2"/>
    <x v="6"/>
    <s v="Jensen SMPS-640 -Â speaker phone"/>
    <x v="4049"/>
    <n v="3"/>
    <n v="35.86"/>
    <x v="11"/>
    <x v="2"/>
  </r>
  <r>
    <n v="45261"/>
    <x v="67"/>
    <x v="32"/>
    <x v="1"/>
    <x v="8"/>
    <s v="Executive Impressions 14&quot;"/>
    <x v="1400"/>
    <n v="5"/>
    <n v="48.91"/>
    <x v="11"/>
    <x v="2"/>
  </r>
  <r>
    <n v="45261"/>
    <x v="67"/>
    <x v="32"/>
    <x v="0"/>
    <x v="12"/>
    <s v="Honeywell Enviracaire Portable HEPA Air Cleaner for 17' x 22' Room"/>
    <x v="3111"/>
    <n v="3"/>
    <n v="297.64"/>
    <x v="11"/>
    <x v="2"/>
  </r>
  <r>
    <n v="45261"/>
    <x v="67"/>
    <x v="32"/>
    <x v="1"/>
    <x v="13"/>
    <s v="Chromcraft Round Conference Tables"/>
    <x v="4050"/>
    <n v="3"/>
    <n v="-47.06"/>
    <x v="11"/>
    <x v="2"/>
  </r>
  <r>
    <n v="45261"/>
    <x v="104"/>
    <x v="6"/>
    <x v="0"/>
    <x v="12"/>
    <s v="Honeywell Enviracaire Portable HEPA Air Cleaner for 17' x 22' Room"/>
    <x v="4051"/>
    <n v="7"/>
    <n v="694.5"/>
    <x v="11"/>
    <x v="2"/>
  </r>
  <r>
    <n v="45261"/>
    <x v="104"/>
    <x v="6"/>
    <x v="0"/>
    <x v="14"/>
    <s v="Acme Softgrip Scissors"/>
    <x v="705"/>
    <n v="5"/>
    <n v="11.8"/>
    <x v="11"/>
    <x v="2"/>
  </r>
  <r>
    <n v="45261"/>
    <x v="162"/>
    <x v="3"/>
    <x v="1"/>
    <x v="8"/>
    <s v="Tenex Chairmats For Use With Carpeted Floors"/>
    <x v="3968"/>
    <n v="2"/>
    <n v="1.6"/>
    <x v="11"/>
    <x v="2"/>
  </r>
  <r>
    <n v="45261"/>
    <x v="162"/>
    <x v="3"/>
    <x v="0"/>
    <x v="0"/>
    <s v="Xerox 1886"/>
    <x v="4052"/>
    <n v="1"/>
    <n v="22.99"/>
    <x v="11"/>
    <x v="2"/>
  </r>
  <r>
    <n v="45261"/>
    <x v="162"/>
    <x v="3"/>
    <x v="0"/>
    <x v="2"/>
    <s v="Sauder Facets Collection Locker/File Cabinet, Sky Alder Finish"/>
    <x v="4053"/>
    <n v="3"/>
    <n v="222.59"/>
    <x v="11"/>
    <x v="2"/>
  </r>
  <r>
    <n v="45261"/>
    <x v="162"/>
    <x v="3"/>
    <x v="0"/>
    <x v="10"/>
    <s v="#10- 4 1/8&quot; x 9 1/2&quot; Security-Tint Envelopes"/>
    <x v="1129"/>
    <n v="3"/>
    <n v="11.23"/>
    <x v="11"/>
    <x v="2"/>
  </r>
  <r>
    <n v="45261"/>
    <x v="470"/>
    <x v="3"/>
    <x v="0"/>
    <x v="4"/>
    <s v="Sanford Colorific Colored Pencils, 12/Box"/>
    <x v="2217"/>
    <n v="8"/>
    <n v="6.91"/>
    <x v="11"/>
    <x v="2"/>
  </r>
  <r>
    <n v="45262"/>
    <x v="575"/>
    <x v="3"/>
    <x v="0"/>
    <x v="0"/>
    <s v="Xerox 192"/>
    <x v="499"/>
    <n v="4"/>
    <n v="12.44"/>
    <x v="11"/>
    <x v="2"/>
  </r>
  <r>
    <n v="45262"/>
    <x v="575"/>
    <x v="3"/>
    <x v="0"/>
    <x v="0"/>
    <s v="HP Office Recycled Paper (20Lb. and 87 Bright)"/>
    <x v="3980"/>
    <n v="7"/>
    <n v="19.829999999999998"/>
    <x v="11"/>
    <x v="2"/>
  </r>
  <r>
    <n v="45262"/>
    <x v="575"/>
    <x v="3"/>
    <x v="0"/>
    <x v="2"/>
    <s v="X-Rack File for Hanging Folders"/>
    <x v="4054"/>
    <n v="3"/>
    <n v="8.81"/>
    <x v="11"/>
    <x v="2"/>
  </r>
  <r>
    <n v="45262"/>
    <x v="435"/>
    <x v="3"/>
    <x v="0"/>
    <x v="3"/>
    <s v="GBC VeloBind Cover Sets"/>
    <x v="3156"/>
    <n v="2"/>
    <n v="9.26"/>
    <x v="11"/>
    <x v="2"/>
  </r>
  <r>
    <n v="45262"/>
    <x v="435"/>
    <x v="3"/>
    <x v="0"/>
    <x v="12"/>
    <s v="Holmes Cool Mist Humidifier for the Whole House with 8-Gallon Output per Day, Extended Life Filter"/>
    <x v="579"/>
    <n v="3"/>
    <n v="26.87"/>
    <x v="11"/>
    <x v="2"/>
  </r>
  <r>
    <n v="45262"/>
    <x v="435"/>
    <x v="3"/>
    <x v="1"/>
    <x v="8"/>
    <s v="Eldon Regeneration Recycled Desk Accessories, Black"/>
    <x v="548"/>
    <n v="3"/>
    <n v="5.66"/>
    <x v="11"/>
    <x v="2"/>
  </r>
  <r>
    <n v="45262"/>
    <x v="435"/>
    <x v="3"/>
    <x v="0"/>
    <x v="3"/>
    <s v="Satellite Sectional Post Binders"/>
    <x v="4055"/>
    <n v="3"/>
    <n v="33.86"/>
    <x v="11"/>
    <x v="2"/>
  </r>
  <r>
    <n v="45262"/>
    <x v="35"/>
    <x v="43"/>
    <x v="0"/>
    <x v="2"/>
    <s v="Deluxe Rollaway Locking File with Drawer"/>
    <x v="4056"/>
    <n v="5"/>
    <n v="582.23"/>
    <x v="11"/>
    <x v="2"/>
  </r>
  <r>
    <n v="45262"/>
    <x v="35"/>
    <x v="43"/>
    <x v="2"/>
    <x v="6"/>
    <s v="VTech DS6151"/>
    <x v="308"/>
    <n v="5"/>
    <n v="176.39"/>
    <x v="11"/>
    <x v="2"/>
  </r>
  <r>
    <n v="45262"/>
    <x v="35"/>
    <x v="43"/>
    <x v="1"/>
    <x v="8"/>
    <s v="Eldon 500 Class Desk Accessories"/>
    <x v="4057"/>
    <n v="6"/>
    <n v="23.9"/>
    <x v="11"/>
    <x v="2"/>
  </r>
  <r>
    <n v="45262"/>
    <x v="509"/>
    <x v="20"/>
    <x v="0"/>
    <x v="3"/>
    <s v="Ibico EB-19 Dual Function Manual Binding System"/>
    <x v="4058"/>
    <n v="3"/>
    <n v="134.93"/>
    <x v="11"/>
    <x v="2"/>
  </r>
  <r>
    <n v="45262"/>
    <x v="509"/>
    <x v="20"/>
    <x v="0"/>
    <x v="3"/>
    <s v="XtraLife ClearVue Slant-D Ring Binder, White, 3&quot;"/>
    <x v="3928"/>
    <n v="3"/>
    <n v="11.45"/>
    <x v="11"/>
    <x v="2"/>
  </r>
  <r>
    <n v="45262"/>
    <x v="509"/>
    <x v="20"/>
    <x v="0"/>
    <x v="0"/>
    <s v="Green Bar Computer Printout Paper"/>
    <x v="3966"/>
    <n v="1"/>
    <n v="26.93"/>
    <x v="11"/>
    <x v="2"/>
  </r>
  <r>
    <n v="45262"/>
    <x v="464"/>
    <x v="26"/>
    <x v="2"/>
    <x v="9"/>
    <s v="WD My Passport Ultra 1TB Portable External Hard Drive"/>
    <x v="2949"/>
    <n v="3"/>
    <n v="-6.21"/>
    <x v="11"/>
    <x v="2"/>
  </r>
  <r>
    <n v="45262"/>
    <x v="203"/>
    <x v="30"/>
    <x v="0"/>
    <x v="3"/>
    <s v="GBC White Gloss Covers, Plain Front"/>
    <x v="4059"/>
    <n v="8"/>
    <n v="54.44"/>
    <x v="11"/>
    <x v="2"/>
  </r>
  <r>
    <n v="45262"/>
    <x v="168"/>
    <x v="0"/>
    <x v="1"/>
    <x v="11"/>
    <s v="Sauder Camden County Collection Library"/>
    <x v="4060"/>
    <n v="10"/>
    <n v="-137.97999999999999"/>
    <x v="11"/>
    <x v="2"/>
  </r>
  <r>
    <n v="45262"/>
    <x v="168"/>
    <x v="0"/>
    <x v="0"/>
    <x v="0"/>
    <s v="Xerox 1962"/>
    <x v="927"/>
    <n v="9"/>
    <n v="9.6300000000000008"/>
    <x v="11"/>
    <x v="2"/>
  </r>
  <r>
    <n v="45263"/>
    <x v="709"/>
    <x v="20"/>
    <x v="0"/>
    <x v="0"/>
    <s v="Xerox 1964"/>
    <x v="1672"/>
    <n v="8"/>
    <n v="84.05"/>
    <x v="11"/>
    <x v="2"/>
  </r>
  <r>
    <n v="45263"/>
    <x v="709"/>
    <x v="20"/>
    <x v="1"/>
    <x v="13"/>
    <s v="Bevis Traditional Conference Table Top, Plinth Base"/>
    <x v="4061"/>
    <n v="2"/>
    <n v="-153.35"/>
    <x v="11"/>
    <x v="2"/>
  </r>
  <r>
    <n v="45263"/>
    <x v="709"/>
    <x v="20"/>
    <x v="0"/>
    <x v="2"/>
    <s v="Personal Folder Holder, Ebony"/>
    <x v="2732"/>
    <n v="3"/>
    <n v="10.09"/>
    <x v="11"/>
    <x v="2"/>
  </r>
  <r>
    <n v="45263"/>
    <x v="709"/>
    <x v="20"/>
    <x v="1"/>
    <x v="5"/>
    <s v="Global Leather Highback Executive Chair with Pneumatic Height Adjustment, Black"/>
    <x v="4062"/>
    <n v="3"/>
    <n v="102.5"/>
    <x v="11"/>
    <x v="2"/>
  </r>
  <r>
    <n v="45263"/>
    <x v="709"/>
    <x v="20"/>
    <x v="0"/>
    <x v="1"/>
    <s v="Avery 520"/>
    <x v="3489"/>
    <n v="2"/>
    <n v="3.02"/>
    <x v="11"/>
    <x v="2"/>
  </r>
  <r>
    <n v="45263"/>
    <x v="740"/>
    <x v="2"/>
    <x v="0"/>
    <x v="12"/>
    <s v="Honeywell Enviracaire Portable HEPA Air Cleaner for up to 10 x 16 Room"/>
    <x v="4063"/>
    <n v="4"/>
    <n v="93.77"/>
    <x v="11"/>
    <x v="2"/>
  </r>
  <r>
    <n v="45263"/>
    <x v="740"/>
    <x v="2"/>
    <x v="0"/>
    <x v="3"/>
    <s v="GBC Clear Cover, 8-1/2 x 11, unpunched, 25 covers per pack"/>
    <x v="4064"/>
    <n v="4"/>
    <n v="-14.55"/>
    <x v="11"/>
    <x v="2"/>
  </r>
  <r>
    <n v="45263"/>
    <x v="685"/>
    <x v="3"/>
    <x v="2"/>
    <x v="9"/>
    <s v="LogitechÂ Z-906 Speaker sys - home theater - 5.1-CH"/>
    <x v="4065"/>
    <n v="5"/>
    <n v="659.98"/>
    <x v="11"/>
    <x v="2"/>
  </r>
  <r>
    <n v="45263"/>
    <x v="685"/>
    <x v="3"/>
    <x v="1"/>
    <x v="8"/>
    <s v="3M Polarizing Light Filter Sleeves"/>
    <x v="4066"/>
    <n v="6"/>
    <n v="51.47"/>
    <x v="11"/>
    <x v="2"/>
  </r>
  <r>
    <n v="45263"/>
    <x v="13"/>
    <x v="18"/>
    <x v="1"/>
    <x v="13"/>
    <s v="Hon 5100 Series Wood Tables"/>
    <x v="4067"/>
    <n v="2"/>
    <n v="104.75"/>
    <x v="11"/>
    <x v="2"/>
  </r>
  <r>
    <n v="45263"/>
    <x v="13"/>
    <x v="18"/>
    <x v="1"/>
    <x v="5"/>
    <s v="Global Stack Chair with Arms, Black"/>
    <x v="4068"/>
    <n v="1"/>
    <n v="8.09"/>
    <x v="11"/>
    <x v="2"/>
  </r>
  <r>
    <n v="45263"/>
    <x v="95"/>
    <x v="3"/>
    <x v="0"/>
    <x v="2"/>
    <s v="Fellowes Staxonsteel Drawer Files"/>
    <x v="2358"/>
    <n v="4"/>
    <n v="108.18"/>
    <x v="11"/>
    <x v="2"/>
  </r>
  <r>
    <n v="45263"/>
    <x v="310"/>
    <x v="3"/>
    <x v="1"/>
    <x v="13"/>
    <s v="Hon 4060 Series Tables"/>
    <x v="4069"/>
    <n v="3"/>
    <n v="6.72"/>
    <x v="11"/>
    <x v="2"/>
  </r>
  <r>
    <n v="45263"/>
    <x v="310"/>
    <x v="3"/>
    <x v="0"/>
    <x v="4"/>
    <s v="Rogers Handheld Barrel Pencil Sharpener"/>
    <x v="4070"/>
    <n v="8"/>
    <n v="5.92"/>
    <x v="11"/>
    <x v="2"/>
  </r>
  <r>
    <n v="45263"/>
    <x v="310"/>
    <x v="3"/>
    <x v="0"/>
    <x v="2"/>
    <s v="Acco Perma 4000 Stacking Storage Drawers"/>
    <x v="4071"/>
    <n v="3"/>
    <n v="7.31"/>
    <x v="11"/>
    <x v="2"/>
  </r>
  <r>
    <n v="45263"/>
    <x v="310"/>
    <x v="3"/>
    <x v="1"/>
    <x v="11"/>
    <s v="O'Sullivan Living Dimensions 2-Shelf Bookcases"/>
    <x v="257"/>
    <n v="2"/>
    <n v="-12.1"/>
    <x v="11"/>
    <x v="2"/>
  </r>
  <r>
    <n v="45264"/>
    <x v="383"/>
    <x v="20"/>
    <x v="1"/>
    <x v="8"/>
    <s v="Eldon Delta Triangular Chair Mat, 52&quot; x 58&quot;, Clear"/>
    <x v="4072"/>
    <n v="3"/>
    <n v="20.48"/>
    <x v="11"/>
    <x v="2"/>
  </r>
  <r>
    <n v="45264"/>
    <x v="383"/>
    <x v="20"/>
    <x v="2"/>
    <x v="9"/>
    <s v="Enermax Aurora Lite Keyboard"/>
    <x v="4073"/>
    <n v="1"/>
    <n v="34.39"/>
    <x v="11"/>
    <x v="2"/>
  </r>
  <r>
    <n v="45264"/>
    <x v="383"/>
    <x v="20"/>
    <x v="0"/>
    <x v="3"/>
    <s v="Peel &amp; Stick Add-On Corner Pockets"/>
    <x v="2998"/>
    <n v="1"/>
    <n v="0.6"/>
    <x v="11"/>
    <x v="2"/>
  </r>
  <r>
    <n v="45264"/>
    <x v="383"/>
    <x v="20"/>
    <x v="0"/>
    <x v="0"/>
    <s v="Easy-staple paper"/>
    <x v="939"/>
    <n v="4"/>
    <n v="19.87"/>
    <x v="11"/>
    <x v="2"/>
  </r>
  <r>
    <n v="45264"/>
    <x v="383"/>
    <x v="20"/>
    <x v="0"/>
    <x v="2"/>
    <s v="Carina Media Storage Towers in Natural &amp; Black"/>
    <x v="978"/>
    <n v="3"/>
    <n v="3.66"/>
    <x v="11"/>
    <x v="2"/>
  </r>
  <r>
    <n v="45264"/>
    <x v="383"/>
    <x v="20"/>
    <x v="0"/>
    <x v="2"/>
    <s v="Fellowes Econo/Stor Drawers"/>
    <x v="4074"/>
    <n v="2"/>
    <n v="11.63"/>
    <x v="11"/>
    <x v="2"/>
  </r>
  <r>
    <n v="45264"/>
    <x v="227"/>
    <x v="20"/>
    <x v="0"/>
    <x v="2"/>
    <s v="Belkin OmniView SE Rackmount Kit"/>
    <x v="4075"/>
    <n v="6"/>
    <n v="0"/>
    <x v="11"/>
    <x v="2"/>
  </r>
  <r>
    <n v="45264"/>
    <x v="272"/>
    <x v="20"/>
    <x v="0"/>
    <x v="3"/>
    <s v="GBC Instant Report Kit"/>
    <x v="4076"/>
    <n v="3"/>
    <n v="5.82"/>
    <x v="11"/>
    <x v="2"/>
  </r>
  <r>
    <n v="45264"/>
    <x v="388"/>
    <x v="3"/>
    <x v="0"/>
    <x v="0"/>
    <s v="Xerox 1915"/>
    <x v="681"/>
    <n v="1"/>
    <n v="50.33"/>
    <x v="11"/>
    <x v="2"/>
  </r>
  <r>
    <n v="45265"/>
    <x v="576"/>
    <x v="22"/>
    <x v="0"/>
    <x v="3"/>
    <s v="Fellowes PB200 Plastic Comb Binding Machine"/>
    <x v="4077"/>
    <n v="3"/>
    <n v="132.59"/>
    <x v="11"/>
    <x v="2"/>
  </r>
  <r>
    <n v="45265"/>
    <x v="780"/>
    <x v="21"/>
    <x v="2"/>
    <x v="6"/>
    <s v="Plantronics CordlessÂ Phone HeadsetÂ with In-line Volume - M214C"/>
    <x v="4078"/>
    <n v="11"/>
    <n v="103.8"/>
    <x v="11"/>
    <x v="2"/>
  </r>
  <r>
    <n v="45265"/>
    <x v="780"/>
    <x v="21"/>
    <x v="2"/>
    <x v="6"/>
    <s v="Anker Astro 15000mAh USB Portable Charger"/>
    <x v="434"/>
    <n v="3"/>
    <n v="6"/>
    <x v="11"/>
    <x v="2"/>
  </r>
  <r>
    <n v="45265"/>
    <x v="780"/>
    <x v="21"/>
    <x v="1"/>
    <x v="5"/>
    <s v="Hon Deluxe Fabric Upholstered Stacking Chairs, Rounded Back"/>
    <x v="4079"/>
    <n v="8"/>
    <n v="585.54999999999995"/>
    <x v="11"/>
    <x v="2"/>
  </r>
  <r>
    <n v="45265"/>
    <x v="780"/>
    <x v="21"/>
    <x v="0"/>
    <x v="3"/>
    <s v="GBC Prestige Therm-A-Bind Covers"/>
    <x v="4080"/>
    <n v="5"/>
    <n v="80.63"/>
    <x v="11"/>
    <x v="2"/>
  </r>
  <r>
    <n v="45265"/>
    <x v="229"/>
    <x v="5"/>
    <x v="1"/>
    <x v="8"/>
    <s v="Howard Miller 16&quot; Diameter Gallery Wall Clock"/>
    <x v="2332"/>
    <n v="3"/>
    <n v="74.81"/>
    <x v="11"/>
    <x v="2"/>
  </r>
  <r>
    <n v="45265"/>
    <x v="229"/>
    <x v="20"/>
    <x v="0"/>
    <x v="2"/>
    <s v="Dual Level, Single-Width Filing Carts"/>
    <x v="1658"/>
    <n v="3"/>
    <n v="120.95"/>
    <x v="11"/>
    <x v="2"/>
  </r>
  <r>
    <n v="45265"/>
    <x v="166"/>
    <x v="32"/>
    <x v="1"/>
    <x v="11"/>
    <s v="O'Sullivan 5-Shelf Heavy-Duty Bookcases"/>
    <x v="4081"/>
    <n v="1"/>
    <n v="20.49"/>
    <x v="11"/>
    <x v="2"/>
  </r>
  <r>
    <n v="45265"/>
    <x v="529"/>
    <x v="44"/>
    <x v="0"/>
    <x v="4"/>
    <s v="BIC Brite Liner Grip Highlighters, Assorted, 5/Pack"/>
    <x v="4082"/>
    <n v="8"/>
    <n v="13.23"/>
    <x v="11"/>
    <x v="2"/>
  </r>
  <r>
    <n v="45265"/>
    <x v="633"/>
    <x v="5"/>
    <x v="2"/>
    <x v="6"/>
    <s v="Samsung Galaxy S III - 16GB - pebble blue (T-Mobile)"/>
    <x v="1704"/>
    <n v="2"/>
    <n v="195.99"/>
    <x v="11"/>
    <x v="2"/>
  </r>
  <r>
    <n v="45265"/>
    <x v="633"/>
    <x v="5"/>
    <x v="0"/>
    <x v="2"/>
    <s v="Fellowes Bankers Box Staxonsteel Drawer File/Stacking System"/>
    <x v="4083"/>
    <n v="9"/>
    <n v="70.180000000000007"/>
    <x v="11"/>
    <x v="2"/>
  </r>
  <r>
    <n v="45265"/>
    <x v="211"/>
    <x v="1"/>
    <x v="0"/>
    <x v="1"/>
    <s v="Avery 483"/>
    <x v="1177"/>
    <n v="3"/>
    <n v="3.88"/>
    <x v="11"/>
    <x v="2"/>
  </r>
  <r>
    <n v="45265"/>
    <x v="109"/>
    <x v="1"/>
    <x v="0"/>
    <x v="4"/>
    <s v="Newell 311"/>
    <x v="3"/>
    <n v="2"/>
    <n v="0.31"/>
    <x v="11"/>
    <x v="2"/>
  </r>
  <r>
    <n v="45265"/>
    <x v="736"/>
    <x v="7"/>
    <x v="1"/>
    <x v="8"/>
    <s v="Electrix 20W Halogen Replacement Bulb for Zoom-In Desk Lamp"/>
    <x v="4084"/>
    <n v="1"/>
    <n v="6.43"/>
    <x v="11"/>
    <x v="2"/>
  </r>
  <r>
    <n v="45265"/>
    <x v="736"/>
    <x v="7"/>
    <x v="0"/>
    <x v="0"/>
    <s v="Easy-staple paper"/>
    <x v="1599"/>
    <n v="1"/>
    <n v="2.34"/>
    <x v="11"/>
    <x v="2"/>
  </r>
  <r>
    <n v="45265"/>
    <x v="736"/>
    <x v="7"/>
    <x v="0"/>
    <x v="10"/>
    <s v="#10 White Business Envelopes,4 1/8 x 9 1/2"/>
    <x v="4085"/>
    <n v="7"/>
    <n v="51.55"/>
    <x v="11"/>
    <x v="2"/>
  </r>
  <r>
    <n v="45266"/>
    <x v="480"/>
    <x v="3"/>
    <x v="0"/>
    <x v="0"/>
    <s v="Xerox 216"/>
    <x v="5"/>
    <n v="3"/>
    <n v="9.33"/>
    <x v="11"/>
    <x v="2"/>
  </r>
  <r>
    <n v="45266"/>
    <x v="217"/>
    <x v="22"/>
    <x v="2"/>
    <x v="6"/>
    <s v="Plantronics Calisto P620-M USB Wireless Speakerphone System"/>
    <x v="4086"/>
    <n v="1"/>
    <n v="13.72"/>
    <x v="11"/>
    <x v="2"/>
  </r>
  <r>
    <n v="45266"/>
    <x v="217"/>
    <x v="22"/>
    <x v="2"/>
    <x v="6"/>
    <s v="Google Nexus 5"/>
    <x v="1674"/>
    <n v="3"/>
    <n v="27"/>
    <x v="11"/>
    <x v="2"/>
  </r>
  <r>
    <n v="45266"/>
    <x v="217"/>
    <x v="22"/>
    <x v="0"/>
    <x v="10"/>
    <s v="Jet-Pak Recycled Peel 'N' Seal Padded Mailers"/>
    <x v="4087"/>
    <n v="1"/>
    <n v="16.149999999999999"/>
    <x v="11"/>
    <x v="2"/>
  </r>
  <r>
    <n v="45266"/>
    <x v="217"/>
    <x v="22"/>
    <x v="0"/>
    <x v="3"/>
    <s v="Ibico Plastic and Wire Spiral Binding Combs"/>
    <x v="4088"/>
    <n v="7"/>
    <n v="15.34"/>
    <x v="11"/>
    <x v="2"/>
  </r>
  <r>
    <n v="45266"/>
    <x v="217"/>
    <x v="22"/>
    <x v="0"/>
    <x v="0"/>
    <s v="Xerox 1880"/>
    <x v="4089"/>
    <n v="7"/>
    <n v="116.6"/>
    <x v="11"/>
    <x v="2"/>
  </r>
  <r>
    <n v="45266"/>
    <x v="217"/>
    <x v="22"/>
    <x v="0"/>
    <x v="0"/>
    <s v="Snap-A-Way Black Print Carbonless Ruled Speed Letter, Triplicate"/>
    <x v="4090"/>
    <n v="5"/>
    <n v="89.16"/>
    <x v="11"/>
    <x v="2"/>
  </r>
  <r>
    <n v="45266"/>
    <x v="217"/>
    <x v="22"/>
    <x v="0"/>
    <x v="3"/>
    <s v="GBC Standard Therm-A-Bind Covers"/>
    <x v="505"/>
    <n v="3"/>
    <n v="19.440000000000001"/>
    <x v="11"/>
    <x v="2"/>
  </r>
  <r>
    <n v="45266"/>
    <x v="679"/>
    <x v="20"/>
    <x v="0"/>
    <x v="3"/>
    <s v="Ibico EB-19 Dual Function Manual Binding System"/>
    <x v="4091"/>
    <n v="7"/>
    <n v="314.83999999999997"/>
    <x v="11"/>
    <x v="2"/>
  </r>
  <r>
    <n v="45266"/>
    <x v="679"/>
    <x v="20"/>
    <x v="0"/>
    <x v="3"/>
    <s v="Trimflex Flexible Post Binders"/>
    <x v="4092"/>
    <n v="13"/>
    <n v="77.819999999999993"/>
    <x v="11"/>
    <x v="2"/>
  </r>
  <r>
    <n v="45266"/>
    <x v="679"/>
    <x v="20"/>
    <x v="2"/>
    <x v="16"/>
    <s v="Brother DCP1000 Digital 3 in 1 Multifunction Machine"/>
    <x v="386"/>
    <n v="2"/>
    <n v="90"/>
    <x v="11"/>
    <x v="2"/>
  </r>
  <r>
    <n v="45266"/>
    <x v="64"/>
    <x v="3"/>
    <x v="2"/>
    <x v="6"/>
    <s v="Avaya 5410 Digital phone"/>
    <x v="4093"/>
    <n v="5"/>
    <n v="27.2"/>
    <x v="11"/>
    <x v="2"/>
  </r>
  <r>
    <n v="45266"/>
    <x v="64"/>
    <x v="3"/>
    <x v="0"/>
    <x v="4"/>
    <s v="Blackstonian Pencils"/>
    <x v="3007"/>
    <n v="7"/>
    <n v="5.23"/>
    <x v="11"/>
    <x v="2"/>
  </r>
  <r>
    <n v="45266"/>
    <x v="64"/>
    <x v="3"/>
    <x v="0"/>
    <x v="0"/>
    <s v="Xerox 1977"/>
    <x v="518"/>
    <n v="2"/>
    <n v="6.41"/>
    <x v="11"/>
    <x v="2"/>
  </r>
  <r>
    <n v="45266"/>
    <x v="64"/>
    <x v="3"/>
    <x v="2"/>
    <x v="6"/>
    <s v="Cisco SPA301"/>
    <x v="2054"/>
    <n v="2"/>
    <n v="31.2"/>
    <x v="11"/>
    <x v="2"/>
  </r>
  <r>
    <n v="45266"/>
    <x v="64"/>
    <x v="3"/>
    <x v="0"/>
    <x v="7"/>
    <s v="Alliance Big Bands Rubber Bands, 12/Pack"/>
    <x v="4094"/>
    <n v="7"/>
    <n v="0"/>
    <x v="11"/>
    <x v="2"/>
  </r>
  <r>
    <n v="45266"/>
    <x v="64"/>
    <x v="3"/>
    <x v="0"/>
    <x v="3"/>
    <s v="Avery Durable Slant Ring Binders With Label Holder"/>
    <x v="3307"/>
    <n v="4"/>
    <n v="4.68"/>
    <x v="11"/>
    <x v="2"/>
  </r>
  <r>
    <n v="45266"/>
    <x v="64"/>
    <x v="3"/>
    <x v="0"/>
    <x v="3"/>
    <s v="Ibico Recycled Linen-Style Covers"/>
    <x v="4095"/>
    <n v="14"/>
    <n v="153.12"/>
    <x v="11"/>
    <x v="2"/>
  </r>
  <r>
    <n v="45268"/>
    <x v="702"/>
    <x v="0"/>
    <x v="2"/>
    <x v="6"/>
    <s v="GE 30524EE4"/>
    <x v="4096"/>
    <n v="7"/>
    <n v="123.47"/>
    <x v="11"/>
    <x v="2"/>
  </r>
  <r>
    <n v="45268"/>
    <x v="702"/>
    <x v="0"/>
    <x v="1"/>
    <x v="8"/>
    <s v="Electrix Architect's Clamp-On Swing Arm Lamp, Black"/>
    <x v="4097"/>
    <n v="5"/>
    <n v="-147.96"/>
    <x v="11"/>
    <x v="2"/>
  </r>
  <r>
    <n v="45268"/>
    <x v="87"/>
    <x v="28"/>
    <x v="2"/>
    <x v="6"/>
    <s v="Motorola HK250 Universal Bluetooth Headset"/>
    <x v="3860"/>
    <n v="5"/>
    <n v="2.2999999999999998"/>
    <x v="11"/>
    <x v="2"/>
  </r>
  <r>
    <n v="45268"/>
    <x v="425"/>
    <x v="10"/>
    <x v="0"/>
    <x v="3"/>
    <s v="Universal Recycled Hanging Pressboard Report Binders, Letter Size"/>
    <x v="115"/>
    <n v="7"/>
    <n v="-9.5"/>
    <x v="11"/>
    <x v="2"/>
  </r>
  <r>
    <n v="45268"/>
    <x v="386"/>
    <x v="3"/>
    <x v="0"/>
    <x v="4"/>
    <s v="Newell 341"/>
    <x v="507"/>
    <n v="2"/>
    <n v="2.48"/>
    <x v="11"/>
    <x v="2"/>
  </r>
  <r>
    <n v="45268"/>
    <x v="386"/>
    <x v="3"/>
    <x v="0"/>
    <x v="0"/>
    <s v="Xerox 204"/>
    <x v="413"/>
    <n v="7"/>
    <n v="21.77"/>
    <x v="11"/>
    <x v="2"/>
  </r>
  <r>
    <n v="45268"/>
    <x v="386"/>
    <x v="3"/>
    <x v="1"/>
    <x v="13"/>
    <s v="Hon 94000 Series Round Tables"/>
    <x v="1201"/>
    <n v="6"/>
    <n v="-195.48"/>
    <x v="11"/>
    <x v="2"/>
  </r>
  <r>
    <n v="45268"/>
    <x v="440"/>
    <x v="3"/>
    <x v="0"/>
    <x v="2"/>
    <s v="SimpliFile Personal File, Black Granite, 15w x 6-15/16d x 11-1/4h"/>
    <x v="4098"/>
    <n v="3"/>
    <n v="9.5299999999999994"/>
    <x v="11"/>
    <x v="2"/>
  </r>
  <r>
    <n v="45268"/>
    <x v="440"/>
    <x v="3"/>
    <x v="0"/>
    <x v="2"/>
    <s v="Fellowes High-Stak Drawer Files"/>
    <x v="4099"/>
    <n v="2"/>
    <n v="81.05"/>
    <x v="11"/>
    <x v="2"/>
  </r>
  <r>
    <n v="45268"/>
    <x v="352"/>
    <x v="25"/>
    <x v="2"/>
    <x v="6"/>
    <s v="Cisco SPA301"/>
    <x v="2054"/>
    <n v="2"/>
    <n v="31.2"/>
    <x v="11"/>
    <x v="2"/>
  </r>
  <r>
    <n v="45268"/>
    <x v="352"/>
    <x v="25"/>
    <x v="2"/>
    <x v="9"/>
    <s v="Maxell 4.7GB DVD-R"/>
    <x v="3865"/>
    <n v="3"/>
    <n v="17.88"/>
    <x v="11"/>
    <x v="2"/>
  </r>
  <r>
    <n v="45268"/>
    <x v="352"/>
    <x v="25"/>
    <x v="2"/>
    <x v="9"/>
    <s v="ImationÂ 30456 USBÂ Flash DriveÂ 8GB"/>
    <x v="2738"/>
    <n v="3"/>
    <n v="-2.48"/>
    <x v="11"/>
    <x v="2"/>
  </r>
  <r>
    <n v="45268"/>
    <x v="640"/>
    <x v="10"/>
    <x v="0"/>
    <x v="0"/>
    <s v="Ampad Gold Fibre Wirebound Steno Books, 6&quot; x 9&quot;, Gregg Ruled"/>
    <x v="2775"/>
    <n v="3"/>
    <n v="3.44"/>
    <x v="11"/>
    <x v="2"/>
  </r>
  <r>
    <n v="45268"/>
    <x v="316"/>
    <x v="21"/>
    <x v="1"/>
    <x v="11"/>
    <s v="Bush Westfield Collection Bookcases, Dark Cherry Finish"/>
    <x v="4100"/>
    <n v="7"/>
    <n v="32.47"/>
    <x v="11"/>
    <x v="2"/>
  </r>
  <r>
    <n v="45268"/>
    <x v="316"/>
    <x v="21"/>
    <x v="1"/>
    <x v="5"/>
    <s v="Hon GuestStacker Chair"/>
    <x v="4101"/>
    <n v="3"/>
    <n v="176.8"/>
    <x v="11"/>
    <x v="2"/>
  </r>
  <r>
    <n v="45269"/>
    <x v="127"/>
    <x v="40"/>
    <x v="0"/>
    <x v="4"/>
    <s v="Newell 318"/>
    <x v="121"/>
    <n v="7"/>
    <n v="5.0599999999999996"/>
    <x v="11"/>
    <x v="2"/>
  </r>
  <r>
    <n v="45269"/>
    <x v="127"/>
    <x v="40"/>
    <x v="0"/>
    <x v="12"/>
    <s v="Acco Six-Outlet Power Strip, 4' Cord Length"/>
    <x v="4102"/>
    <n v="7"/>
    <n v="15.69"/>
    <x v="11"/>
    <x v="2"/>
  </r>
  <r>
    <n v="45269"/>
    <x v="667"/>
    <x v="32"/>
    <x v="0"/>
    <x v="1"/>
    <s v="Avery 517"/>
    <x v="1549"/>
    <n v="1"/>
    <n v="1.73"/>
    <x v="11"/>
    <x v="2"/>
  </r>
  <r>
    <n v="45269"/>
    <x v="667"/>
    <x v="32"/>
    <x v="0"/>
    <x v="1"/>
    <s v="Avery 477"/>
    <x v="3397"/>
    <n v="4"/>
    <n v="56.18"/>
    <x v="11"/>
    <x v="2"/>
  </r>
  <r>
    <n v="45269"/>
    <x v="169"/>
    <x v="0"/>
    <x v="0"/>
    <x v="0"/>
    <s v="Things To Do Today Pad"/>
    <x v="2129"/>
    <n v="2"/>
    <n v="3.29"/>
    <x v="11"/>
    <x v="2"/>
  </r>
  <r>
    <n v="45269"/>
    <x v="169"/>
    <x v="0"/>
    <x v="0"/>
    <x v="4"/>
    <s v="Hunt BOSTON Vista Battery-Operated Pencil Sharpener, Black"/>
    <x v="594"/>
    <n v="1"/>
    <n v="0.82"/>
    <x v="11"/>
    <x v="2"/>
  </r>
  <r>
    <n v="45269"/>
    <x v="105"/>
    <x v="15"/>
    <x v="1"/>
    <x v="13"/>
    <s v="Hon 61000 Series Interactive Training Tables"/>
    <x v="1326"/>
    <n v="3"/>
    <n v="-29.32"/>
    <x v="11"/>
    <x v="2"/>
  </r>
  <r>
    <n v="45269"/>
    <x v="105"/>
    <x v="15"/>
    <x v="0"/>
    <x v="3"/>
    <s v="Acco Pressboard Covers with Storage Hooks, 14 7/8&quot; x 11&quot;, Light Blue"/>
    <x v="797"/>
    <n v="2"/>
    <n v="-2.06"/>
    <x v="11"/>
    <x v="2"/>
  </r>
  <r>
    <n v="45269"/>
    <x v="564"/>
    <x v="14"/>
    <x v="2"/>
    <x v="6"/>
    <s v="LF Elite 3D Dazzle Designer Hard Case Cover, Lf Stylus Pen and Wiper For Apple Iphone 5c Mini Lite"/>
    <x v="389"/>
    <n v="1"/>
    <n v="3.05"/>
    <x v="11"/>
    <x v="2"/>
  </r>
  <r>
    <n v="45269"/>
    <x v="564"/>
    <x v="14"/>
    <x v="2"/>
    <x v="9"/>
    <s v="Logitech Trackman Marble Mouse"/>
    <x v="995"/>
    <n v="2"/>
    <n v="25.19"/>
    <x v="11"/>
    <x v="2"/>
  </r>
  <r>
    <n v="45269"/>
    <x v="564"/>
    <x v="14"/>
    <x v="0"/>
    <x v="12"/>
    <s v="Holmes Replacement Filter for HEPA Air Cleaner, Very Large Room, HEPA Filter"/>
    <x v="4103"/>
    <n v="1"/>
    <n v="23.4"/>
    <x v="11"/>
    <x v="2"/>
  </r>
  <r>
    <n v="45269"/>
    <x v="185"/>
    <x v="15"/>
    <x v="2"/>
    <x v="6"/>
    <s v="ARKON Windshield Dashboard Air Vent Car Mount Holder"/>
    <x v="1015"/>
    <n v="3"/>
    <n v="-9.15"/>
    <x v="11"/>
    <x v="2"/>
  </r>
  <r>
    <n v="45269"/>
    <x v="274"/>
    <x v="1"/>
    <x v="0"/>
    <x v="14"/>
    <s v="Acme Office Executive Series Stainless Steel Trimmers"/>
    <x v="4104"/>
    <n v="3"/>
    <n v="1.54"/>
    <x v="11"/>
    <x v="2"/>
  </r>
  <r>
    <n v="45269"/>
    <x v="274"/>
    <x v="1"/>
    <x v="0"/>
    <x v="12"/>
    <s v="Belkin 6 Outlet Metallic Surge Strip"/>
    <x v="2325"/>
    <n v="2"/>
    <n v="-11.76"/>
    <x v="11"/>
    <x v="2"/>
  </r>
  <r>
    <n v="45269"/>
    <x v="274"/>
    <x v="1"/>
    <x v="2"/>
    <x v="9"/>
    <s v="Kingston Digital DataTraveler 8GB USB 2.0"/>
    <x v="4105"/>
    <n v="4"/>
    <n v="-1.43"/>
    <x v="11"/>
    <x v="2"/>
  </r>
  <r>
    <n v="45269"/>
    <x v="153"/>
    <x v="3"/>
    <x v="0"/>
    <x v="3"/>
    <s v="Wilson Jones Elliptical Ring 3 1/2&quot; Capacity Binders, 800 sheets"/>
    <x v="4106"/>
    <n v="8"/>
    <n v="99.3"/>
    <x v="11"/>
    <x v="2"/>
  </r>
  <r>
    <n v="45269"/>
    <x v="181"/>
    <x v="6"/>
    <x v="1"/>
    <x v="13"/>
    <s v="Iceberg OfficeWorks 42&quot; Round Tables"/>
    <x v="2389"/>
    <n v="7"/>
    <n v="158.53"/>
    <x v="11"/>
    <x v="2"/>
  </r>
  <r>
    <n v="45270"/>
    <x v="564"/>
    <x v="3"/>
    <x v="1"/>
    <x v="5"/>
    <s v="Global Leather Highback Executive Chair with Pneumatic Height Adjustment, Black"/>
    <x v="4107"/>
    <n v="2"/>
    <n v="28.14"/>
    <x v="11"/>
    <x v="2"/>
  </r>
  <r>
    <n v="45270"/>
    <x v="16"/>
    <x v="20"/>
    <x v="0"/>
    <x v="2"/>
    <s v="Fellowes Personal Hanging Folder Files, Navy"/>
    <x v="4108"/>
    <n v="6"/>
    <n v="22.56"/>
    <x v="11"/>
    <x v="2"/>
  </r>
  <r>
    <n v="45270"/>
    <x v="16"/>
    <x v="20"/>
    <x v="0"/>
    <x v="10"/>
    <s v="Tyvek Side-Opening Peel &amp; Seel Expanding Envelopes"/>
    <x v="4109"/>
    <n v="4"/>
    <n v="162.86000000000001"/>
    <x v="11"/>
    <x v="2"/>
  </r>
  <r>
    <n v="45270"/>
    <x v="358"/>
    <x v="22"/>
    <x v="0"/>
    <x v="3"/>
    <s v="GBC DocuBind P50 Personal Binding Machine"/>
    <x v="4110"/>
    <n v="3"/>
    <n v="51.82"/>
    <x v="11"/>
    <x v="2"/>
  </r>
  <r>
    <n v="45270"/>
    <x v="358"/>
    <x v="22"/>
    <x v="0"/>
    <x v="12"/>
    <s v="Holmes HEPA Air Purifier"/>
    <x v="4111"/>
    <n v="3"/>
    <n v="22.87"/>
    <x v="11"/>
    <x v="2"/>
  </r>
  <r>
    <n v="45270"/>
    <x v="358"/>
    <x v="22"/>
    <x v="0"/>
    <x v="0"/>
    <s v="Xerox 1988"/>
    <x v="1099"/>
    <n v="4"/>
    <n v="55.76"/>
    <x v="11"/>
    <x v="2"/>
  </r>
  <r>
    <n v="45270"/>
    <x v="358"/>
    <x v="22"/>
    <x v="0"/>
    <x v="12"/>
    <s v="Harmony HEPA Quiet Air Purifiers"/>
    <x v="4112"/>
    <n v="3"/>
    <n v="12.29"/>
    <x v="11"/>
    <x v="2"/>
  </r>
  <r>
    <n v="45270"/>
    <x v="358"/>
    <x v="22"/>
    <x v="2"/>
    <x v="9"/>
    <s v="Kingston Digital DataTraveler 16GB USB 2.0"/>
    <x v="2839"/>
    <n v="5"/>
    <n v="8.5"/>
    <x v="11"/>
    <x v="2"/>
  </r>
  <r>
    <n v="45270"/>
    <x v="294"/>
    <x v="18"/>
    <x v="1"/>
    <x v="5"/>
    <s v="Global Commerce Series High-Back Swivel/Tilt Chairs"/>
    <x v="4113"/>
    <n v="5"/>
    <n v="356.23"/>
    <x v="11"/>
    <x v="2"/>
  </r>
  <r>
    <n v="45270"/>
    <x v="694"/>
    <x v="3"/>
    <x v="0"/>
    <x v="0"/>
    <s v="Wirebound Message Books, Four 2 3/4 x 5 White Forms per Page"/>
    <x v="4114"/>
    <n v="12"/>
    <n v="36.93"/>
    <x v="11"/>
    <x v="2"/>
  </r>
  <r>
    <n v="45270"/>
    <x v="752"/>
    <x v="20"/>
    <x v="0"/>
    <x v="0"/>
    <s v="Wirebound Message Books, Four 2 3/4&quot; x 5&quot; Forms per Page, 600 Sets per Book"/>
    <x v="2414"/>
    <n v="2"/>
    <n v="8.7100000000000009"/>
    <x v="11"/>
    <x v="2"/>
  </r>
  <r>
    <n v="45270"/>
    <x v="752"/>
    <x v="20"/>
    <x v="0"/>
    <x v="3"/>
    <s v="Fellowes PB200 Plastic Comb Binding Machine"/>
    <x v="4115"/>
    <n v="5"/>
    <n v="220.99"/>
    <x v="11"/>
    <x v="2"/>
  </r>
  <r>
    <n v="45270"/>
    <x v="620"/>
    <x v="20"/>
    <x v="0"/>
    <x v="0"/>
    <s v="Adams Phone Message Book, Professional, 400 Message Capacity, 5 3/6Â” x 11Â”"/>
    <x v="63"/>
    <n v="9"/>
    <n v="29.53"/>
    <x v="11"/>
    <x v="2"/>
  </r>
  <r>
    <n v="45270"/>
    <x v="421"/>
    <x v="20"/>
    <x v="0"/>
    <x v="0"/>
    <s v="Xerox 221"/>
    <x v="710"/>
    <n v="1"/>
    <n v="3.11"/>
    <x v="11"/>
    <x v="2"/>
  </r>
  <r>
    <n v="45271"/>
    <x v="362"/>
    <x v="20"/>
    <x v="0"/>
    <x v="7"/>
    <s v="Advantus Push Pins"/>
    <x v="3872"/>
    <n v="7"/>
    <n v="6.26"/>
    <x v="11"/>
    <x v="2"/>
  </r>
  <r>
    <n v="45271"/>
    <x v="362"/>
    <x v="20"/>
    <x v="2"/>
    <x v="6"/>
    <s v="AT&amp;T CL83451 4-Handset Telephone"/>
    <x v="4116"/>
    <n v="5"/>
    <n v="298.69"/>
    <x v="11"/>
    <x v="2"/>
  </r>
  <r>
    <n v="45271"/>
    <x v="667"/>
    <x v="26"/>
    <x v="0"/>
    <x v="2"/>
    <s v="Tennsco Regal Shelving Units"/>
    <x v="4117"/>
    <n v="3"/>
    <n v="-51.72"/>
    <x v="11"/>
    <x v="2"/>
  </r>
  <r>
    <n v="45271"/>
    <x v="667"/>
    <x v="26"/>
    <x v="2"/>
    <x v="9"/>
    <s v="ImationÂ 32GB Pocket Pro USB 3.0Â Flash DriveÂ - 32 GB - Black - 1 P ..."/>
    <x v="1451"/>
    <n v="5"/>
    <n v="29.95"/>
    <x v="11"/>
    <x v="2"/>
  </r>
  <r>
    <n v="45271"/>
    <x v="667"/>
    <x v="26"/>
    <x v="2"/>
    <x v="6"/>
    <s v="Jabra SPEAK 410"/>
    <x v="4118"/>
    <n v="4"/>
    <n v="30.08"/>
    <x v="11"/>
    <x v="2"/>
  </r>
  <r>
    <n v="45271"/>
    <x v="278"/>
    <x v="22"/>
    <x v="1"/>
    <x v="8"/>
    <s v="3M Hangers With Command Adhesive"/>
    <x v="4119"/>
    <n v="4"/>
    <n v="6.07"/>
    <x v="11"/>
    <x v="2"/>
  </r>
  <r>
    <n v="45271"/>
    <x v="278"/>
    <x v="22"/>
    <x v="2"/>
    <x v="6"/>
    <s v="AT&amp;T TR1909W"/>
    <x v="250"/>
    <n v="3"/>
    <n v="22.68"/>
    <x v="11"/>
    <x v="2"/>
  </r>
  <r>
    <n v="45271"/>
    <x v="278"/>
    <x v="22"/>
    <x v="2"/>
    <x v="9"/>
    <s v="First Data FD10 PIN Pad"/>
    <x v="2976"/>
    <n v="4"/>
    <n v="31.6"/>
    <x v="11"/>
    <x v="2"/>
  </r>
  <r>
    <n v="45271"/>
    <x v="336"/>
    <x v="16"/>
    <x v="0"/>
    <x v="2"/>
    <s v="Steel Personal Filing/Posting Tote"/>
    <x v="4120"/>
    <n v="3"/>
    <n v="7.46"/>
    <x v="11"/>
    <x v="2"/>
  </r>
  <r>
    <n v="45271"/>
    <x v="273"/>
    <x v="15"/>
    <x v="0"/>
    <x v="4"/>
    <s v="Prang Drawing Pencil Set"/>
    <x v="4121"/>
    <n v="3"/>
    <n v="1.67"/>
    <x v="11"/>
    <x v="2"/>
  </r>
  <r>
    <n v="45271"/>
    <x v="270"/>
    <x v="10"/>
    <x v="0"/>
    <x v="2"/>
    <s v="Acco Perma 4000 Stacking Storage Drawers"/>
    <x v="92"/>
    <n v="5"/>
    <n v="-4.0599999999999996"/>
    <x v="11"/>
    <x v="2"/>
  </r>
  <r>
    <n v="45271"/>
    <x v="270"/>
    <x v="10"/>
    <x v="0"/>
    <x v="14"/>
    <s v="Elite 5&quot; Scissors"/>
    <x v="2585"/>
    <n v="2"/>
    <n v="1.69"/>
    <x v="11"/>
    <x v="2"/>
  </r>
  <r>
    <n v="45271"/>
    <x v="270"/>
    <x v="10"/>
    <x v="1"/>
    <x v="5"/>
    <s v="Office Star - Contemporary Task Swivel chair with Loop Arms, Charcoal"/>
    <x v="4122"/>
    <n v="5"/>
    <n v="-137.53"/>
    <x v="11"/>
    <x v="2"/>
  </r>
  <r>
    <n v="45271"/>
    <x v="270"/>
    <x v="10"/>
    <x v="0"/>
    <x v="12"/>
    <s v="Belkin 325VA UPS Surge Protector, 6'"/>
    <x v="2605"/>
    <n v="4"/>
    <n v="24.2"/>
    <x v="11"/>
    <x v="2"/>
  </r>
  <r>
    <n v="45271"/>
    <x v="270"/>
    <x v="10"/>
    <x v="1"/>
    <x v="13"/>
    <s v="Lesro Round Back Collection Coffee Table, End Table"/>
    <x v="1158"/>
    <n v="3"/>
    <n v="-147.87"/>
    <x v="11"/>
    <x v="2"/>
  </r>
  <r>
    <n v="45271"/>
    <x v="35"/>
    <x v="11"/>
    <x v="1"/>
    <x v="5"/>
    <s v="Global Fabric Manager's Chair, Dark Gray"/>
    <x v="4123"/>
    <n v="5"/>
    <n v="25.25"/>
    <x v="11"/>
    <x v="2"/>
  </r>
  <r>
    <n v="45271"/>
    <x v="494"/>
    <x v="3"/>
    <x v="0"/>
    <x v="3"/>
    <s v="Ibico Laser Imprintable Binding System Covers"/>
    <x v="2360"/>
    <n v="5"/>
    <n v="68.12"/>
    <x v="11"/>
    <x v="2"/>
  </r>
  <r>
    <n v="45271"/>
    <x v="494"/>
    <x v="3"/>
    <x v="0"/>
    <x v="4"/>
    <s v="Boston 16765 Mini Stand Up Battery Pencil Sharpener"/>
    <x v="4124"/>
    <n v="2"/>
    <n v="6.06"/>
    <x v="11"/>
    <x v="2"/>
  </r>
  <r>
    <n v="45271"/>
    <x v="494"/>
    <x v="3"/>
    <x v="0"/>
    <x v="0"/>
    <s v="IBM Multi-Purpose Copy Paper, 8 1/2 x 11&quot;, Case"/>
    <x v="1000"/>
    <n v="1"/>
    <n v="13.94"/>
    <x v="11"/>
    <x v="2"/>
  </r>
  <r>
    <n v="45271"/>
    <x v="494"/>
    <x v="3"/>
    <x v="2"/>
    <x v="9"/>
    <s v="Microsoft Natural Ergonomic Keyboard 4000"/>
    <x v="1446"/>
    <n v="4"/>
    <n v="25.19"/>
    <x v="11"/>
    <x v="2"/>
  </r>
  <r>
    <n v="45271"/>
    <x v="494"/>
    <x v="3"/>
    <x v="1"/>
    <x v="5"/>
    <s v="Global Wood Trimmed Manager's Task Chair, Khaki"/>
    <x v="3487"/>
    <n v="5"/>
    <n v="-31.84"/>
    <x v="11"/>
    <x v="2"/>
  </r>
  <r>
    <n v="45271"/>
    <x v="494"/>
    <x v="3"/>
    <x v="0"/>
    <x v="3"/>
    <s v="Recycled Easel Ring Binders"/>
    <x v="1339"/>
    <n v="3"/>
    <n v="11.19"/>
    <x v="11"/>
    <x v="2"/>
  </r>
  <r>
    <n v="45271"/>
    <x v="494"/>
    <x v="3"/>
    <x v="0"/>
    <x v="3"/>
    <s v="GBC Recycled VeloBinder Covers"/>
    <x v="4125"/>
    <n v="9"/>
    <n v="39.869999999999997"/>
    <x v="11"/>
    <x v="2"/>
  </r>
  <r>
    <n v="45271"/>
    <x v="494"/>
    <x v="3"/>
    <x v="1"/>
    <x v="13"/>
    <s v="Hon Non-Folding Utility Tables"/>
    <x v="4126"/>
    <n v="7"/>
    <n v="111.52"/>
    <x v="11"/>
    <x v="2"/>
  </r>
  <r>
    <n v="45271"/>
    <x v="494"/>
    <x v="3"/>
    <x v="0"/>
    <x v="2"/>
    <s v="Rogers Profile Extra Capacity Storage Tub"/>
    <x v="4127"/>
    <n v="3"/>
    <n v="2.0099999999999998"/>
    <x v="11"/>
    <x v="2"/>
  </r>
  <r>
    <n v="45271"/>
    <x v="494"/>
    <x v="3"/>
    <x v="0"/>
    <x v="12"/>
    <s v="Fellowes 8 Outlet Superior Workstation Surge Protector"/>
    <x v="4128"/>
    <n v="2"/>
    <n v="24.19"/>
    <x v="11"/>
    <x v="2"/>
  </r>
  <r>
    <n v="45271"/>
    <x v="494"/>
    <x v="3"/>
    <x v="0"/>
    <x v="3"/>
    <s v="Black Avery Memo-Size 3-Ring Binder, 5 1/2&quot; x 8 1/2&quot;"/>
    <x v="4129"/>
    <n v="2"/>
    <n v="2.13"/>
    <x v="11"/>
    <x v="2"/>
  </r>
  <r>
    <n v="45271"/>
    <x v="571"/>
    <x v="10"/>
    <x v="0"/>
    <x v="12"/>
    <s v="Belkin F5C206VTEL 6 Outlet Surge"/>
    <x v="4130"/>
    <n v="4"/>
    <n v="9.19"/>
    <x v="11"/>
    <x v="2"/>
  </r>
  <r>
    <n v="45272"/>
    <x v="140"/>
    <x v="10"/>
    <x v="0"/>
    <x v="3"/>
    <s v="Wilson Jones Century Plastic Molded Ring Binders"/>
    <x v="3007"/>
    <n v="3"/>
    <n v="-14.33"/>
    <x v="11"/>
    <x v="2"/>
  </r>
  <r>
    <n v="45272"/>
    <x v="140"/>
    <x v="10"/>
    <x v="2"/>
    <x v="9"/>
    <s v="Logitech G602 Wireless Gaming Mouse"/>
    <x v="1841"/>
    <n v="6"/>
    <n v="76.790000000000006"/>
    <x v="11"/>
    <x v="2"/>
  </r>
  <r>
    <n v="45272"/>
    <x v="342"/>
    <x v="14"/>
    <x v="2"/>
    <x v="6"/>
    <s v="Jabra SPEAK 410"/>
    <x v="693"/>
    <n v="7"/>
    <n v="184.22"/>
    <x v="11"/>
    <x v="2"/>
  </r>
  <r>
    <n v="45272"/>
    <x v="342"/>
    <x v="14"/>
    <x v="1"/>
    <x v="8"/>
    <s v="Westinghouse Clip-On Gooseneck Lamps"/>
    <x v="3849"/>
    <n v="4"/>
    <n v="8.6999999999999993"/>
    <x v="11"/>
    <x v="2"/>
  </r>
  <r>
    <n v="45272"/>
    <x v="342"/>
    <x v="14"/>
    <x v="0"/>
    <x v="4"/>
    <s v="Newell 333"/>
    <x v="670"/>
    <n v="5"/>
    <n v="3.61"/>
    <x v="11"/>
    <x v="2"/>
  </r>
  <r>
    <n v="45272"/>
    <x v="342"/>
    <x v="14"/>
    <x v="0"/>
    <x v="2"/>
    <s v="Fellowes Desktop Hanging File Manager"/>
    <x v="4131"/>
    <n v="2"/>
    <n v="6.72"/>
    <x v="11"/>
    <x v="2"/>
  </r>
  <r>
    <n v="45272"/>
    <x v="574"/>
    <x v="4"/>
    <x v="2"/>
    <x v="9"/>
    <s v="Case Logic 2.4GHz Wireless Keyboard"/>
    <x v="3585"/>
    <n v="5"/>
    <n v="20"/>
    <x v="11"/>
    <x v="2"/>
  </r>
  <r>
    <n v="45272"/>
    <x v="574"/>
    <x v="4"/>
    <x v="0"/>
    <x v="0"/>
    <s v="Xerox 1907"/>
    <x v="644"/>
    <n v="4"/>
    <n v="23.09"/>
    <x v="11"/>
    <x v="2"/>
  </r>
  <r>
    <n v="45272"/>
    <x v="503"/>
    <x v="3"/>
    <x v="1"/>
    <x v="8"/>
    <s v="Howard Miller 14-1/2&quot; Diameter Chrome Round Wall Clock"/>
    <x v="4132"/>
    <n v="6"/>
    <n v="122.76"/>
    <x v="11"/>
    <x v="2"/>
  </r>
  <r>
    <n v="45272"/>
    <x v="503"/>
    <x v="3"/>
    <x v="0"/>
    <x v="12"/>
    <s v="Belkin F9H710-06 7 Outlet SurgeMaster Surge Protector"/>
    <x v="1274"/>
    <n v="3"/>
    <n v="15.83"/>
    <x v="11"/>
    <x v="2"/>
  </r>
  <r>
    <n v="45272"/>
    <x v="270"/>
    <x v="20"/>
    <x v="1"/>
    <x v="8"/>
    <s v="Eldon 500 Class Desk Accessories"/>
    <x v="4133"/>
    <n v="5"/>
    <n v="19.920000000000002"/>
    <x v="11"/>
    <x v="2"/>
  </r>
  <r>
    <n v="45272"/>
    <x v="270"/>
    <x v="20"/>
    <x v="0"/>
    <x v="14"/>
    <s v="Fiskars Home &amp; Office Scissors"/>
    <x v="2219"/>
    <n v="4"/>
    <n v="9.9499999999999993"/>
    <x v="11"/>
    <x v="2"/>
  </r>
  <r>
    <n v="45272"/>
    <x v="270"/>
    <x v="20"/>
    <x v="0"/>
    <x v="4"/>
    <s v="Sanford Pocket Accent Highlighters"/>
    <x v="4134"/>
    <n v="7"/>
    <n v="4.82"/>
    <x v="11"/>
    <x v="2"/>
  </r>
  <r>
    <n v="45273"/>
    <x v="484"/>
    <x v="39"/>
    <x v="2"/>
    <x v="9"/>
    <s v="Memorex Mini Travel Drive 16 GB USB 2.0 Flash Drive"/>
    <x v="629"/>
    <n v="4"/>
    <n v="24.91"/>
    <x v="11"/>
    <x v="2"/>
  </r>
  <r>
    <n v="45273"/>
    <x v="274"/>
    <x v="3"/>
    <x v="0"/>
    <x v="3"/>
    <s v="Acco Pressboard Covers with Storage Hooks, 14 7/8&quot; x 11&quot;, Dark Blue"/>
    <x v="675"/>
    <n v="2"/>
    <n v="2.21"/>
    <x v="11"/>
    <x v="2"/>
  </r>
  <r>
    <n v="45273"/>
    <x v="274"/>
    <x v="3"/>
    <x v="1"/>
    <x v="13"/>
    <s v="Bretford CR4500 Series Slim Rectangular Table"/>
    <x v="4135"/>
    <n v="4"/>
    <n v="41.79"/>
    <x v="11"/>
    <x v="2"/>
  </r>
  <r>
    <n v="45273"/>
    <x v="29"/>
    <x v="3"/>
    <x v="0"/>
    <x v="4"/>
    <s v="Crayola Colored Pencils"/>
    <x v="1026"/>
    <n v="3"/>
    <n v="3.25"/>
    <x v="11"/>
    <x v="2"/>
  </r>
  <r>
    <n v="45274"/>
    <x v="283"/>
    <x v="29"/>
    <x v="1"/>
    <x v="8"/>
    <s v="Executive Impressions 14&quot;"/>
    <x v="4136"/>
    <n v="6"/>
    <n v="58.69"/>
    <x v="11"/>
    <x v="2"/>
  </r>
  <r>
    <n v="45274"/>
    <x v="500"/>
    <x v="20"/>
    <x v="0"/>
    <x v="0"/>
    <s v="Strathmore Photo Frame Cards"/>
    <x v="471"/>
    <n v="2"/>
    <n v="6.73"/>
    <x v="11"/>
    <x v="2"/>
  </r>
  <r>
    <n v="45274"/>
    <x v="500"/>
    <x v="20"/>
    <x v="0"/>
    <x v="1"/>
    <s v="Avery 474"/>
    <x v="1235"/>
    <n v="2"/>
    <n v="2.82"/>
    <x v="11"/>
    <x v="2"/>
  </r>
  <r>
    <n v="45274"/>
    <x v="500"/>
    <x v="20"/>
    <x v="0"/>
    <x v="7"/>
    <s v="OIC Colored Binder Clips, Assorted Sizes"/>
    <x v="2771"/>
    <n v="6"/>
    <n v="10.53"/>
    <x v="11"/>
    <x v="2"/>
  </r>
  <r>
    <n v="45274"/>
    <x v="500"/>
    <x v="20"/>
    <x v="1"/>
    <x v="8"/>
    <s v="GE 48&quot; Fluorescent Tube, Cool White Energy Saver, 34 Watts, 30/Box"/>
    <x v="4137"/>
    <n v="4"/>
    <n v="198.46"/>
    <x v="11"/>
    <x v="2"/>
  </r>
  <r>
    <n v="45274"/>
    <x v="500"/>
    <x v="20"/>
    <x v="0"/>
    <x v="2"/>
    <s v="Advantus Rolling Storage Box"/>
    <x v="4138"/>
    <n v="1"/>
    <n v="4.63"/>
    <x v="11"/>
    <x v="2"/>
  </r>
  <r>
    <n v="45274"/>
    <x v="500"/>
    <x v="20"/>
    <x v="0"/>
    <x v="3"/>
    <s v="Acco Recycled 2&quot; Capacity Laser Printer Hanging Data Binders"/>
    <x v="3361"/>
    <n v="2"/>
    <n v="7.8"/>
    <x v="11"/>
    <x v="2"/>
  </r>
  <r>
    <n v="45274"/>
    <x v="171"/>
    <x v="3"/>
    <x v="1"/>
    <x v="5"/>
    <s v="Global Task Chair, Black"/>
    <x v="3893"/>
    <n v="2"/>
    <n v="-9.16"/>
    <x v="11"/>
    <x v="2"/>
  </r>
  <r>
    <n v="45274"/>
    <x v="171"/>
    <x v="3"/>
    <x v="0"/>
    <x v="2"/>
    <s v="Tenex Personal Project File with Scoop Front Design, Black"/>
    <x v="4139"/>
    <n v="10"/>
    <n v="35.049999999999997"/>
    <x v="11"/>
    <x v="2"/>
  </r>
  <r>
    <n v="45275"/>
    <x v="634"/>
    <x v="14"/>
    <x v="1"/>
    <x v="13"/>
    <s v="Chromcraft Bull-Nose Wood Oval Conference Tables &amp; Bases"/>
    <x v="3649"/>
    <n v="3"/>
    <n v="231.41"/>
    <x v="11"/>
    <x v="2"/>
  </r>
  <r>
    <n v="45275"/>
    <x v="634"/>
    <x v="14"/>
    <x v="0"/>
    <x v="2"/>
    <s v="Recycled Data-Pak for Archival Bound Computer Printouts, 12-1/2 x 12-1/2 x 16"/>
    <x v="3042"/>
    <n v="3"/>
    <n v="80.02"/>
    <x v="11"/>
    <x v="2"/>
  </r>
  <r>
    <n v="45275"/>
    <x v="157"/>
    <x v="3"/>
    <x v="1"/>
    <x v="8"/>
    <s v="Eldon Expressions Wood Desk Accessories, Oak"/>
    <x v="1195"/>
    <n v="2"/>
    <n v="4.28"/>
    <x v="11"/>
    <x v="2"/>
  </r>
  <r>
    <n v="45275"/>
    <x v="109"/>
    <x v="11"/>
    <x v="1"/>
    <x v="13"/>
    <s v="Bretford Rectangular Conference Table Tops"/>
    <x v="4140"/>
    <n v="3"/>
    <n v="-304.67"/>
    <x v="11"/>
    <x v="2"/>
  </r>
  <r>
    <n v="45275"/>
    <x v="109"/>
    <x v="11"/>
    <x v="0"/>
    <x v="12"/>
    <s v="Belkin 5 Outlet SurgeMaster Power Centers"/>
    <x v="2399"/>
    <n v="2"/>
    <n v="8.7200000000000006"/>
    <x v="11"/>
    <x v="2"/>
  </r>
  <r>
    <n v="45275"/>
    <x v="489"/>
    <x v="10"/>
    <x v="0"/>
    <x v="3"/>
    <s v="Avery Triangle Shaped Sheet Lifters, Black, 2/Pack"/>
    <x v="2854"/>
    <n v="3"/>
    <n v="-1.48"/>
    <x v="11"/>
    <x v="2"/>
  </r>
  <r>
    <n v="45275"/>
    <x v="529"/>
    <x v="13"/>
    <x v="0"/>
    <x v="0"/>
    <s v="Xerox 1958"/>
    <x v="5"/>
    <n v="3"/>
    <n v="9.33"/>
    <x v="11"/>
    <x v="2"/>
  </r>
  <r>
    <n v="45276"/>
    <x v="583"/>
    <x v="1"/>
    <x v="0"/>
    <x v="3"/>
    <s v="Cardinal Hold-It CD Pocket"/>
    <x v="4141"/>
    <n v="3"/>
    <n v="-7.9"/>
    <x v="11"/>
    <x v="2"/>
  </r>
  <r>
    <n v="45276"/>
    <x v="435"/>
    <x v="20"/>
    <x v="0"/>
    <x v="7"/>
    <s v="Stockwell Gold Paper Clips"/>
    <x v="4142"/>
    <n v="2"/>
    <n v="1.8"/>
    <x v="11"/>
    <x v="2"/>
  </r>
  <r>
    <n v="45276"/>
    <x v="500"/>
    <x v="3"/>
    <x v="1"/>
    <x v="5"/>
    <s v="Office Star - Contemporary Swivel Chair with Padded Adjustable Arms and Flex Back"/>
    <x v="4143"/>
    <n v="5"/>
    <n v="7.05"/>
    <x v="11"/>
    <x v="2"/>
  </r>
  <r>
    <n v="45276"/>
    <x v="394"/>
    <x v="25"/>
    <x v="0"/>
    <x v="12"/>
    <s v="Acco 6 Outlet Guardian Premium Surge Suppressor"/>
    <x v="2676"/>
    <n v="3"/>
    <n v="3.06"/>
    <x v="11"/>
    <x v="2"/>
  </r>
  <r>
    <n v="45276"/>
    <x v="451"/>
    <x v="3"/>
    <x v="2"/>
    <x v="9"/>
    <s v="ImationÂ USB 2.0 SwivelÂ Flash DriveÂ USBÂ flash driveÂ - 4 GB - Pink"/>
    <x v="4144"/>
    <n v="7"/>
    <n v="4.45"/>
    <x v="11"/>
    <x v="2"/>
  </r>
  <r>
    <n v="45277"/>
    <x v="773"/>
    <x v="3"/>
    <x v="1"/>
    <x v="13"/>
    <s v="Bretford Â“Just In TimeÂ” Height-Adjustable Multi-Task Work Tables"/>
    <x v="4145"/>
    <n v="6"/>
    <n v="-325.57"/>
    <x v="11"/>
    <x v="2"/>
  </r>
  <r>
    <n v="45277"/>
    <x v="528"/>
    <x v="22"/>
    <x v="0"/>
    <x v="2"/>
    <s v="Personal Filing Tote with Lid, Black/Gray"/>
    <x v="3610"/>
    <n v="3"/>
    <n v="13.03"/>
    <x v="11"/>
    <x v="2"/>
  </r>
  <r>
    <n v="45277"/>
    <x v="512"/>
    <x v="0"/>
    <x v="0"/>
    <x v="0"/>
    <s v="Xerox 214"/>
    <x v="1778"/>
    <n v="10"/>
    <n v="18.14"/>
    <x v="11"/>
    <x v="2"/>
  </r>
  <r>
    <n v="45277"/>
    <x v="512"/>
    <x v="0"/>
    <x v="2"/>
    <x v="9"/>
    <s v="WD My Passport Ultra 1TB Portable External Hard Drive"/>
    <x v="2949"/>
    <n v="3"/>
    <n v="-6.21"/>
    <x v="11"/>
    <x v="2"/>
  </r>
  <r>
    <n v="45277"/>
    <x v="270"/>
    <x v="31"/>
    <x v="0"/>
    <x v="3"/>
    <s v="Ibico Plastic and Wire Spiral Binding Combs"/>
    <x v="663"/>
    <n v="2"/>
    <n v="4.38"/>
    <x v="11"/>
    <x v="2"/>
  </r>
  <r>
    <n v="45277"/>
    <x v="270"/>
    <x v="31"/>
    <x v="0"/>
    <x v="3"/>
    <s v="GBC Laser Imprintable Binding System Covers, Desert Sand"/>
    <x v="3496"/>
    <n v="1"/>
    <n v="3.85"/>
    <x v="11"/>
    <x v="2"/>
  </r>
  <r>
    <n v="45277"/>
    <x v="579"/>
    <x v="14"/>
    <x v="0"/>
    <x v="3"/>
    <s v="GBC Ibimaster 500 Manual ProClick Binding System"/>
    <x v="4146"/>
    <n v="13"/>
    <n v="4946.37"/>
    <x v="11"/>
    <x v="2"/>
  </r>
  <r>
    <n v="45278"/>
    <x v="611"/>
    <x v="16"/>
    <x v="0"/>
    <x v="3"/>
    <s v="GBC VeloBinder Electric Binding Machine"/>
    <x v="4147"/>
    <n v="7"/>
    <n v="-169.37"/>
    <x v="11"/>
    <x v="2"/>
  </r>
  <r>
    <n v="45278"/>
    <x v="611"/>
    <x v="16"/>
    <x v="0"/>
    <x v="12"/>
    <s v="Acco 7-Outlet Masterpiece Power Center, Wihtout Fax/Phone Line Protection"/>
    <x v="4148"/>
    <n v="2"/>
    <n v="24.32"/>
    <x v="11"/>
    <x v="2"/>
  </r>
  <r>
    <n v="45278"/>
    <x v="611"/>
    <x v="16"/>
    <x v="0"/>
    <x v="14"/>
    <s v="Premier Automatic Letter Opener"/>
    <x v="4149"/>
    <n v="5"/>
    <n v="-204.31"/>
    <x v="11"/>
    <x v="2"/>
  </r>
  <r>
    <n v="45278"/>
    <x v="514"/>
    <x v="28"/>
    <x v="1"/>
    <x v="8"/>
    <s v="Eldon 200 Class Desk Accessories"/>
    <x v="125"/>
    <n v="3"/>
    <n v="6.03"/>
    <x v="11"/>
    <x v="2"/>
  </r>
  <r>
    <n v="45278"/>
    <x v="418"/>
    <x v="3"/>
    <x v="0"/>
    <x v="0"/>
    <s v="Eureka Recycled Copy Paper 8 1/2&quot; x 11&quot;, Ream"/>
    <x v="2167"/>
    <n v="6"/>
    <n v="18.66"/>
    <x v="11"/>
    <x v="2"/>
  </r>
  <r>
    <n v="45278"/>
    <x v="418"/>
    <x v="3"/>
    <x v="1"/>
    <x v="8"/>
    <s v="Seth Thomas 12&quot; Clock w/ Goldtone Case"/>
    <x v="4150"/>
    <n v="8"/>
    <n v="62.51"/>
    <x v="11"/>
    <x v="2"/>
  </r>
  <r>
    <n v="45278"/>
    <x v="418"/>
    <x v="3"/>
    <x v="0"/>
    <x v="14"/>
    <s v="Premier Electric Letter Opener"/>
    <x v="4151"/>
    <n v="5"/>
    <n v="28.97"/>
    <x v="11"/>
    <x v="2"/>
  </r>
  <r>
    <n v="45278"/>
    <x v="488"/>
    <x v="20"/>
    <x v="0"/>
    <x v="2"/>
    <s v="Tennsco Double-Tier Lockers"/>
    <x v="3709"/>
    <n v="4"/>
    <n v="117.01"/>
    <x v="11"/>
    <x v="2"/>
  </r>
  <r>
    <n v="45278"/>
    <x v="271"/>
    <x v="23"/>
    <x v="0"/>
    <x v="3"/>
    <s v="GBC DocuBind TL300 Electric Binding System"/>
    <x v="870"/>
    <n v="2"/>
    <n v="843.17"/>
    <x v="11"/>
    <x v="2"/>
  </r>
  <r>
    <n v="45278"/>
    <x v="617"/>
    <x v="3"/>
    <x v="2"/>
    <x v="9"/>
    <s v="SanDisk Cruzer 64 GB USB Flash Drive"/>
    <x v="4152"/>
    <n v="2"/>
    <n v="21.79"/>
    <x v="11"/>
    <x v="2"/>
  </r>
  <r>
    <n v="45278"/>
    <x v="617"/>
    <x v="3"/>
    <x v="2"/>
    <x v="9"/>
    <s v="LogitechÂ P710e Mobile Speakerphone"/>
    <x v="1320"/>
    <n v="3"/>
    <n v="146.77000000000001"/>
    <x v="11"/>
    <x v="2"/>
  </r>
  <r>
    <n v="45278"/>
    <x v="617"/>
    <x v="3"/>
    <x v="1"/>
    <x v="8"/>
    <s v="Eldon Expressions Wood and Plastic Desk Accessories, Oak"/>
    <x v="2153"/>
    <n v="4"/>
    <n v="11.18"/>
    <x v="11"/>
    <x v="2"/>
  </r>
  <r>
    <n v="45278"/>
    <x v="303"/>
    <x v="11"/>
    <x v="0"/>
    <x v="3"/>
    <s v="Vinyl Sectional Post Binders"/>
    <x v="4153"/>
    <n v="4"/>
    <n v="-30.16"/>
    <x v="11"/>
    <x v="2"/>
  </r>
  <r>
    <n v="45278"/>
    <x v="303"/>
    <x v="11"/>
    <x v="0"/>
    <x v="4"/>
    <s v="Newell 312"/>
    <x v="3007"/>
    <n v="4"/>
    <n v="2.34"/>
    <x v="11"/>
    <x v="2"/>
  </r>
  <r>
    <n v="45278"/>
    <x v="303"/>
    <x v="11"/>
    <x v="0"/>
    <x v="0"/>
    <s v="Black Print Carbonless 8 1/2&quot; x 8 1/4&quot; Rapid Memo Book"/>
    <x v="563"/>
    <n v="2"/>
    <n v="3.79"/>
    <x v="11"/>
    <x v="2"/>
  </r>
  <r>
    <n v="45278"/>
    <x v="303"/>
    <x v="11"/>
    <x v="2"/>
    <x v="9"/>
    <s v="Sony Micro Vault Click 8 GB USB 2.0 Flash Drive"/>
    <x v="4154"/>
    <n v="3"/>
    <n v="-8.4600000000000009"/>
    <x v="11"/>
    <x v="2"/>
  </r>
  <r>
    <n v="45278"/>
    <x v="303"/>
    <x v="11"/>
    <x v="1"/>
    <x v="13"/>
    <s v="Iceberg OfficeWorks 42&quot; Round Tables"/>
    <x v="4155"/>
    <n v="5"/>
    <n v="-264.22000000000003"/>
    <x v="11"/>
    <x v="2"/>
  </r>
  <r>
    <n v="45278"/>
    <x v="303"/>
    <x v="11"/>
    <x v="0"/>
    <x v="1"/>
    <s v="Avery White Multi-Purpose Labels"/>
    <x v="443"/>
    <n v="4"/>
    <n v="5.18"/>
    <x v="11"/>
    <x v="2"/>
  </r>
  <r>
    <n v="45278"/>
    <x v="303"/>
    <x v="11"/>
    <x v="2"/>
    <x v="6"/>
    <s v="Macally Suction Cup Mount"/>
    <x v="4156"/>
    <n v="3"/>
    <n v="-7.17"/>
    <x v="11"/>
    <x v="2"/>
  </r>
  <r>
    <n v="45278"/>
    <x v="672"/>
    <x v="40"/>
    <x v="1"/>
    <x v="5"/>
    <s v="Hon Every-Day Series Multi-Task Chairs"/>
    <x v="1283"/>
    <n v="3"/>
    <n v="112.79"/>
    <x v="11"/>
    <x v="2"/>
  </r>
  <r>
    <n v="45278"/>
    <x v="135"/>
    <x v="3"/>
    <x v="2"/>
    <x v="6"/>
    <s v="I Need's 3d Hello Kitty Hybrid Silicone Case Cover for HTC One X 4g with 3d Hello Kitty Stylus Pen Green/pink"/>
    <x v="4157"/>
    <n v="7"/>
    <n v="6.7"/>
    <x v="11"/>
    <x v="2"/>
  </r>
  <r>
    <n v="45279"/>
    <x v="442"/>
    <x v="12"/>
    <x v="1"/>
    <x v="13"/>
    <s v="SAFCO PlanMaster Boards, 60w x 37-1/2d, White Melamine"/>
    <x v="4158"/>
    <n v="6"/>
    <n v="-218.87"/>
    <x v="11"/>
    <x v="2"/>
  </r>
  <r>
    <n v="45279"/>
    <x v="442"/>
    <x v="12"/>
    <x v="0"/>
    <x v="3"/>
    <s v="Wilson Jones Clip &amp; Carry Folder Binder Tool for Ring Binders, Clear"/>
    <x v="3509"/>
    <n v="6"/>
    <n v="-7.66"/>
    <x v="11"/>
    <x v="2"/>
  </r>
  <r>
    <n v="45279"/>
    <x v="442"/>
    <x v="12"/>
    <x v="0"/>
    <x v="3"/>
    <s v="Cardinal Slant-D Ring Binder, Heavy Gauge Vinyl"/>
    <x v="1508"/>
    <n v="2"/>
    <n v="-4.17"/>
    <x v="11"/>
    <x v="2"/>
  </r>
  <r>
    <n v="45279"/>
    <x v="36"/>
    <x v="20"/>
    <x v="0"/>
    <x v="3"/>
    <s v="GBC Laser Imprintable Binding System Covers, Desert Sand"/>
    <x v="2867"/>
    <n v="3"/>
    <n v="11.56"/>
    <x v="11"/>
    <x v="2"/>
  </r>
  <r>
    <n v="45279"/>
    <x v="36"/>
    <x v="20"/>
    <x v="0"/>
    <x v="4"/>
    <s v="Newell 326"/>
    <x v="567"/>
    <n v="2"/>
    <n v="1.02"/>
    <x v="11"/>
    <x v="2"/>
  </r>
  <r>
    <n v="45279"/>
    <x v="455"/>
    <x v="1"/>
    <x v="0"/>
    <x v="3"/>
    <s v="Wilson Jones Easy Flow II Sheet Lifters"/>
    <x v="4159"/>
    <n v="5"/>
    <n v="-2.88"/>
    <x v="11"/>
    <x v="2"/>
  </r>
  <r>
    <n v="45279"/>
    <x v="68"/>
    <x v="2"/>
    <x v="1"/>
    <x v="8"/>
    <s v="Eldon &quot;L&quot; Workstation Diamond Chairmat"/>
    <x v="4160"/>
    <n v="5"/>
    <n v="-30.39"/>
    <x v="11"/>
    <x v="2"/>
  </r>
  <r>
    <n v="45280"/>
    <x v="723"/>
    <x v="29"/>
    <x v="2"/>
    <x v="9"/>
    <s v="SanDisk Ultra 32 GB MicroSDHC Class 10 Memory Card"/>
    <x v="243"/>
    <n v="3"/>
    <n v="8.6199999999999992"/>
    <x v="11"/>
    <x v="2"/>
  </r>
  <r>
    <n v="45280"/>
    <x v="314"/>
    <x v="29"/>
    <x v="1"/>
    <x v="8"/>
    <s v="C-Line Cubicle Keepers Polyproplyene Holder With Velcro Backings"/>
    <x v="4161"/>
    <n v="4"/>
    <n v="7.38"/>
    <x v="11"/>
    <x v="2"/>
  </r>
  <r>
    <n v="45280"/>
    <x v="314"/>
    <x v="29"/>
    <x v="0"/>
    <x v="3"/>
    <s v="DXL Angle-View Binders with Locking Rings by Samsill"/>
    <x v="2110"/>
    <n v="2"/>
    <n v="6.94"/>
    <x v="11"/>
    <x v="2"/>
  </r>
  <r>
    <n v="45280"/>
    <x v="550"/>
    <x v="40"/>
    <x v="0"/>
    <x v="0"/>
    <s v="Strathmore Photo Mount Cards"/>
    <x v="301"/>
    <n v="5"/>
    <n v="15.59"/>
    <x v="11"/>
    <x v="2"/>
  </r>
  <r>
    <n v="45282"/>
    <x v="52"/>
    <x v="11"/>
    <x v="0"/>
    <x v="3"/>
    <s v="Avery 3 1/2&quot; Diskette Storage Pages, 10/Pack"/>
    <x v="4162"/>
    <n v="10"/>
    <n v="-25.06"/>
    <x v="11"/>
    <x v="2"/>
  </r>
  <r>
    <n v="45282"/>
    <x v="52"/>
    <x v="11"/>
    <x v="1"/>
    <x v="8"/>
    <s v="3M Hangers With Command Adhesive"/>
    <x v="3891"/>
    <n v="4"/>
    <n v="3.11"/>
    <x v="11"/>
    <x v="2"/>
  </r>
  <r>
    <n v="45282"/>
    <x v="52"/>
    <x v="11"/>
    <x v="1"/>
    <x v="8"/>
    <s v="Seth Thomas 14&quot; Day/Date Wall Clock"/>
    <x v="120"/>
    <n v="1"/>
    <n v="4.84"/>
    <x v="11"/>
    <x v="2"/>
  </r>
  <r>
    <n v="45282"/>
    <x v="164"/>
    <x v="20"/>
    <x v="0"/>
    <x v="3"/>
    <s v="GBC Pre-Punched Binding Paper, Plastic, White, 8-1/2&quot; x 11&quot;"/>
    <x v="489"/>
    <n v="2"/>
    <n v="8.9499999999999993"/>
    <x v="11"/>
    <x v="2"/>
  </r>
  <r>
    <n v="45282"/>
    <x v="341"/>
    <x v="22"/>
    <x v="0"/>
    <x v="3"/>
    <s v="Wilson Jones International Size A4 Ring Binders"/>
    <x v="3667"/>
    <n v="4"/>
    <n v="19.38"/>
    <x v="11"/>
    <x v="2"/>
  </r>
  <r>
    <n v="45282"/>
    <x v="341"/>
    <x v="22"/>
    <x v="2"/>
    <x v="15"/>
    <s v="Texas Instrument TI-15 Fraction Calculator"/>
    <x v="825"/>
    <n v="1"/>
    <n v="3.76"/>
    <x v="11"/>
    <x v="2"/>
  </r>
  <r>
    <n v="45282"/>
    <x v="416"/>
    <x v="3"/>
    <x v="1"/>
    <x v="8"/>
    <s v="Deflect-o DuraMat Antistatic Studded Beveled Mat for Medium Pile Carpeting"/>
    <x v="4163"/>
    <n v="8"/>
    <n v="202.25"/>
    <x v="11"/>
    <x v="2"/>
  </r>
  <r>
    <n v="45282"/>
    <x v="416"/>
    <x v="3"/>
    <x v="1"/>
    <x v="8"/>
    <s v="Magnifier Swing Arm Lamp"/>
    <x v="2237"/>
    <n v="2"/>
    <n v="10.91"/>
    <x v="11"/>
    <x v="2"/>
  </r>
  <r>
    <n v="45283"/>
    <x v="391"/>
    <x v="6"/>
    <x v="1"/>
    <x v="8"/>
    <s v="Electrix Architect's Clamp-On Swing Arm Lamp, Black"/>
    <x v="4164"/>
    <n v="6"/>
    <n v="166.1"/>
    <x v="11"/>
    <x v="2"/>
  </r>
  <r>
    <n v="45283"/>
    <x v="391"/>
    <x v="6"/>
    <x v="1"/>
    <x v="8"/>
    <s v="Electrix Architect's Clamp-On Swing Arm Lamp, Black"/>
    <x v="4165"/>
    <n v="3"/>
    <n v="83.05"/>
    <x v="11"/>
    <x v="2"/>
  </r>
  <r>
    <n v="45283"/>
    <x v="624"/>
    <x v="1"/>
    <x v="1"/>
    <x v="11"/>
    <s v="Bush Westfield Collection Bookcases, Fully Assembled"/>
    <x v="4166"/>
    <n v="2"/>
    <n v="-14.14"/>
    <x v="11"/>
    <x v="2"/>
  </r>
  <r>
    <n v="45283"/>
    <x v="212"/>
    <x v="14"/>
    <x v="0"/>
    <x v="7"/>
    <s v="Acco Clips to Go Binder Clips, 24 Clips in Two Sizes"/>
    <x v="2965"/>
    <n v="7"/>
    <n v="11.68"/>
    <x v="11"/>
    <x v="2"/>
  </r>
  <r>
    <n v="45283"/>
    <x v="685"/>
    <x v="10"/>
    <x v="0"/>
    <x v="3"/>
    <s v="Universal Recycled Hanging Pressboard Report Binders, Letter Size"/>
    <x v="796"/>
    <n v="3"/>
    <n v="-4.07"/>
    <x v="11"/>
    <x v="2"/>
  </r>
  <r>
    <n v="45283"/>
    <x v="150"/>
    <x v="22"/>
    <x v="0"/>
    <x v="4"/>
    <s v="Newell 317"/>
    <x v="1946"/>
    <n v="3"/>
    <n v="2.56"/>
    <x v="11"/>
    <x v="2"/>
  </r>
  <r>
    <n v="45283"/>
    <x v="150"/>
    <x v="22"/>
    <x v="0"/>
    <x v="0"/>
    <s v="Computer Printout Paper with Letter-Trim Perforations"/>
    <x v="1956"/>
    <n v="2"/>
    <n v="18.21"/>
    <x v="11"/>
    <x v="2"/>
  </r>
  <r>
    <n v="45283"/>
    <x v="150"/>
    <x v="22"/>
    <x v="0"/>
    <x v="4"/>
    <s v="Sanford EarthWrite Recycled Pencils, Medium Soft, #2"/>
    <x v="4167"/>
    <n v="2"/>
    <n v="1.18"/>
    <x v="11"/>
    <x v="2"/>
  </r>
  <r>
    <n v="45283"/>
    <x v="150"/>
    <x v="22"/>
    <x v="0"/>
    <x v="2"/>
    <s v="SAFCO Boltless Steel Shelving"/>
    <x v="4168"/>
    <n v="2"/>
    <n v="2.27"/>
    <x v="11"/>
    <x v="2"/>
  </r>
  <r>
    <n v="45283"/>
    <x v="150"/>
    <x v="22"/>
    <x v="0"/>
    <x v="0"/>
    <s v="Xerox 1911"/>
    <x v="4052"/>
    <n v="1"/>
    <n v="22.99"/>
    <x v="11"/>
    <x v="2"/>
  </r>
  <r>
    <n v="45283"/>
    <x v="150"/>
    <x v="22"/>
    <x v="0"/>
    <x v="10"/>
    <s v="Staple envelope"/>
    <x v="32"/>
    <n v="2"/>
    <n v="30.36"/>
    <x v="11"/>
    <x v="2"/>
  </r>
  <r>
    <n v="45283"/>
    <x v="150"/>
    <x v="22"/>
    <x v="0"/>
    <x v="2"/>
    <s v="Tennsco Snap-Together Open Shelving Units, Starter Sets and Add-On Units"/>
    <x v="1410"/>
    <n v="4"/>
    <n v="55.9"/>
    <x v="11"/>
    <x v="2"/>
  </r>
  <r>
    <n v="45283"/>
    <x v="27"/>
    <x v="43"/>
    <x v="2"/>
    <x v="16"/>
    <s v="Hewlett Packard 610 Color Digital Copier / Printer"/>
    <x v="1132"/>
    <n v="4"/>
    <n v="899.98"/>
    <x v="11"/>
    <x v="2"/>
  </r>
  <r>
    <n v="45283"/>
    <x v="174"/>
    <x v="0"/>
    <x v="2"/>
    <x v="6"/>
    <s v="Wireless Extenders zBoost YX545 SOHO Signal Booster"/>
    <x v="1768"/>
    <n v="3"/>
    <n v="39.69"/>
    <x v="11"/>
    <x v="2"/>
  </r>
  <r>
    <n v="45283"/>
    <x v="174"/>
    <x v="0"/>
    <x v="0"/>
    <x v="1"/>
    <s v="Permanent Self-Adhesive File Folder Labels for Typewriters, 1 1/8 x 3 1/2, White"/>
    <x v="413"/>
    <n v="9"/>
    <n v="14.74"/>
    <x v="11"/>
    <x v="2"/>
  </r>
  <r>
    <n v="45283"/>
    <x v="174"/>
    <x v="0"/>
    <x v="2"/>
    <x v="6"/>
    <s v="Cisco SPA 502G IP Phone"/>
    <x v="2939"/>
    <n v="3"/>
    <n v="35.99"/>
    <x v="11"/>
    <x v="2"/>
  </r>
  <r>
    <n v="45283"/>
    <x v="174"/>
    <x v="0"/>
    <x v="2"/>
    <x v="6"/>
    <s v="Cisco SPA112 2 Port Phone Adapter"/>
    <x v="2373"/>
    <n v="3"/>
    <n v="14.84"/>
    <x v="11"/>
    <x v="2"/>
  </r>
  <r>
    <n v="45283"/>
    <x v="174"/>
    <x v="0"/>
    <x v="1"/>
    <x v="8"/>
    <s v="GE General Purpose, Extra Long Life, Showcase &amp; Floodlight Incandescent Bulbs"/>
    <x v="3063"/>
    <n v="2"/>
    <n v="-0.76"/>
    <x v="11"/>
    <x v="2"/>
  </r>
  <r>
    <n v="45283"/>
    <x v="365"/>
    <x v="2"/>
    <x v="0"/>
    <x v="0"/>
    <s v="Xerox 1952"/>
    <x v="1140"/>
    <n v="2"/>
    <n v="2.69"/>
    <x v="11"/>
    <x v="2"/>
  </r>
  <r>
    <n v="45283"/>
    <x v="365"/>
    <x v="2"/>
    <x v="2"/>
    <x v="6"/>
    <s v="LG G2"/>
    <x v="4169"/>
    <n v="5"/>
    <n v="-374.99"/>
    <x v="11"/>
    <x v="2"/>
  </r>
  <r>
    <n v="45284"/>
    <x v="237"/>
    <x v="25"/>
    <x v="0"/>
    <x v="3"/>
    <s v="GBC Linen Binding Covers"/>
    <x v="3979"/>
    <n v="3"/>
    <n v="-20.45"/>
    <x v="11"/>
    <x v="2"/>
  </r>
  <r>
    <n v="45284"/>
    <x v="237"/>
    <x v="25"/>
    <x v="0"/>
    <x v="2"/>
    <s v="Tennsco Double-Tier Lockers"/>
    <x v="4170"/>
    <n v="3"/>
    <n v="-47.25"/>
    <x v="11"/>
    <x v="2"/>
  </r>
  <r>
    <n v="45284"/>
    <x v="237"/>
    <x v="25"/>
    <x v="2"/>
    <x v="9"/>
    <s v="Microsoft Sculpt Comfort Mouse"/>
    <x v="4171"/>
    <n v="8"/>
    <n v="76.7"/>
    <x v="11"/>
    <x v="2"/>
  </r>
  <r>
    <n v="45284"/>
    <x v="625"/>
    <x v="22"/>
    <x v="0"/>
    <x v="0"/>
    <s v="Xerox 1898"/>
    <x v="1803"/>
    <n v="5"/>
    <n v="16.03"/>
    <x v="11"/>
    <x v="2"/>
  </r>
  <r>
    <n v="45284"/>
    <x v="401"/>
    <x v="20"/>
    <x v="1"/>
    <x v="8"/>
    <s v="Luxo Adjustable Task Clamp Lamp"/>
    <x v="4172"/>
    <n v="9"/>
    <n v="207.89"/>
    <x v="11"/>
    <x v="2"/>
  </r>
  <r>
    <n v="45284"/>
    <x v="203"/>
    <x v="20"/>
    <x v="2"/>
    <x v="6"/>
    <s v="Samsung Rugby III"/>
    <x v="640"/>
    <n v="3"/>
    <n v="53.45"/>
    <x v="11"/>
    <x v="2"/>
  </r>
  <r>
    <n v="45284"/>
    <x v="573"/>
    <x v="3"/>
    <x v="1"/>
    <x v="8"/>
    <s v="Eldon 200 Class Desk Accessories, Smoke"/>
    <x v="3434"/>
    <n v="7"/>
    <n v="18.46"/>
    <x v="11"/>
    <x v="2"/>
  </r>
  <r>
    <n v="45284"/>
    <x v="573"/>
    <x v="3"/>
    <x v="0"/>
    <x v="10"/>
    <s v="Staple envelope"/>
    <x v="3274"/>
    <n v="7"/>
    <n v="18.690000000000001"/>
    <x v="11"/>
    <x v="2"/>
  </r>
  <r>
    <n v="45285"/>
    <x v="271"/>
    <x v="3"/>
    <x v="2"/>
    <x v="6"/>
    <s v="Samsung Galaxy Note 2"/>
    <x v="4173"/>
    <n v="7"/>
    <n v="257.58999999999997"/>
    <x v="11"/>
    <x v="2"/>
  </r>
  <r>
    <n v="45285"/>
    <x v="271"/>
    <x v="3"/>
    <x v="0"/>
    <x v="0"/>
    <s v="Xerox 225"/>
    <x v="413"/>
    <n v="7"/>
    <n v="21.77"/>
    <x v="11"/>
    <x v="2"/>
  </r>
  <r>
    <n v="45285"/>
    <x v="271"/>
    <x v="3"/>
    <x v="2"/>
    <x v="9"/>
    <s v="SanDisk Cruzer 64 GB USB Flash Drive"/>
    <x v="4174"/>
    <n v="7"/>
    <n v="76.27"/>
    <x v="11"/>
    <x v="2"/>
  </r>
  <r>
    <n v="45285"/>
    <x v="280"/>
    <x v="20"/>
    <x v="0"/>
    <x v="3"/>
    <s v="GBC Premium Transparent Covers with Diagonal Lined Pattern"/>
    <x v="213"/>
    <n v="2"/>
    <n v="11.75"/>
    <x v="11"/>
    <x v="2"/>
  </r>
  <r>
    <n v="45285"/>
    <x v="531"/>
    <x v="38"/>
    <x v="1"/>
    <x v="8"/>
    <s v="Master Big Foot Doorstop, Beige"/>
    <x v="1609"/>
    <n v="4"/>
    <n v="6.55"/>
    <x v="11"/>
    <x v="2"/>
  </r>
  <r>
    <n v="45285"/>
    <x v="364"/>
    <x v="22"/>
    <x v="1"/>
    <x v="5"/>
    <s v="Global Executive Mid-Back Manager's Chair"/>
    <x v="648"/>
    <n v="3"/>
    <n v="52.38"/>
    <x v="11"/>
    <x v="2"/>
  </r>
  <r>
    <n v="45285"/>
    <x v="364"/>
    <x v="22"/>
    <x v="1"/>
    <x v="13"/>
    <s v="SAFCO PlanMaster Heigh-Adjustable Drafting Table Base, 43w x 30d x 30-37h, Black"/>
    <x v="4175"/>
    <n v="5"/>
    <n v="629.01"/>
    <x v="11"/>
    <x v="2"/>
  </r>
  <r>
    <n v="45285"/>
    <x v="230"/>
    <x v="12"/>
    <x v="1"/>
    <x v="13"/>
    <s v="KI Conference Tables"/>
    <x v="1626"/>
    <n v="1"/>
    <n v="-24.1"/>
    <x v="11"/>
    <x v="2"/>
  </r>
  <r>
    <n v="45285"/>
    <x v="230"/>
    <x v="12"/>
    <x v="2"/>
    <x v="15"/>
    <s v="Panasonic KX MC6040 Color Laser Multifunction Printer"/>
    <x v="4176"/>
    <n v="2"/>
    <n v="-386.96"/>
    <x v="11"/>
    <x v="2"/>
  </r>
  <r>
    <n v="45285"/>
    <x v="230"/>
    <x v="12"/>
    <x v="2"/>
    <x v="9"/>
    <s v="ImationÂ Clip USBÂ flash driveÂ - 8 GB"/>
    <x v="4177"/>
    <n v="3"/>
    <n v="-7.9"/>
    <x v="11"/>
    <x v="2"/>
  </r>
  <r>
    <n v="45285"/>
    <x v="230"/>
    <x v="12"/>
    <x v="2"/>
    <x v="9"/>
    <s v="Hypercom P1300 Pinpad"/>
    <x v="2891"/>
    <n v="2"/>
    <n v="21.42"/>
    <x v="11"/>
    <x v="2"/>
  </r>
  <r>
    <n v="45285"/>
    <x v="230"/>
    <x v="12"/>
    <x v="1"/>
    <x v="5"/>
    <s v="Global Stack Chair with Arms, Black"/>
    <x v="3586"/>
    <n v="2"/>
    <n v="4.2"/>
    <x v="11"/>
    <x v="2"/>
  </r>
  <r>
    <n v="45285"/>
    <x v="504"/>
    <x v="20"/>
    <x v="1"/>
    <x v="13"/>
    <s v="Bevis Oval Conference Table, Walnut"/>
    <x v="4018"/>
    <n v="2"/>
    <n v="-120.05"/>
    <x v="11"/>
    <x v="2"/>
  </r>
  <r>
    <n v="45285"/>
    <x v="504"/>
    <x v="20"/>
    <x v="1"/>
    <x v="5"/>
    <s v="Hon 4070 Series Pagoda Round Back Stacking Chairs"/>
    <x v="4178"/>
    <n v="3"/>
    <n v="173.33"/>
    <x v="11"/>
    <x v="2"/>
  </r>
  <r>
    <n v="45285"/>
    <x v="603"/>
    <x v="13"/>
    <x v="0"/>
    <x v="4"/>
    <s v="Newell 327"/>
    <x v="4179"/>
    <n v="9"/>
    <n v="5.37"/>
    <x v="11"/>
    <x v="2"/>
  </r>
  <r>
    <n v="45285"/>
    <x v="603"/>
    <x v="13"/>
    <x v="2"/>
    <x v="9"/>
    <s v="Razer Tiamat Over Ear 7.1 Surround Sound PC Gaming Headset"/>
    <x v="4180"/>
    <n v="2"/>
    <n v="171.99"/>
    <x v="11"/>
    <x v="2"/>
  </r>
  <r>
    <n v="45285"/>
    <x v="603"/>
    <x v="13"/>
    <x v="1"/>
    <x v="8"/>
    <s v="Howard Miller 13-1/2&quot; Diameter Rosebrook Wall Clock"/>
    <x v="4181"/>
    <n v="5"/>
    <n v="137.54"/>
    <x v="11"/>
    <x v="2"/>
  </r>
  <r>
    <n v="45285"/>
    <x v="603"/>
    <x v="13"/>
    <x v="0"/>
    <x v="0"/>
    <s v="Xerox 1906"/>
    <x v="1653"/>
    <n v="3"/>
    <n v="49.97"/>
    <x v="11"/>
    <x v="2"/>
  </r>
  <r>
    <n v="45285"/>
    <x v="364"/>
    <x v="20"/>
    <x v="1"/>
    <x v="5"/>
    <s v="Hon 4700 Series Mobuis Mid-Back Task Chairs with Adjustable Arms"/>
    <x v="4182"/>
    <n v="8"/>
    <n v="313.26"/>
    <x v="11"/>
    <x v="2"/>
  </r>
  <r>
    <n v="45286"/>
    <x v="558"/>
    <x v="22"/>
    <x v="0"/>
    <x v="0"/>
    <s v="Strathmore Photo Mount Cards"/>
    <x v="301"/>
    <n v="5"/>
    <n v="15.59"/>
    <x v="11"/>
    <x v="2"/>
  </r>
  <r>
    <n v="45286"/>
    <x v="177"/>
    <x v="20"/>
    <x v="2"/>
    <x v="9"/>
    <s v="Belkin F8E887 USB Wired Ergonomic Keyboard"/>
    <x v="1236"/>
    <n v="3"/>
    <n v="18.89"/>
    <x v="11"/>
    <x v="2"/>
  </r>
  <r>
    <n v="45286"/>
    <x v="562"/>
    <x v="26"/>
    <x v="0"/>
    <x v="12"/>
    <s v="Harmony HEPA Quiet Air Purifiers"/>
    <x v="4183"/>
    <n v="2"/>
    <n v="3.51"/>
    <x v="11"/>
    <x v="2"/>
  </r>
  <r>
    <n v="45286"/>
    <x v="554"/>
    <x v="26"/>
    <x v="0"/>
    <x v="4"/>
    <s v="SANFORD Major Accent Highlighters"/>
    <x v="4184"/>
    <n v="2"/>
    <n v="2.5499999999999998"/>
    <x v="11"/>
    <x v="2"/>
  </r>
  <r>
    <n v="45286"/>
    <x v="411"/>
    <x v="3"/>
    <x v="0"/>
    <x v="14"/>
    <s v="Fiskars Home &amp; Office Scissors"/>
    <x v="4185"/>
    <n v="2"/>
    <n v="4.97"/>
    <x v="11"/>
    <x v="2"/>
  </r>
  <r>
    <n v="45286"/>
    <x v="411"/>
    <x v="3"/>
    <x v="2"/>
    <x v="6"/>
    <s v="Mitel 5320 IP Phone VoIP phone"/>
    <x v="250"/>
    <n v="2"/>
    <n v="30.24"/>
    <x v="11"/>
    <x v="2"/>
  </r>
  <r>
    <n v="45286"/>
    <x v="411"/>
    <x v="3"/>
    <x v="1"/>
    <x v="5"/>
    <s v="Global Armless Task Chair, Royal Blue"/>
    <x v="1190"/>
    <n v="3"/>
    <n v="-5.49"/>
    <x v="11"/>
    <x v="2"/>
  </r>
  <r>
    <n v="45286"/>
    <x v="411"/>
    <x v="3"/>
    <x v="0"/>
    <x v="12"/>
    <s v="Hoover Replacement Belts For Soft Guard &amp; Commercial Ltweight Upright Vacs, 2/Pk"/>
    <x v="2423"/>
    <n v="2"/>
    <n v="2.0499999999999998"/>
    <x v="11"/>
    <x v="2"/>
  </r>
  <r>
    <n v="45286"/>
    <x v="411"/>
    <x v="3"/>
    <x v="1"/>
    <x v="13"/>
    <s v="Bretford Rectangular Conference Table Tops"/>
    <x v="3355"/>
    <n v="3"/>
    <n v="33.85"/>
    <x v="11"/>
    <x v="2"/>
  </r>
  <r>
    <n v="45286"/>
    <x v="411"/>
    <x v="3"/>
    <x v="0"/>
    <x v="4"/>
    <s v="Model L Table or Wall-Mount Pencil Sharpener"/>
    <x v="4186"/>
    <n v="3"/>
    <n v="15.11"/>
    <x v="11"/>
    <x v="2"/>
  </r>
  <r>
    <n v="45286"/>
    <x v="653"/>
    <x v="23"/>
    <x v="1"/>
    <x v="5"/>
    <s v="Novimex Turbo Task Chair"/>
    <x v="549"/>
    <n v="3"/>
    <n v="25.55"/>
    <x v="11"/>
    <x v="2"/>
  </r>
  <r>
    <n v="45286"/>
    <x v="653"/>
    <x v="23"/>
    <x v="0"/>
    <x v="12"/>
    <s v="Fellowes Advanced Computer Series Surge Protectors"/>
    <x v="4187"/>
    <n v="1"/>
    <n v="7.42"/>
    <x v="11"/>
    <x v="2"/>
  </r>
  <r>
    <n v="45286"/>
    <x v="202"/>
    <x v="20"/>
    <x v="0"/>
    <x v="3"/>
    <s v="Round Ring Binders"/>
    <x v="214"/>
    <n v="3"/>
    <n v="1.68"/>
    <x v="11"/>
    <x v="2"/>
  </r>
  <r>
    <n v="45287"/>
    <x v="196"/>
    <x v="1"/>
    <x v="1"/>
    <x v="5"/>
    <s v="Global Manager's Adjustable Task Chair, Storm"/>
    <x v="4188"/>
    <n v="8"/>
    <n v="-12.08"/>
    <x v="11"/>
    <x v="2"/>
  </r>
  <r>
    <n v="45287"/>
    <x v="711"/>
    <x v="0"/>
    <x v="0"/>
    <x v="0"/>
    <s v="Xerox 214"/>
    <x v="320"/>
    <n v="2"/>
    <n v="3.63"/>
    <x v="11"/>
    <x v="2"/>
  </r>
  <r>
    <n v="45287"/>
    <x v="711"/>
    <x v="0"/>
    <x v="0"/>
    <x v="0"/>
    <s v="It's Hot Message Books with Stickers, 2 3/4&quot; x 5&quot;"/>
    <x v="1379"/>
    <n v="4"/>
    <n v="7.4"/>
    <x v="11"/>
    <x v="2"/>
  </r>
  <r>
    <n v="45287"/>
    <x v="363"/>
    <x v="10"/>
    <x v="2"/>
    <x v="9"/>
    <s v="Micro Innovations USB RF Wireless Keyboard with Mouse"/>
    <x v="4189"/>
    <n v="2"/>
    <n v="0.5"/>
    <x v="11"/>
    <x v="2"/>
  </r>
  <r>
    <n v="45287"/>
    <x v="306"/>
    <x v="3"/>
    <x v="0"/>
    <x v="1"/>
    <s v="Avery File Folder Labels"/>
    <x v="953"/>
    <n v="7"/>
    <n v="9.8800000000000008"/>
    <x v="11"/>
    <x v="2"/>
  </r>
  <r>
    <n v="45287"/>
    <x v="476"/>
    <x v="10"/>
    <x v="0"/>
    <x v="7"/>
    <s v="OIC Colored Binder Clips, Assorted Sizes"/>
    <x v="4190"/>
    <n v="6"/>
    <n v="6.23"/>
    <x v="11"/>
    <x v="2"/>
  </r>
  <r>
    <n v="45287"/>
    <x v="677"/>
    <x v="5"/>
    <x v="0"/>
    <x v="1"/>
    <s v="Avery 479"/>
    <x v="2827"/>
    <n v="1"/>
    <n v="1.2"/>
    <x v="11"/>
    <x v="2"/>
  </r>
  <r>
    <n v="45289"/>
    <x v="47"/>
    <x v="21"/>
    <x v="1"/>
    <x v="5"/>
    <s v="Global Leather &amp; Oak Executive Chair, Burgundy"/>
    <x v="4191"/>
    <n v="5"/>
    <n v="60.36"/>
    <x v="11"/>
    <x v="2"/>
  </r>
  <r>
    <n v="45289"/>
    <x v="75"/>
    <x v="1"/>
    <x v="0"/>
    <x v="0"/>
    <s v="White Computer Printout Paper by Universal"/>
    <x v="2698"/>
    <n v="6"/>
    <n v="67.44"/>
    <x v="11"/>
    <x v="2"/>
  </r>
  <r>
    <n v="45289"/>
    <x v="634"/>
    <x v="15"/>
    <x v="0"/>
    <x v="3"/>
    <s v="GBC Wire Binding Strips"/>
    <x v="3409"/>
    <n v="4"/>
    <n v="-27.93"/>
    <x v="11"/>
    <x v="2"/>
  </r>
  <r>
    <n v="45289"/>
    <x v="634"/>
    <x v="15"/>
    <x v="0"/>
    <x v="3"/>
    <s v="Zipper Ring Binder Pockets"/>
    <x v="2421"/>
    <n v="3"/>
    <n v="-1.97"/>
    <x v="11"/>
    <x v="2"/>
  </r>
  <r>
    <n v="45289"/>
    <x v="101"/>
    <x v="42"/>
    <x v="1"/>
    <x v="8"/>
    <s v="Executive Impressions 10&quot; Spectator Wall Clock"/>
    <x v="672"/>
    <n v="6"/>
    <n v="23.99"/>
    <x v="11"/>
    <x v="2"/>
  </r>
  <r>
    <n v="45289"/>
    <x v="101"/>
    <x v="42"/>
    <x v="0"/>
    <x v="12"/>
    <s v="Belkin 8 Outlet Surge Protector"/>
    <x v="105"/>
    <n v="2"/>
    <n v="22.95"/>
    <x v="11"/>
    <x v="2"/>
  </r>
  <r>
    <n v="45289"/>
    <x v="766"/>
    <x v="3"/>
    <x v="0"/>
    <x v="3"/>
    <s v="Acco Translucent Poly Ring Binders"/>
    <x v="3331"/>
    <n v="3"/>
    <n v="3.93"/>
    <x v="11"/>
    <x v="2"/>
  </r>
  <r>
    <n v="45289"/>
    <x v="318"/>
    <x v="11"/>
    <x v="0"/>
    <x v="10"/>
    <s v="Peel &amp; Seel Recycled Catalog Envelopes, Brown"/>
    <x v="4192"/>
    <n v="3"/>
    <n v="10.42"/>
    <x v="11"/>
    <x v="2"/>
  </r>
  <r>
    <n v="45289"/>
    <x v="167"/>
    <x v="16"/>
    <x v="0"/>
    <x v="0"/>
    <s v="Xerox 1898"/>
    <x v="30"/>
    <n v="7"/>
    <n v="13.09"/>
    <x v="11"/>
    <x v="2"/>
  </r>
  <r>
    <n v="45289"/>
    <x v="167"/>
    <x v="16"/>
    <x v="0"/>
    <x v="0"/>
    <s v="Astroparche Fine Business Paper"/>
    <x v="2156"/>
    <n v="6"/>
    <n v="8.8699999999999992"/>
    <x v="11"/>
    <x v="2"/>
  </r>
  <r>
    <n v="45289"/>
    <x v="251"/>
    <x v="3"/>
    <x v="0"/>
    <x v="2"/>
    <s v="Project Tote Personal File"/>
    <x v="4193"/>
    <n v="1"/>
    <n v="4.07"/>
    <x v="11"/>
    <x v="2"/>
  </r>
  <r>
    <n v="45289"/>
    <x v="251"/>
    <x v="3"/>
    <x v="0"/>
    <x v="14"/>
    <s v="Fiskars Spring-Action Scissors"/>
    <x v="3070"/>
    <n v="2"/>
    <n v="7.27"/>
    <x v="11"/>
    <x v="2"/>
  </r>
  <r>
    <n v="45290"/>
    <x v="435"/>
    <x v="0"/>
    <x v="0"/>
    <x v="3"/>
    <s v="Avery Binding System Hidden Tab Executive Style Index Sets"/>
    <x v="4194"/>
    <n v="6"/>
    <n v="-10.39"/>
    <x v="11"/>
    <x v="2"/>
  </r>
  <r>
    <n v="45290"/>
    <x v="240"/>
    <x v="10"/>
    <x v="0"/>
    <x v="1"/>
    <s v="Avery 487"/>
    <x v="1408"/>
    <n v="2"/>
    <n v="1.99"/>
    <x v="11"/>
    <x v="2"/>
  </r>
  <r>
    <n v="45290"/>
    <x v="240"/>
    <x v="10"/>
    <x v="0"/>
    <x v="14"/>
    <s v="Acme Office Executive Series Stainless Steel Trimmers"/>
    <x v="4195"/>
    <n v="2"/>
    <n v="1.03"/>
    <x v="11"/>
    <x v="2"/>
  </r>
  <r>
    <n v="45290"/>
    <x v="425"/>
    <x v="3"/>
    <x v="0"/>
    <x v="2"/>
    <s v="Iceberg Mobile Mega Data/Printer Cart"/>
    <x v="3081"/>
    <n v="4"/>
    <n v="125.14"/>
    <x v="11"/>
    <x v="2"/>
  </r>
  <r>
    <n v="45290"/>
    <x v="425"/>
    <x v="3"/>
    <x v="0"/>
    <x v="3"/>
    <s v="Cardinal Hold-It CD Pocket"/>
    <x v="3744"/>
    <n v="1"/>
    <n v="2.15"/>
    <x v="11"/>
    <x v="2"/>
  </r>
  <r>
    <n v="45290"/>
    <x v="12"/>
    <x v="2"/>
    <x v="1"/>
    <x v="5"/>
    <s v="Hon Deluxe Fabric Upholstered Stacking Chairs, Rounded Back"/>
    <x v="4196"/>
    <n v="1"/>
    <n v="0"/>
    <x v="11"/>
    <x v="2"/>
  </r>
  <r>
    <n v="45290"/>
    <x v="781"/>
    <x v="2"/>
    <x v="0"/>
    <x v="4"/>
    <s v="Newell 31"/>
    <x v="356"/>
    <n v="5"/>
    <n v="1.65"/>
    <x v="11"/>
    <x v="2"/>
  </r>
  <r>
    <n v="45290"/>
    <x v="216"/>
    <x v="16"/>
    <x v="0"/>
    <x v="0"/>
    <s v="Embossed Ink Jet Note Cards"/>
    <x v="4197"/>
    <n v="4"/>
    <n v="25.28"/>
    <x v="11"/>
    <x v="2"/>
  </r>
  <r>
    <n v="45291"/>
    <x v="254"/>
    <x v="17"/>
    <x v="0"/>
    <x v="4"/>
    <s v="Crayola Anti Dust Chalk, 12/Pack"/>
    <x v="2788"/>
    <n v="2"/>
    <n v="1.64"/>
    <x v="11"/>
    <x v="2"/>
  </r>
  <r>
    <n v="45291"/>
    <x v="254"/>
    <x v="17"/>
    <x v="0"/>
    <x v="3"/>
    <s v="Lock-Up Easel 'Spel-Binder'"/>
    <x v="4198"/>
    <n v="7"/>
    <n v="53.92"/>
    <x v="11"/>
    <x v="2"/>
  </r>
  <r>
    <n v="45291"/>
    <x v="280"/>
    <x v="3"/>
    <x v="2"/>
    <x v="6"/>
    <s v="Adtran 1202752G1"/>
    <x v="250"/>
    <n v="3"/>
    <n v="22.68"/>
    <x v="11"/>
    <x v="2"/>
  </r>
  <r>
    <n v="45291"/>
    <x v="287"/>
    <x v="16"/>
    <x v="0"/>
    <x v="4"/>
    <s v="Newell 345"/>
    <x v="2959"/>
    <n v="3"/>
    <n v="3.57"/>
    <x v="11"/>
    <x v="2"/>
  </r>
  <r>
    <n v="45291"/>
    <x v="287"/>
    <x v="16"/>
    <x v="0"/>
    <x v="0"/>
    <s v="Things To Do Today Pad"/>
    <x v="4199"/>
    <n v="5"/>
    <n v="8.2200000000000006"/>
    <x v="11"/>
    <x v="2"/>
  </r>
  <r>
    <n v="45291"/>
    <x v="652"/>
    <x v="3"/>
    <x v="0"/>
    <x v="3"/>
    <s v="GBC Pre-Punched Binding Paper, Plastic, White, 8-1/2&quot; x 11&quot;"/>
    <x v="4200"/>
    <n v="3"/>
    <n v="13.43"/>
    <x v="11"/>
    <x v="2"/>
  </r>
  <r>
    <n v="45291"/>
    <x v="257"/>
    <x v="10"/>
    <x v="0"/>
    <x v="2"/>
    <s v="Tennsco Industrial Shelving"/>
    <x v="2997"/>
    <n v="4"/>
    <n v="-35.22"/>
    <x v="11"/>
    <x v="2"/>
  </r>
  <r>
    <n v="45292"/>
    <x v="41"/>
    <x v="10"/>
    <x v="1"/>
    <x v="8"/>
    <s v="Linden 10&quot; Round Wall Clock, Black"/>
    <x v="1229"/>
    <n v="4"/>
    <n v="8.56"/>
    <x v="0"/>
    <x v="3"/>
  </r>
  <r>
    <n v="45292"/>
    <x v="236"/>
    <x v="3"/>
    <x v="1"/>
    <x v="8"/>
    <s v="Howard Miller 11-1/2&quot; Diameter Brentwood Wall Clock"/>
    <x v="4201"/>
    <n v="11"/>
    <n v="199.26"/>
    <x v="0"/>
    <x v="3"/>
  </r>
  <r>
    <n v="45292"/>
    <x v="285"/>
    <x v="21"/>
    <x v="0"/>
    <x v="3"/>
    <s v="Wilson Jones Easy Flow II Sheet Lifters"/>
    <x v="4202"/>
    <n v="2"/>
    <n v="1.73"/>
    <x v="0"/>
    <x v="3"/>
  </r>
  <r>
    <n v="45292"/>
    <x v="744"/>
    <x v="0"/>
    <x v="0"/>
    <x v="2"/>
    <s v="SAFCO Boltless Steel Shelving"/>
    <x v="4203"/>
    <n v="5"/>
    <n v="-107.96"/>
    <x v="0"/>
    <x v="3"/>
  </r>
  <r>
    <n v="45292"/>
    <x v="744"/>
    <x v="0"/>
    <x v="1"/>
    <x v="8"/>
    <s v="Tenex Carpeted, Granite-Look or Clear Contemporary Contour Shape Chair Mats"/>
    <x v="4204"/>
    <n v="5"/>
    <n v="-187.38"/>
    <x v="0"/>
    <x v="3"/>
  </r>
  <r>
    <n v="45292"/>
    <x v="744"/>
    <x v="0"/>
    <x v="1"/>
    <x v="5"/>
    <s v="Office Star - Contemporary Task Swivel Chair"/>
    <x v="4205"/>
    <n v="4"/>
    <n v="-26.64"/>
    <x v="0"/>
    <x v="3"/>
  </r>
  <r>
    <n v="45292"/>
    <x v="744"/>
    <x v="0"/>
    <x v="0"/>
    <x v="4"/>
    <s v="Fluorescent Highlighters by Dixon"/>
    <x v="4206"/>
    <n v="4"/>
    <n v="2.23"/>
    <x v="0"/>
    <x v="3"/>
  </r>
  <r>
    <n v="45292"/>
    <x v="744"/>
    <x v="0"/>
    <x v="0"/>
    <x v="3"/>
    <s v="GBC Instant Report Kit"/>
    <x v="4207"/>
    <n v="5"/>
    <n v="-9.7100000000000009"/>
    <x v="0"/>
    <x v="3"/>
  </r>
  <r>
    <n v="45292"/>
    <x v="744"/>
    <x v="0"/>
    <x v="0"/>
    <x v="3"/>
    <s v="Pressboard Covers with Storage Hooks, 9 1/2&quot; x 11&quot;, Light Blue"/>
    <x v="4208"/>
    <n v="14"/>
    <n v="-22.68"/>
    <x v="0"/>
    <x v="3"/>
  </r>
  <r>
    <n v="45292"/>
    <x v="744"/>
    <x v="0"/>
    <x v="0"/>
    <x v="12"/>
    <s v="Fellowes Superior 10 Outlet Split Surge Protector"/>
    <x v="934"/>
    <n v="2"/>
    <n v="-38.82"/>
    <x v="0"/>
    <x v="3"/>
  </r>
  <r>
    <n v="45293"/>
    <x v="322"/>
    <x v="25"/>
    <x v="2"/>
    <x v="15"/>
    <s v="Cisco CP-7937G Unified IP Conference Station Phone"/>
    <x v="3349"/>
    <n v="2"/>
    <n v="-27.83"/>
    <x v="0"/>
    <x v="3"/>
  </r>
  <r>
    <n v="45293"/>
    <x v="322"/>
    <x v="25"/>
    <x v="0"/>
    <x v="3"/>
    <s v="Avery 3 1/2&quot; Diskette Storage Pages, 10/Pack"/>
    <x v="1456"/>
    <n v="5"/>
    <n v="-12.53"/>
    <x v="0"/>
    <x v="3"/>
  </r>
  <r>
    <n v="45293"/>
    <x v="322"/>
    <x v="25"/>
    <x v="0"/>
    <x v="3"/>
    <s v="Avery Recycled Flexi-View Covers for Binding Systems"/>
    <x v="3788"/>
    <n v="6"/>
    <n v="-21.16"/>
    <x v="0"/>
    <x v="3"/>
  </r>
  <r>
    <n v="45293"/>
    <x v="603"/>
    <x v="0"/>
    <x v="0"/>
    <x v="4"/>
    <s v="Newell 319"/>
    <x v="3634"/>
    <n v="2"/>
    <n v="3.97"/>
    <x v="0"/>
    <x v="3"/>
  </r>
  <r>
    <n v="45293"/>
    <x v="603"/>
    <x v="0"/>
    <x v="0"/>
    <x v="12"/>
    <s v="Hoover Commercial SteamVac"/>
    <x v="2099"/>
    <n v="2"/>
    <n v="-13.58"/>
    <x v="0"/>
    <x v="3"/>
  </r>
  <r>
    <n v="45293"/>
    <x v="603"/>
    <x v="0"/>
    <x v="1"/>
    <x v="13"/>
    <s v="Bevis Oval Conference Table, Walnut"/>
    <x v="2187"/>
    <n v="5"/>
    <n v="-169.64"/>
    <x v="0"/>
    <x v="3"/>
  </r>
  <r>
    <n v="45293"/>
    <x v="603"/>
    <x v="0"/>
    <x v="0"/>
    <x v="2"/>
    <s v="Dual Level, Single-Width Filing Carts"/>
    <x v="4209"/>
    <n v="3"/>
    <n v="27.91"/>
    <x v="0"/>
    <x v="3"/>
  </r>
  <r>
    <n v="45293"/>
    <x v="623"/>
    <x v="3"/>
    <x v="2"/>
    <x v="9"/>
    <s v="Kensington K72356US Mouse-in-a-Box USB Desktop Mouse"/>
    <x v="4210"/>
    <n v="1"/>
    <n v="5.81"/>
    <x v="0"/>
    <x v="3"/>
  </r>
  <r>
    <n v="45294"/>
    <x v="16"/>
    <x v="3"/>
    <x v="0"/>
    <x v="0"/>
    <s v="Xerox 1905"/>
    <x v="2167"/>
    <n v="6"/>
    <n v="18.66"/>
    <x v="0"/>
    <x v="3"/>
  </r>
  <r>
    <n v="45294"/>
    <x v="616"/>
    <x v="3"/>
    <x v="0"/>
    <x v="3"/>
    <s v="GBC ProClick 150 Presentation Binding System"/>
    <x v="4211"/>
    <n v="8"/>
    <n v="682.52"/>
    <x v="0"/>
    <x v="3"/>
  </r>
  <r>
    <n v="45294"/>
    <x v="616"/>
    <x v="3"/>
    <x v="0"/>
    <x v="4"/>
    <s v="Manco Dry-Lighter Erasable Highlighter"/>
    <x v="4212"/>
    <n v="3"/>
    <n v="3.1"/>
    <x v="0"/>
    <x v="3"/>
  </r>
  <r>
    <n v="45297"/>
    <x v="285"/>
    <x v="33"/>
    <x v="0"/>
    <x v="3"/>
    <s v="Wilson Jones Turn Tabs Binder Tool for Ring Binders"/>
    <x v="4213"/>
    <n v="7"/>
    <n v="15.52"/>
    <x v="0"/>
    <x v="3"/>
  </r>
  <r>
    <n v="45298"/>
    <x v="620"/>
    <x v="14"/>
    <x v="2"/>
    <x v="15"/>
    <s v="Lexmark MX611dhe Monochrome Laser Printer"/>
    <x v="982"/>
    <n v="2"/>
    <n v="680"/>
    <x v="0"/>
    <x v="3"/>
  </r>
  <r>
    <n v="45298"/>
    <x v="669"/>
    <x v="16"/>
    <x v="0"/>
    <x v="3"/>
    <s v="Zipper Ring Binder Pockets"/>
    <x v="2421"/>
    <n v="3"/>
    <n v="-1.97"/>
    <x v="0"/>
    <x v="3"/>
  </r>
  <r>
    <n v="45298"/>
    <x v="509"/>
    <x v="3"/>
    <x v="0"/>
    <x v="2"/>
    <s v="Eldon Fold 'N Roll Cart System"/>
    <x v="4214"/>
    <n v="11"/>
    <n v="44.6"/>
    <x v="0"/>
    <x v="3"/>
  </r>
  <r>
    <n v="45298"/>
    <x v="509"/>
    <x v="3"/>
    <x v="0"/>
    <x v="2"/>
    <s v="Tennsco Commercial Shelving"/>
    <x v="4215"/>
    <n v="3"/>
    <n v="0.61"/>
    <x v="0"/>
    <x v="3"/>
  </r>
  <r>
    <n v="45298"/>
    <x v="509"/>
    <x v="3"/>
    <x v="0"/>
    <x v="14"/>
    <s v="Acme Galleria Hot Forged Steel Scissors with Colored Handles"/>
    <x v="4216"/>
    <n v="7"/>
    <n v="31.93"/>
    <x v="0"/>
    <x v="3"/>
  </r>
  <r>
    <n v="45298"/>
    <x v="509"/>
    <x v="3"/>
    <x v="0"/>
    <x v="7"/>
    <s v="Staples"/>
    <x v="3506"/>
    <n v="1"/>
    <n v="3.55"/>
    <x v="0"/>
    <x v="3"/>
  </r>
  <r>
    <n v="45299"/>
    <x v="332"/>
    <x v="22"/>
    <x v="1"/>
    <x v="13"/>
    <s v="Balt Solid Wood Round Tables"/>
    <x v="4217"/>
    <n v="2"/>
    <n v="80.37"/>
    <x v="0"/>
    <x v="3"/>
  </r>
  <r>
    <n v="45300"/>
    <x v="443"/>
    <x v="2"/>
    <x v="0"/>
    <x v="3"/>
    <s v="Ibico Hi-Tech Manual Binding System"/>
    <x v="4218"/>
    <n v="3"/>
    <n v="-228.74"/>
    <x v="0"/>
    <x v="3"/>
  </r>
  <r>
    <n v="45303"/>
    <x v="163"/>
    <x v="44"/>
    <x v="0"/>
    <x v="0"/>
    <s v="Xerox 195"/>
    <x v="61"/>
    <n v="6"/>
    <n v="19.239999999999998"/>
    <x v="0"/>
    <x v="3"/>
  </r>
  <r>
    <n v="45303"/>
    <x v="163"/>
    <x v="44"/>
    <x v="1"/>
    <x v="8"/>
    <s v="Flat Face Poster Frame"/>
    <x v="1859"/>
    <n v="2"/>
    <n v="15.83"/>
    <x v="0"/>
    <x v="3"/>
  </r>
  <r>
    <n v="45303"/>
    <x v="637"/>
    <x v="3"/>
    <x v="0"/>
    <x v="10"/>
    <s v="Staple envelope"/>
    <x v="4219"/>
    <n v="1"/>
    <n v="4.8899999999999997"/>
    <x v="0"/>
    <x v="3"/>
  </r>
  <r>
    <n v="45303"/>
    <x v="639"/>
    <x v="0"/>
    <x v="0"/>
    <x v="3"/>
    <s v="GBC Ibimaster 500 Manual ProClick Binding System"/>
    <x v="4220"/>
    <n v="5"/>
    <n v="-1141.47"/>
    <x v="0"/>
    <x v="3"/>
  </r>
  <r>
    <n v="45304"/>
    <x v="552"/>
    <x v="24"/>
    <x v="0"/>
    <x v="0"/>
    <s v="Xerox 23"/>
    <x v="331"/>
    <n v="5"/>
    <n v="15.55"/>
    <x v="0"/>
    <x v="3"/>
  </r>
  <r>
    <n v="45304"/>
    <x v="552"/>
    <x v="24"/>
    <x v="0"/>
    <x v="4"/>
    <s v="Hunt Boston Vacuum Mount KS Pencil Sharpener"/>
    <x v="4221"/>
    <n v="6"/>
    <n v="54.58"/>
    <x v="0"/>
    <x v="3"/>
  </r>
  <r>
    <n v="45304"/>
    <x v="552"/>
    <x v="24"/>
    <x v="0"/>
    <x v="14"/>
    <s v="Martin Yale Chadless Opener Electric Letter Opener"/>
    <x v="290"/>
    <n v="5"/>
    <n v="83.28"/>
    <x v="0"/>
    <x v="3"/>
  </r>
  <r>
    <n v="45304"/>
    <x v="552"/>
    <x v="24"/>
    <x v="1"/>
    <x v="11"/>
    <s v="Hon Metal Bookcases, Black"/>
    <x v="549"/>
    <n v="3"/>
    <n v="53.24"/>
    <x v="0"/>
    <x v="3"/>
  </r>
  <r>
    <n v="45305"/>
    <x v="751"/>
    <x v="25"/>
    <x v="0"/>
    <x v="10"/>
    <s v="Tyvek  Top-Opening Peel &amp; Seel Envelopes, Plain White"/>
    <x v="4222"/>
    <n v="1"/>
    <n v="7.34"/>
    <x v="0"/>
    <x v="3"/>
  </r>
  <r>
    <n v="45305"/>
    <x v="751"/>
    <x v="25"/>
    <x v="2"/>
    <x v="6"/>
    <s v="Sannysis Cute Owl Design Soft Skin Case Cover for Samsung Galaxy S4"/>
    <x v="2890"/>
    <n v="5"/>
    <n v="0.69"/>
    <x v="0"/>
    <x v="3"/>
  </r>
  <r>
    <n v="45305"/>
    <x v="609"/>
    <x v="26"/>
    <x v="2"/>
    <x v="9"/>
    <s v="ImationÂ 8GB Mini TravelDrive USB 2.0Â Flash Drive"/>
    <x v="4223"/>
    <n v="7"/>
    <n v="-14.79"/>
    <x v="0"/>
    <x v="3"/>
  </r>
  <r>
    <n v="45305"/>
    <x v="609"/>
    <x v="26"/>
    <x v="0"/>
    <x v="2"/>
    <s v="Mobile Personal File Cube"/>
    <x v="4224"/>
    <n v="9"/>
    <n v="14.75"/>
    <x v="0"/>
    <x v="3"/>
  </r>
  <r>
    <n v="45305"/>
    <x v="248"/>
    <x v="15"/>
    <x v="0"/>
    <x v="10"/>
    <s v="#10- 4 1/8&quot; x 9 1/2&quot; Security-Tint Envelopes"/>
    <x v="80"/>
    <n v="3"/>
    <n v="6.65"/>
    <x v="0"/>
    <x v="3"/>
  </r>
  <r>
    <n v="45305"/>
    <x v="248"/>
    <x v="15"/>
    <x v="0"/>
    <x v="0"/>
    <s v="Xerox 1931"/>
    <x v="1308"/>
    <n v="7"/>
    <n v="12.7"/>
    <x v="0"/>
    <x v="3"/>
  </r>
  <r>
    <n v="45305"/>
    <x v="248"/>
    <x v="15"/>
    <x v="2"/>
    <x v="6"/>
    <s v="iHome FM Clock Radio with Lightning Dock"/>
    <x v="2906"/>
    <n v="2"/>
    <n v="7"/>
    <x v="0"/>
    <x v="3"/>
  </r>
  <r>
    <n v="45305"/>
    <x v="248"/>
    <x v="15"/>
    <x v="0"/>
    <x v="3"/>
    <s v="Ibico Presentation Index for Binding Systems"/>
    <x v="1038"/>
    <n v="5"/>
    <n v="-4.58"/>
    <x v="0"/>
    <x v="3"/>
  </r>
  <r>
    <n v="45305"/>
    <x v="248"/>
    <x v="15"/>
    <x v="0"/>
    <x v="3"/>
    <s v="Avery Durable Slant Ring Binders With Label Holder"/>
    <x v="1779"/>
    <n v="2"/>
    <n v="-1.84"/>
    <x v="0"/>
    <x v="3"/>
  </r>
  <r>
    <n v="45305"/>
    <x v="703"/>
    <x v="3"/>
    <x v="0"/>
    <x v="0"/>
    <s v="Xerox 19"/>
    <x v="276"/>
    <n v="5"/>
    <n v="69.709999999999994"/>
    <x v="0"/>
    <x v="3"/>
  </r>
  <r>
    <n v="45305"/>
    <x v="57"/>
    <x v="18"/>
    <x v="0"/>
    <x v="2"/>
    <s v="Tenex Personal Project File with Scoop Front Design, Black"/>
    <x v="4225"/>
    <n v="5"/>
    <n v="17.52"/>
    <x v="0"/>
    <x v="3"/>
  </r>
  <r>
    <n v="45305"/>
    <x v="57"/>
    <x v="18"/>
    <x v="0"/>
    <x v="7"/>
    <s v="Bagged Rubber Bands"/>
    <x v="1406"/>
    <n v="2"/>
    <n v="0.1"/>
    <x v="0"/>
    <x v="3"/>
  </r>
  <r>
    <n v="45305"/>
    <x v="57"/>
    <x v="18"/>
    <x v="2"/>
    <x v="6"/>
    <s v="ARKON Windshield Dashboard Air Vent Car Mount Holder"/>
    <x v="409"/>
    <n v="4"/>
    <n v="1.36"/>
    <x v="0"/>
    <x v="3"/>
  </r>
  <r>
    <n v="45305"/>
    <x v="57"/>
    <x v="18"/>
    <x v="0"/>
    <x v="2"/>
    <s v="Staple magnet"/>
    <x v="4226"/>
    <n v="2"/>
    <n v="5.25"/>
    <x v="0"/>
    <x v="3"/>
  </r>
  <r>
    <n v="45305"/>
    <x v="57"/>
    <x v="18"/>
    <x v="2"/>
    <x v="9"/>
    <s v="ImationÂ USB 2.0 SwivelÂ Flash DriveÂ USBÂ flash driveÂ - 4 GB - Pink"/>
    <x v="4227"/>
    <n v="4"/>
    <n v="2.5499999999999998"/>
    <x v="0"/>
    <x v="3"/>
  </r>
  <r>
    <n v="45305"/>
    <x v="57"/>
    <x v="18"/>
    <x v="0"/>
    <x v="0"/>
    <s v="Xerox 188"/>
    <x v="1185"/>
    <n v="1"/>
    <n v="5.56"/>
    <x v="0"/>
    <x v="3"/>
  </r>
  <r>
    <n v="45305"/>
    <x v="57"/>
    <x v="18"/>
    <x v="2"/>
    <x v="9"/>
    <s v="Microsoft Sculpt Comfort Mouse"/>
    <x v="4228"/>
    <n v="4"/>
    <n v="70.31"/>
    <x v="0"/>
    <x v="3"/>
  </r>
  <r>
    <n v="45305"/>
    <x v="57"/>
    <x v="18"/>
    <x v="1"/>
    <x v="8"/>
    <s v="DAX Charcoal/Nickel-Tone Document Frame, 5 x 7"/>
    <x v="3728"/>
    <n v="2"/>
    <n v="8.5299999999999994"/>
    <x v="0"/>
    <x v="3"/>
  </r>
  <r>
    <n v="45306"/>
    <x v="758"/>
    <x v="2"/>
    <x v="0"/>
    <x v="12"/>
    <s v="Belkin F9M820V08 8 Outlet Surge"/>
    <x v="4229"/>
    <n v="1"/>
    <n v="3.87"/>
    <x v="0"/>
    <x v="3"/>
  </r>
  <r>
    <n v="45306"/>
    <x v="758"/>
    <x v="2"/>
    <x v="0"/>
    <x v="12"/>
    <s v="Honeywell Enviracaire Portable HEPA Air Cleaner for 17' x 22' Room"/>
    <x v="4230"/>
    <n v="8"/>
    <n v="312.68"/>
    <x v="0"/>
    <x v="3"/>
  </r>
  <r>
    <n v="45306"/>
    <x v="42"/>
    <x v="32"/>
    <x v="0"/>
    <x v="0"/>
    <s v="Telephone Message Books with Fax/Mobile Section, 5 1/2&quot; x 3 3/16&quot;"/>
    <x v="3295"/>
    <n v="2"/>
    <n v="5.84"/>
    <x v="0"/>
    <x v="3"/>
  </r>
  <r>
    <n v="45306"/>
    <x v="722"/>
    <x v="3"/>
    <x v="0"/>
    <x v="4"/>
    <s v="Newell 347"/>
    <x v="369"/>
    <n v="5"/>
    <n v="6.21"/>
    <x v="0"/>
    <x v="3"/>
  </r>
  <r>
    <n v="45306"/>
    <x v="560"/>
    <x v="0"/>
    <x v="0"/>
    <x v="3"/>
    <s v="Wilson Jones Ledger-Size, Piano-Hinge Binder, 2&quot;, Blue"/>
    <x v="2122"/>
    <n v="4"/>
    <n v="-52.45"/>
    <x v="0"/>
    <x v="3"/>
  </r>
  <r>
    <n v="45306"/>
    <x v="560"/>
    <x v="0"/>
    <x v="2"/>
    <x v="9"/>
    <s v="Logitech 910-002974 M325 Wireless Mouse for Web Scrolling"/>
    <x v="972"/>
    <n v="2"/>
    <n v="14.4"/>
    <x v="0"/>
    <x v="3"/>
  </r>
  <r>
    <n v="45306"/>
    <x v="560"/>
    <x v="0"/>
    <x v="2"/>
    <x v="9"/>
    <s v="Maxell 74 Minute CDR, 10/Pack"/>
    <x v="4231"/>
    <n v="8"/>
    <n v="13.3"/>
    <x v="0"/>
    <x v="3"/>
  </r>
  <r>
    <n v="45306"/>
    <x v="560"/>
    <x v="0"/>
    <x v="0"/>
    <x v="3"/>
    <s v="Acco D-Ring Binder w/DublLock"/>
    <x v="2269"/>
    <n v="1"/>
    <n v="-6.63"/>
    <x v="0"/>
    <x v="3"/>
  </r>
  <r>
    <n v="45307"/>
    <x v="4"/>
    <x v="3"/>
    <x v="1"/>
    <x v="8"/>
    <s v="Eldon Expressions Wood and Plastic Desk Accessories, Cherry Wood"/>
    <x v="1792"/>
    <n v="4"/>
    <n v="8.1"/>
    <x v="0"/>
    <x v="3"/>
  </r>
  <r>
    <n v="45307"/>
    <x v="4"/>
    <x v="3"/>
    <x v="1"/>
    <x v="13"/>
    <s v="Lesro Sheffield Collection Coffee Table, End Table, Center Table, Corner Table"/>
    <x v="4232"/>
    <n v="7"/>
    <n v="-14.99"/>
    <x v="0"/>
    <x v="3"/>
  </r>
  <r>
    <n v="45307"/>
    <x v="539"/>
    <x v="14"/>
    <x v="0"/>
    <x v="3"/>
    <s v="GBC DocuBind P400 Electric Binding System"/>
    <x v="4233"/>
    <n v="4"/>
    <n v="2504.2199999999998"/>
    <x v="0"/>
    <x v="3"/>
  </r>
  <r>
    <n v="45307"/>
    <x v="539"/>
    <x v="14"/>
    <x v="1"/>
    <x v="5"/>
    <s v="Office Star Flex Back Scooter Chair with Aluminum Finish Frame"/>
    <x v="4234"/>
    <n v="3"/>
    <n v="72.64"/>
    <x v="0"/>
    <x v="3"/>
  </r>
  <r>
    <n v="45307"/>
    <x v="539"/>
    <x v="14"/>
    <x v="0"/>
    <x v="0"/>
    <s v="TOPS Money Receipt Book, Consecutively Numbered in Red,"/>
    <x v="4235"/>
    <n v="7"/>
    <n v="25.23"/>
    <x v="0"/>
    <x v="3"/>
  </r>
  <r>
    <n v="45310"/>
    <x v="275"/>
    <x v="0"/>
    <x v="0"/>
    <x v="1"/>
    <s v="Avery 510"/>
    <x v="3232"/>
    <n v="2"/>
    <n v="2.1"/>
    <x v="0"/>
    <x v="3"/>
  </r>
  <r>
    <n v="45310"/>
    <x v="777"/>
    <x v="2"/>
    <x v="2"/>
    <x v="6"/>
    <s v="Wilson Electronics DB Pro Signal Booster"/>
    <x v="4236"/>
    <n v="2"/>
    <n v="-93.08"/>
    <x v="0"/>
    <x v="3"/>
  </r>
  <r>
    <n v="45310"/>
    <x v="777"/>
    <x v="2"/>
    <x v="1"/>
    <x v="8"/>
    <s v="12-1/2 Diameter Round Wall Clock"/>
    <x v="4237"/>
    <n v="2"/>
    <n v="6.39"/>
    <x v="0"/>
    <x v="3"/>
  </r>
  <r>
    <n v="45310"/>
    <x v="777"/>
    <x v="2"/>
    <x v="1"/>
    <x v="5"/>
    <s v="Global Comet Stacking Arm Chair"/>
    <x v="3652"/>
    <n v="3"/>
    <n v="-63.38"/>
    <x v="0"/>
    <x v="3"/>
  </r>
  <r>
    <n v="45310"/>
    <x v="777"/>
    <x v="2"/>
    <x v="0"/>
    <x v="0"/>
    <s v="Strathmore Photo Mount Cards"/>
    <x v="4238"/>
    <n v="4"/>
    <n v="7.05"/>
    <x v="0"/>
    <x v="3"/>
  </r>
  <r>
    <n v="45310"/>
    <x v="195"/>
    <x v="45"/>
    <x v="0"/>
    <x v="0"/>
    <s v="Xerox 191"/>
    <x v="2828"/>
    <n v="4"/>
    <n v="37.56"/>
    <x v="0"/>
    <x v="3"/>
  </r>
  <r>
    <n v="45310"/>
    <x v="195"/>
    <x v="45"/>
    <x v="0"/>
    <x v="0"/>
    <s v="Xerox 1881"/>
    <x v="4239"/>
    <n v="1"/>
    <n v="5.77"/>
    <x v="0"/>
    <x v="3"/>
  </r>
  <r>
    <n v="45310"/>
    <x v="195"/>
    <x v="45"/>
    <x v="0"/>
    <x v="12"/>
    <s v="Avanti 4.4 Cu. Ft. Refrigerator"/>
    <x v="2277"/>
    <n v="3"/>
    <n v="152.02000000000001"/>
    <x v="0"/>
    <x v="3"/>
  </r>
  <r>
    <n v="45310"/>
    <x v="195"/>
    <x v="45"/>
    <x v="0"/>
    <x v="10"/>
    <s v="Poly String Tie Envelopes"/>
    <x v="3061"/>
    <n v="1"/>
    <n v="0.96"/>
    <x v="0"/>
    <x v="3"/>
  </r>
  <r>
    <n v="45311"/>
    <x v="755"/>
    <x v="20"/>
    <x v="1"/>
    <x v="5"/>
    <s v="Global Deluxe Steno Chair"/>
    <x v="4240"/>
    <n v="3"/>
    <n v="2.31"/>
    <x v="0"/>
    <x v="3"/>
  </r>
  <r>
    <n v="45311"/>
    <x v="433"/>
    <x v="3"/>
    <x v="2"/>
    <x v="6"/>
    <s v="RCA Visys Integrated PBX 8-Line Router"/>
    <x v="4241"/>
    <n v="3"/>
    <n v="10.050000000000001"/>
    <x v="0"/>
    <x v="3"/>
  </r>
  <r>
    <n v="45311"/>
    <x v="51"/>
    <x v="3"/>
    <x v="0"/>
    <x v="4"/>
    <s v="Staples in misc. colors"/>
    <x v="4242"/>
    <n v="5"/>
    <n v="7.99"/>
    <x v="0"/>
    <x v="3"/>
  </r>
  <r>
    <n v="45311"/>
    <x v="51"/>
    <x v="3"/>
    <x v="2"/>
    <x v="6"/>
    <s v="Panasonic KX-TG9541B DECT 6.0 Digital 2-Line Expandable Cordless Phone With Digital Answering System"/>
    <x v="671"/>
    <n v="3"/>
    <n v="130.49"/>
    <x v="0"/>
    <x v="3"/>
  </r>
  <r>
    <n v="45311"/>
    <x v="467"/>
    <x v="37"/>
    <x v="0"/>
    <x v="4"/>
    <s v="Newell 326"/>
    <x v="567"/>
    <n v="2"/>
    <n v="1.02"/>
    <x v="0"/>
    <x v="3"/>
  </r>
  <r>
    <n v="45311"/>
    <x v="505"/>
    <x v="1"/>
    <x v="0"/>
    <x v="1"/>
    <s v="Avery File Folder Labels"/>
    <x v="697"/>
    <n v="5"/>
    <n v="4.18"/>
    <x v="0"/>
    <x v="3"/>
  </r>
  <r>
    <n v="45312"/>
    <x v="293"/>
    <x v="22"/>
    <x v="0"/>
    <x v="2"/>
    <s v="Carina Double Wide Media Storage Towers in Natural &amp; Black"/>
    <x v="151"/>
    <n v="3"/>
    <n v="9.7200000000000006"/>
    <x v="0"/>
    <x v="3"/>
  </r>
  <r>
    <n v="45312"/>
    <x v="293"/>
    <x v="22"/>
    <x v="2"/>
    <x v="9"/>
    <s v="LogitechÂ Illuminated - Keyboard"/>
    <x v="1141"/>
    <n v="3"/>
    <n v="86.39"/>
    <x v="0"/>
    <x v="3"/>
  </r>
  <r>
    <n v="45312"/>
    <x v="293"/>
    <x v="22"/>
    <x v="0"/>
    <x v="3"/>
    <s v="Wilson Jones Century Plastic Molded Ring Binders"/>
    <x v="4243"/>
    <n v="6"/>
    <n v="33.65"/>
    <x v="0"/>
    <x v="3"/>
  </r>
  <r>
    <n v="45312"/>
    <x v="293"/>
    <x v="22"/>
    <x v="0"/>
    <x v="3"/>
    <s v="Wilson Jones Leather-Like Binders with DublLock Round Rings"/>
    <x v="245"/>
    <n v="4"/>
    <n v="9.43"/>
    <x v="0"/>
    <x v="3"/>
  </r>
  <r>
    <n v="45312"/>
    <x v="293"/>
    <x v="22"/>
    <x v="1"/>
    <x v="11"/>
    <s v="O'Sullivan Cherrywood Estates Traditional Bookcase"/>
    <x v="4244"/>
    <n v="1"/>
    <n v="18.7"/>
    <x v="0"/>
    <x v="3"/>
  </r>
  <r>
    <n v="45312"/>
    <x v="293"/>
    <x v="22"/>
    <x v="0"/>
    <x v="3"/>
    <s v="Acco Translucent Poly Ring Binders"/>
    <x v="4183"/>
    <n v="5"/>
    <n v="6.55"/>
    <x v="0"/>
    <x v="3"/>
  </r>
  <r>
    <n v="45312"/>
    <x v="577"/>
    <x v="25"/>
    <x v="0"/>
    <x v="2"/>
    <s v="Fellowes Mobile File Cart, Black"/>
    <x v="4245"/>
    <n v="7"/>
    <n v="30.47"/>
    <x v="0"/>
    <x v="3"/>
  </r>
  <r>
    <n v="45312"/>
    <x v="577"/>
    <x v="25"/>
    <x v="0"/>
    <x v="3"/>
    <s v="GBC Recycled VeloBinder Covers"/>
    <x v="4246"/>
    <n v="7"/>
    <n v="-28.63"/>
    <x v="0"/>
    <x v="3"/>
  </r>
  <r>
    <n v="45312"/>
    <x v="772"/>
    <x v="14"/>
    <x v="0"/>
    <x v="3"/>
    <s v="Avery Durable Binders"/>
    <x v="221"/>
    <n v="5"/>
    <n v="7.06"/>
    <x v="0"/>
    <x v="3"/>
  </r>
  <r>
    <n v="45312"/>
    <x v="772"/>
    <x v="14"/>
    <x v="2"/>
    <x v="9"/>
    <s v="Logitech G19 Programmable Gaming Keyboard"/>
    <x v="2324"/>
    <n v="5"/>
    <n v="111.59"/>
    <x v="0"/>
    <x v="3"/>
  </r>
  <r>
    <n v="45312"/>
    <x v="772"/>
    <x v="14"/>
    <x v="0"/>
    <x v="3"/>
    <s v="Avery Flip-Chart Easel Binder, Black"/>
    <x v="4247"/>
    <n v="4"/>
    <n v="42.07"/>
    <x v="0"/>
    <x v="3"/>
  </r>
  <r>
    <n v="45312"/>
    <x v="772"/>
    <x v="14"/>
    <x v="2"/>
    <x v="15"/>
    <s v="I.R.I.S IRISCard Anywhere 5 Card Scanner"/>
    <x v="4248"/>
    <n v="3"/>
    <n v="152.09"/>
    <x v="0"/>
    <x v="3"/>
  </r>
  <r>
    <n v="45312"/>
    <x v="772"/>
    <x v="14"/>
    <x v="2"/>
    <x v="6"/>
    <s v="Ativa D5772 2-Line 5.8GHz Digital Expandable Corded/Cordless Phone System with Answering &amp; Caller ID/Call Waiting, Black/Silver"/>
    <x v="4249"/>
    <n v="1"/>
    <n v="49.5"/>
    <x v="0"/>
    <x v="3"/>
  </r>
  <r>
    <n v="45312"/>
    <x v="737"/>
    <x v="1"/>
    <x v="0"/>
    <x v="10"/>
    <s v="Airmail Envelopes"/>
    <x v="4250"/>
    <n v="4"/>
    <n v="90.64"/>
    <x v="0"/>
    <x v="3"/>
  </r>
  <r>
    <n v="45313"/>
    <x v="525"/>
    <x v="35"/>
    <x v="2"/>
    <x v="16"/>
    <s v="Canon Image Class D660 Copier"/>
    <x v="4251"/>
    <n v="5"/>
    <n v="1379.98"/>
    <x v="0"/>
    <x v="3"/>
  </r>
  <r>
    <n v="45313"/>
    <x v="525"/>
    <x v="35"/>
    <x v="0"/>
    <x v="2"/>
    <s v="Advantus Rolling Storage Box"/>
    <x v="1596"/>
    <n v="3"/>
    <n v="13.89"/>
    <x v="0"/>
    <x v="3"/>
  </r>
  <r>
    <n v="45313"/>
    <x v="525"/>
    <x v="35"/>
    <x v="0"/>
    <x v="0"/>
    <s v="Great White Multi-Use Recycled Paper (20Lb. and 84 Bright)"/>
    <x v="687"/>
    <n v="2"/>
    <n v="5.38"/>
    <x v="0"/>
    <x v="3"/>
  </r>
  <r>
    <n v="45313"/>
    <x v="525"/>
    <x v="35"/>
    <x v="0"/>
    <x v="2"/>
    <s v="Tennsco Single-Tier Lockers"/>
    <x v="4034"/>
    <n v="3"/>
    <n v="56.3"/>
    <x v="0"/>
    <x v="3"/>
  </r>
  <r>
    <n v="45313"/>
    <x v="150"/>
    <x v="1"/>
    <x v="0"/>
    <x v="7"/>
    <s v="Staples"/>
    <x v="137"/>
    <n v="5"/>
    <n v="4.91"/>
    <x v="0"/>
    <x v="3"/>
  </r>
  <r>
    <n v="45313"/>
    <x v="150"/>
    <x v="1"/>
    <x v="0"/>
    <x v="4"/>
    <s v="Newell 348"/>
    <x v="1304"/>
    <n v="3"/>
    <n v="0.89"/>
    <x v="0"/>
    <x v="3"/>
  </r>
  <r>
    <n v="45314"/>
    <x v="91"/>
    <x v="14"/>
    <x v="1"/>
    <x v="13"/>
    <s v="Balt Solid Wood Rectangular Table"/>
    <x v="4252"/>
    <n v="2"/>
    <n v="21.1"/>
    <x v="0"/>
    <x v="3"/>
  </r>
  <r>
    <n v="45314"/>
    <x v="10"/>
    <x v="22"/>
    <x v="0"/>
    <x v="3"/>
    <s v="Pressboard Hanging Data Binders for Unburst Sheets"/>
    <x v="184"/>
    <n v="5"/>
    <n v="6.89"/>
    <x v="0"/>
    <x v="3"/>
  </r>
  <r>
    <n v="45314"/>
    <x v="10"/>
    <x v="22"/>
    <x v="0"/>
    <x v="0"/>
    <s v="Xerox 212"/>
    <x v="499"/>
    <n v="4"/>
    <n v="12.44"/>
    <x v="0"/>
    <x v="3"/>
  </r>
  <r>
    <n v="45314"/>
    <x v="10"/>
    <x v="22"/>
    <x v="0"/>
    <x v="0"/>
    <s v="Xerox 192"/>
    <x v="710"/>
    <n v="1"/>
    <n v="3.11"/>
    <x v="0"/>
    <x v="3"/>
  </r>
  <r>
    <n v="45314"/>
    <x v="10"/>
    <x v="22"/>
    <x v="2"/>
    <x v="6"/>
    <s v="Griffin GC17055 Auxiliary Audio Cable"/>
    <x v="3222"/>
    <n v="6"/>
    <n v="8.64"/>
    <x v="0"/>
    <x v="3"/>
  </r>
  <r>
    <n v="45314"/>
    <x v="187"/>
    <x v="12"/>
    <x v="2"/>
    <x v="9"/>
    <s v="Logitech Wireless Anywhere Mouse MX for PC and Mac"/>
    <x v="772"/>
    <n v="2"/>
    <n v="12"/>
    <x v="0"/>
    <x v="3"/>
  </r>
  <r>
    <n v="45314"/>
    <x v="187"/>
    <x v="12"/>
    <x v="0"/>
    <x v="3"/>
    <s v="Wilson Jones data.warehouse D-Ring Binders with DublLock"/>
    <x v="4253"/>
    <n v="2"/>
    <n v="-3.62"/>
    <x v="0"/>
    <x v="3"/>
  </r>
  <r>
    <n v="45315"/>
    <x v="633"/>
    <x v="4"/>
    <x v="0"/>
    <x v="7"/>
    <s v="Revere Boxed Rubber Bands by Revere"/>
    <x v="987"/>
    <n v="3"/>
    <n v="0.11"/>
    <x v="0"/>
    <x v="3"/>
  </r>
  <r>
    <n v="45315"/>
    <x v="435"/>
    <x v="3"/>
    <x v="0"/>
    <x v="12"/>
    <s v="Acco Six-Outlet Power Strip, 4' Cord Length"/>
    <x v="2280"/>
    <n v="3"/>
    <n v="6.72"/>
    <x v="0"/>
    <x v="3"/>
  </r>
  <r>
    <n v="45315"/>
    <x v="435"/>
    <x v="3"/>
    <x v="0"/>
    <x v="3"/>
    <s v="Ibico EB-19 Dual Function Manual Binding System"/>
    <x v="3560"/>
    <n v="2"/>
    <n v="89.95"/>
    <x v="0"/>
    <x v="3"/>
  </r>
  <r>
    <n v="45315"/>
    <x v="435"/>
    <x v="3"/>
    <x v="2"/>
    <x v="6"/>
    <s v="Jensen SMPS-640 -Â speaker phone"/>
    <x v="2803"/>
    <n v="3"/>
    <n v="8.2799999999999994"/>
    <x v="0"/>
    <x v="3"/>
  </r>
  <r>
    <n v="45317"/>
    <x v="27"/>
    <x v="33"/>
    <x v="0"/>
    <x v="4"/>
    <s v="Newell 311"/>
    <x v="4254"/>
    <n v="7"/>
    <n v="4.18"/>
    <x v="0"/>
    <x v="3"/>
  </r>
  <r>
    <n v="45317"/>
    <x v="27"/>
    <x v="33"/>
    <x v="0"/>
    <x v="3"/>
    <s v="Avery Poly Binder Pockets"/>
    <x v="959"/>
    <n v="2"/>
    <n v="3.44"/>
    <x v="0"/>
    <x v="3"/>
  </r>
  <r>
    <n v="45317"/>
    <x v="704"/>
    <x v="0"/>
    <x v="0"/>
    <x v="2"/>
    <s v="SimpliFile Personal File, Black Granite, 15w x 6-15/16d x 11-1/4h"/>
    <x v="3823"/>
    <n v="2"/>
    <n v="1.82"/>
    <x v="0"/>
    <x v="3"/>
  </r>
  <r>
    <n v="45317"/>
    <x v="740"/>
    <x v="3"/>
    <x v="0"/>
    <x v="7"/>
    <s v="Binder Clips by OIC"/>
    <x v="3891"/>
    <n v="8"/>
    <n v="5.68"/>
    <x v="0"/>
    <x v="3"/>
  </r>
  <r>
    <n v="45317"/>
    <x v="32"/>
    <x v="4"/>
    <x v="1"/>
    <x v="8"/>
    <s v="Artistic Insta-Plaque"/>
    <x v="4255"/>
    <n v="4"/>
    <n v="24.46"/>
    <x v="0"/>
    <x v="3"/>
  </r>
  <r>
    <n v="45317"/>
    <x v="32"/>
    <x v="4"/>
    <x v="2"/>
    <x v="6"/>
    <s v="Samsung Galaxy Mega 6.3"/>
    <x v="4256"/>
    <n v="7"/>
    <n v="764.38"/>
    <x v="0"/>
    <x v="3"/>
  </r>
  <r>
    <n v="45318"/>
    <x v="209"/>
    <x v="10"/>
    <x v="0"/>
    <x v="4"/>
    <s v="Newell 312"/>
    <x v="1473"/>
    <n v="3"/>
    <n v="1.75"/>
    <x v="0"/>
    <x v="3"/>
  </r>
  <r>
    <n v="45318"/>
    <x v="209"/>
    <x v="10"/>
    <x v="2"/>
    <x v="9"/>
    <s v="Anker Ultrathin Bluetooth Wireless Keyboard Aluminum Cover with Stand"/>
    <x v="1553"/>
    <n v="3"/>
    <n v="-9"/>
    <x v="0"/>
    <x v="3"/>
  </r>
  <r>
    <n v="45318"/>
    <x v="209"/>
    <x v="10"/>
    <x v="2"/>
    <x v="6"/>
    <s v="JBL Micro Wireless Portable Bluetooth Speaker"/>
    <x v="1693"/>
    <n v="3"/>
    <n v="-27"/>
    <x v="0"/>
    <x v="3"/>
  </r>
  <r>
    <n v="45318"/>
    <x v="614"/>
    <x v="20"/>
    <x v="2"/>
    <x v="6"/>
    <s v="Jensen SMPS-640 -Â speaker phone"/>
    <x v="4049"/>
    <n v="3"/>
    <n v="35.86"/>
    <x v="0"/>
    <x v="3"/>
  </r>
  <r>
    <n v="45319"/>
    <x v="165"/>
    <x v="3"/>
    <x v="2"/>
    <x v="9"/>
    <s v="Logitech G13 Programmable Gameboard with LCD Display"/>
    <x v="104"/>
    <n v="3"/>
    <n v="26.4"/>
    <x v="0"/>
    <x v="3"/>
  </r>
  <r>
    <n v="45319"/>
    <x v="165"/>
    <x v="3"/>
    <x v="1"/>
    <x v="8"/>
    <s v="DAX Executive Solid Wood Document Frame, Desktop or Hang, Mahogany, 5 x 7"/>
    <x v="3419"/>
    <n v="3"/>
    <n v="12.83"/>
    <x v="0"/>
    <x v="3"/>
  </r>
  <r>
    <n v="45319"/>
    <x v="656"/>
    <x v="42"/>
    <x v="0"/>
    <x v="0"/>
    <s v="Xerox 1934"/>
    <x v="2323"/>
    <n v="5"/>
    <n v="137.15"/>
    <x v="0"/>
    <x v="3"/>
  </r>
  <r>
    <n v="45319"/>
    <x v="750"/>
    <x v="20"/>
    <x v="2"/>
    <x v="9"/>
    <s v="Plantronics Audio 478 Stereo USB Headset"/>
    <x v="4257"/>
    <n v="9"/>
    <n v="157.47"/>
    <x v="0"/>
    <x v="3"/>
  </r>
  <r>
    <n v="45320"/>
    <x v="584"/>
    <x v="1"/>
    <x v="0"/>
    <x v="3"/>
    <s v="GBC Clear Cover, 8-1/2 x 11, unpunched, 25 covers per pack"/>
    <x v="2759"/>
    <n v="4"/>
    <n v="-20.62"/>
    <x v="0"/>
    <x v="3"/>
  </r>
  <r>
    <n v="45320"/>
    <x v="339"/>
    <x v="3"/>
    <x v="0"/>
    <x v="4"/>
    <s v="Newell 339"/>
    <x v="1758"/>
    <n v="3"/>
    <n v="2.17"/>
    <x v="0"/>
    <x v="3"/>
  </r>
  <r>
    <n v="45320"/>
    <x v="339"/>
    <x v="3"/>
    <x v="0"/>
    <x v="14"/>
    <s v="Acme Office Executive Series Stainless Steel Trimmers"/>
    <x v="551"/>
    <n v="1"/>
    <n v="2.23"/>
    <x v="0"/>
    <x v="3"/>
  </r>
  <r>
    <n v="45320"/>
    <x v="339"/>
    <x v="3"/>
    <x v="0"/>
    <x v="3"/>
    <s v="Clear Mylar Reinforcing Strips"/>
    <x v="3501"/>
    <n v="8"/>
    <n v="40.369999999999997"/>
    <x v="0"/>
    <x v="3"/>
  </r>
  <r>
    <n v="45320"/>
    <x v="122"/>
    <x v="20"/>
    <x v="0"/>
    <x v="1"/>
    <s v="Permanent Self-Adhesive File Folder Labels for Typewriters by Universal"/>
    <x v="1324"/>
    <n v="2"/>
    <n v="2.4"/>
    <x v="0"/>
    <x v="3"/>
  </r>
  <r>
    <n v="45320"/>
    <x v="741"/>
    <x v="2"/>
    <x v="0"/>
    <x v="4"/>
    <s v="Premium Writing Pencils, Soft, #2 by Central Association for the Blind"/>
    <x v="3025"/>
    <n v="2"/>
    <n v="0.48"/>
    <x v="0"/>
    <x v="3"/>
  </r>
  <r>
    <n v="45320"/>
    <x v="51"/>
    <x v="30"/>
    <x v="0"/>
    <x v="0"/>
    <s v="Xerox 1997"/>
    <x v="115"/>
    <n v="2"/>
    <n v="6.22"/>
    <x v="0"/>
    <x v="3"/>
  </r>
  <r>
    <n v="45320"/>
    <x v="51"/>
    <x v="30"/>
    <x v="0"/>
    <x v="0"/>
    <s v="Xerox 1887"/>
    <x v="1273"/>
    <n v="5"/>
    <n v="45.53"/>
    <x v="0"/>
    <x v="3"/>
  </r>
  <r>
    <n v="45320"/>
    <x v="51"/>
    <x v="30"/>
    <x v="0"/>
    <x v="2"/>
    <s v="Tenex Personal Project File with Scoop Front Design, Black"/>
    <x v="3130"/>
    <n v="1"/>
    <n v="3.5"/>
    <x v="0"/>
    <x v="3"/>
  </r>
  <r>
    <n v="45320"/>
    <x v="51"/>
    <x v="30"/>
    <x v="1"/>
    <x v="8"/>
    <s v="DAX Value U-Channel Document Frames, Easel Back"/>
    <x v="2287"/>
    <n v="3"/>
    <n v="4.62"/>
    <x v="0"/>
    <x v="3"/>
  </r>
  <r>
    <n v="45321"/>
    <x v="625"/>
    <x v="30"/>
    <x v="0"/>
    <x v="3"/>
    <s v="Cardinal EasyOpen D-Ring Binders"/>
    <x v="645"/>
    <n v="2"/>
    <n v="9.14"/>
    <x v="0"/>
    <x v="3"/>
  </r>
  <r>
    <n v="45321"/>
    <x v="625"/>
    <x v="30"/>
    <x v="2"/>
    <x v="6"/>
    <s v="AT&amp;T 841000 Phone"/>
    <x v="2604"/>
    <n v="3"/>
    <n v="51.75"/>
    <x v="0"/>
    <x v="3"/>
  </r>
  <r>
    <n v="45321"/>
    <x v="625"/>
    <x v="30"/>
    <x v="0"/>
    <x v="3"/>
    <s v="GBC Instant Report Kit"/>
    <x v="4258"/>
    <n v="5"/>
    <n v="16.18"/>
    <x v="0"/>
    <x v="3"/>
  </r>
  <r>
    <n v="45321"/>
    <x v="625"/>
    <x v="30"/>
    <x v="0"/>
    <x v="3"/>
    <s v="DXL Angle-View Binders with Locking Rings by Samsill"/>
    <x v="647"/>
    <n v="1"/>
    <n v="3.47"/>
    <x v="0"/>
    <x v="3"/>
  </r>
  <r>
    <n v="45321"/>
    <x v="625"/>
    <x v="30"/>
    <x v="0"/>
    <x v="4"/>
    <s v="Boston 19500 Mighty Mite Electric Pencil Sharpener"/>
    <x v="4259"/>
    <n v="2"/>
    <n v="10.88"/>
    <x v="0"/>
    <x v="3"/>
  </r>
  <r>
    <n v="45321"/>
    <x v="625"/>
    <x v="30"/>
    <x v="1"/>
    <x v="8"/>
    <s v="C-Line Magnetic Cubicle Keepers, Clear Polypropylene"/>
    <x v="2954"/>
    <n v="7"/>
    <n v="14.52"/>
    <x v="0"/>
    <x v="3"/>
  </r>
  <r>
    <n v="45321"/>
    <x v="13"/>
    <x v="3"/>
    <x v="0"/>
    <x v="2"/>
    <s v="Space Solutions Commercial Steel Shelving"/>
    <x v="261"/>
    <n v="2"/>
    <n v="6.47"/>
    <x v="0"/>
    <x v="3"/>
  </r>
  <r>
    <n v="45321"/>
    <x v="469"/>
    <x v="3"/>
    <x v="0"/>
    <x v="4"/>
    <s v="Crayola Anti Dust Chalk, 12/Pack"/>
    <x v="4206"/>
    <n v="7"/>
    <n v="5.73"/>
    <x v="0"/>
    <x v="3"/>
  </r>
  <r>
    <n v="45321"/>
    <x v="469"/>
    <x v="3"/>
    <x v="0"/>
    <x v="4"/>
    <s v="Newell 338"/>
    <x v="1946"/>
    <n v="3"/>
    <n v="2.38"/>
    <x v="0"/>
    <x v="3"/>
  </r>
  <r>
    <n v="45321"/>
    <x v="469"/>
    <x v="3"/>
    <x v="1"/>
    <x v="5"/>
    <s v="Novimex Swivel Fabric Task Chair"/>
    <x v="3800"/>
    <n v="1"/>
    <n v="-13.59"/>
    <x v="0"/>
    <x v="3"/>
  </r>
  <r>
    <n v="45321"/>
    <x v="185"/>
    <x v="16"/>
    <x v="1"/>
    <x v="5"/>
    <s v="Office Star - Contemporary Task Swivel chair with 2-way adjustable arms, Plum"/>
    <x v="4260"/>
    <n v="4"/>
    <n v="-68.11"/>
    <x v="0"/>
    <x v="3"/>
  </r>
  <r>
    <n v="45321"/>
    <x v="760"/>
    <x v="1"/>
    <x v="1"/>
    <x v="13"/>
    <s v="Balt Split Level Computer Training Table"/>
    <x v="4261"/>
    <n v="1"/>
    <n v="-47.18"/>
    <x v="0"/>
    <x v="3"/>
  </r>
  <r>
    <n v="45321"/>
    <x v="760"/>
    <x v="1"/>
    <x v="0"/>
    <x v="14"/>
    <s v="Acme Tagit Stainless Steel Antibacterial Scissors"/>
    <x v="1214"/>
    <n v="4"/>
    <n v="2.77"/>
    <x v="0"/>
    <x v="3"/>
  </r>
  <r>
    <n v="45321"/>
    <x v="760"/>
    <x v="1"/>
    <x v="2"/>
    <x v="6"/>
    <s v="Samsung Galaxy S4"/>
    <x v="4262"/>
    <n v="4"/>
    <n v="250.4"/>
    <x v="0"/>
    <x v="3"/>
  </r>
  <r>
    <n v="45321"/>
    <x v="760"/>
    <x v="1"/>
    <x v="0"/>
    <x v="4"/>
    <s v="Quartet Omega Colored Chalk, 12/Pack"/>
    <x v="16"/>
    <n v="2"/>
    <n v="3.15"/>
    <x v="0"/>
    <x v="3"/>
  </r>
  <r>
    <n v="45321"/>
    <x v="381"/>
    <x v="22"/>
    <x v="2"/>
    <x v="6"/>
    <s v="Mitel 5320 IP Phone VoIP phone"/>
    <x v="4263"/>
    <n v="4"/>
    <n v="60.48"/>
    <x v="0"/>
    <x v="3"/>
  </r>
  <r>
    <n v="45324"/>
    <x v="360"/>
    <x v="10"/>
    <x v="2"/>
    <x v="6"/>
    <s v="Anker 36W 4-Port USB Wall Charger Travel Power Adapter for iPhone 5s 5c 5"/>
    <x v="2388"/>
    <n v="5"/>
    <n v="-11.99"/>
    <x v="1"/>
    <x v="3"/>
  </r>
  <r>
    <n v="45324"/>
    <x v="360"/>
    <x v="10"/>
    <x v="0"/>
    <x v="0"/>
    <s v="Xerox 1916"/>
    <x v="737"/>
    <n v="2"/>
    <n v="29.36"/>
    <x v="1"/>
    <x v="3"/>
  </r>
  <r>
    <n v="45324"/>
    <x v="360"/>
    <x v="10"/>
    <x v="0"/>
    <x v="7"/>
    <s v="Staples"/>
    <x v="4264"/>
    <n v="9"/>
    <n v="6.97"/>
    <x v="1"/>
    <x v="3"/>
  </r>
  <r>
    <n v="45324"/>
    <x v="154"/>
    <x v="3"/>
    <x v="1"/>
    <x v="8"/>
    <s v="Howard Miller 11-1/2&quot; Diameter Grantwood Wall Clock"/>
    <x v="4265"/>
    <n v="2"/>
    <n v="29.33"/>
    <x v="1"/>
    <x v="3"/>
  </r>
  <r>
    <n v="45324"/>
    <x v="154"/>
    <x v="3"/>
    <x v="0"/>
    <x v="2"/>
    <s v="Multi-Use Personal File Cart and Caster Set, Three Stacking Bins"/>
    <x v="4266"/>
    <n v="4"/>
    <n v="38.93"/>
    <x v="1"/>
    <x v="3"/>
  </r>
  <r>
    <n v="45324"/>
    <x v="154"/>
    <x v="3"/>
    <x v="0"/>
    <x v="12"/>
    <s v="Harmony HEPA Quiet Air Purifiers"/>
    <x v="390"/>
    <n v="4"/>
    <n v="16.38"/>
    <x v="1"/>
    <x v="3"/>
  </r>
  <r>
    <n v="45324"/>
    <x v="731"/>
    <x v="3"/>
    <x v="1"/>
    <x v="8"/>
    <s v="Eldon Antistatic Chair Mats for Low to Medium Pile Carpets"/>
    <x v="4267"/>
    <n v="2"/>
    <n v="12.63"/>
    <x v="1"/>
    <x v="3"/>
  </r>
  <r>
    <n v="45324"/>
    <x v="731"/>
    <x v="3"/>
    <x v="0"/>
    <x v="3"/>
    <s v="GBC Durable Plastic Covers"/>
    <x v="800"/>
    <n v="2"/>
    <n v="10.06"/>
    <x v="1"/>
    <x v="3"/>
  </r>
  <r>
    <n v="45324"/>
    <x v="731"/>
    <x v="3"/>
    <x v="2"/>
    <x v="15"/>
    <s v="HP Officejet Pro 8600 e-All-In-One Printer, Copier, Scanner, Fax"/>
    <x v="868"/>
    <n v="2"/>
    <n v="39"/>
    <x v="1"/>
    <x v="3"/>
  </r>
  <r>
    <n v="45325"/>
    <x v="550"/>
    <x v="10"/>
    <x v="0"/>
    <x v="3"/>
    <s v="Fellowes Black Plastic Comb Bindings"/>
    <x v="1804"/>
    <n v="3"/>
    <n v="-4.18"/>
    <x v="1"/>
    <x v="3"/>
  </r>
  <r>
    <n v="45325"/>
    <x v="550"/>
    <x v="10"/>
    <x v="0"/>
    <x v="2"/>
    <s v="Hot File 7-Pocket, Floor Stand"/>
    <x v="4268"/>
    <n v="2"/>
    <n v="35.69"/>
    <x v="1"/>
    <x v="3"/>
  </r>
  <r>
    <n v="45325"/>
    <x v="59"/>
    <x v="16"/>
    <x v="0"/>
    <x v="3"/>
    <s v="GBC Instant Report Kit"/>
    <x v="2777"/>
    <n v="2"/>
    <n v="-2.59"/>
    <x v="1"/>
    <x v="3"/>
  </r>
  <r>
    <n v="45325"/>
    <x v="59"/>
    <x v="16"/>
    <x v="0"/>
    <x v="0"/>
    <s v="14-7/8 x 11 Blue Bar Computer Printout Paper"/>
    <x v="2656"/>
    <n v="3"/>
    <n v="40.35"/>
    <x v="1"/>
    <x v="3"/>
  </r>
  <r>
    <n v="45325"/>
    <x v="476"/>
    <x v="1"/>
    <x v="0"/>
    <x v="0"/>
    <s v="Xerox 2"/>
    <x v="193"/>
    <n v="1"/>
    <n v="1.81"/>
    <x v="1"/>
    <x v="3"/>
  </r>
  <r>
    <n v="45325"/>
    <x v="476"/>
    <x v="1"/>
    <x v="0"/>
    <x v="0"/>
    <s v="Xerox 1893"/>
    <x v="1776"/>
    <n v="2"/>
    <n v="23.77"/>
    <x v="1"/>
    <x v="3"/>
  </r>
  <r>
    <n v="45325"/>
    <x v="476"/>
    <x v="1"/>
    <x v="1"/>
    <x v="8"/>
    <s v="Eldon Cleatmat Chair Mats for Medium Pile Carpets"/>
    <x v="501"/>
    <n v="1"/>
    <n v="-26.09"/>
    <x v="1"/>
    <x v="3"/>
  </r>
  <r>
    <n v="45325"/>
    <x v="476"/>
    <x v="1"/>
    <x v="0"/>
    <x v="0"/>
    <s v="Xerox 189"/>
    <x v="3193"/>
    <n v="5"/>
    <n v="146.79"/>
    <x v="1"/>
    <x v="3"/>
  </r>
  <r>
    <n v="45326"/>
    <x v="705"/>
    <x v="20"/>
    <x v="0"/>
    <x v="12"/>
    <s v="Belkin 6 Outlet Metallic Surge Strip"/>
    <x v="197"/>
    <n v="3"/>
    <n v="8.49"/>
    <x v="1"/>
    <x v="3"/>
  </r>
  <r>
    <n v="45327"/>
    <x v="92"/>
    <x v="0"/>
    <x v="0"/>
    <x v="3"/>
    <s v="Ibico Hi-Tech Manual Binding System"/>
    <x v="4269"/>
    <n v="4"/>
    <n v="-426.99"/>
    <x v="1"/>
    <x v="3"/>
  </r>
  <r>
    <n v="45327"/>
    <x v="92"/>
    <x v="0"/>
    <x v="0"/>
    <x v="4"/>
    <s v="Staples in misc. colors"/>
    <x v="4270"/>
    <n v="5"/>
    <n v="0.71"/>
    <x v="1"/>
    <x v="3"/>
  </r>
  <r>
    <n v="45327"/>
    <x v="452"/>
    <x v="3"/>
    <x v="0"/>
    <x v="12"/>
    <s v="Sanyo Counter Height Refrigerator with Crisper, 3.6 Cubic Foot, Stainless Steel/Black"/>
    <x v="2536"/>
    <n v="5"/>
    <n v="459.4"/>
    <x v="1"/>
    <x v="3"/>
  </r>
  <r>
    <n v="45327"/>
    <x v="452"/>
    <x v="3"/>
    <x v="2"/>
    <x v="6"/>
    <s v="Geemarc AmpliPOWER60"/>
    <x v="4271"/>
    <n v="5"/>
    <n v="41.76"/>
    <x v="1"/>
    <x v="3"/>
  </r>
  <r>
    <n v="45328"/>
    <x v="20"/>
    <x v="6"/>
    <x v="1"/>
    <x v="11"/>
    <s v="Bush Andora Bookcase, Maple/Graphite Gray Finish"/>
    <x v="3902"/>
    <n v="3"/>
    <n v="79.19"/>
    <x v="1"/>
    <x v="3"/>
  </r>
  <r>
    <n v="45328"/>
    <x v="741"/>
    <x v="20"/>
    <x v="1"/>
    <x v="11"/>
    <s v="Atlantic Metals Mobile 5-Shelf Bookcases, Custom Colors"/>
    <x v="2544"/>
    <n v="1"/>
    <n v="30.1"/>
    <x v="1"/>
    <x v="3"/>
  </r>
  <r>
    <n v="45328"/>
    <x v="457"/>
    <x v="20"/>
    <x v="2"/>
    <x v="6"/>
    <s v="Grandstream GXP1160 VoIP phone"/>
    <x v="4272"/>
    <n v="6"/>
    <n v="65.959999999999994"/>
    <x v="1"/>
    <x v="3"/>
  </r>
  <r>
    <n v="45328"/>
    <x v="457"/>
    <x v="20"/>
    <x v="0"/>
    <x v="3"/>
    <s v="Acco Recycled 2&quot; Capacity Laser Printer Hanging Data Binders"/>
    <x v="4273"/>
    <n v="4"/>
    <n v="15.61"/>
    <x v="1"/>
    <x v="3"/>
  </r>
  <r>
    <n v="45328"/>
    <x v="659"/>
    <x v="3"/>
    <x v="0"/>
    <x v="0"/>
    <s v="Xerox 1947"/>
    <x v="1691"/>
    <n v="5"/>
    <n v="13.46"/>
    <x v="1"/>
    <x v="3"/>
  </r>
  <r>
    <n v="45331"/>
    <x v="717"/>
    <x v="0"/>
    <x v="0"/>
    <x v="3"/>
    <s v="GBC ProClick 150 Presentation Binding System"/>
    <x v="4274"/>
    <n v="4"/>
    <n v="-417.09"/>
    <x v="1"/>
    <x v="3"/>
  </r>
  <r>
    <n v="45331"/>
    <x v="717"/>
    <x v="0"/>
    <x v="2"/>
    <x v="9"/>
    <s v="Razer Kraken PRO Over Ear PC and Music Headset"/>
    <x v="1311"/>
    <n v="2"/>
    <n v="16"/>
    <x v="1"/>
    <x v="3"/>
  </r>
  <r>
    <n v="45331"/>
    <x v="717"/>
    <x v="0"/>
    <x v="1"/>
    <x v="8"/>
    <s v="Stacking Trays by OIC"/>
    <x v="444"/>
    <n v="2"/>
    <n v="-2.69"/>
    <x v="1"/>
    <x v="3"/>
  </r>
  <r>
    <n v="45331"/>
    <x v="717"/>
    <x v="0"/>
    <x v="0"/>
    <x v="12"/>
    <s v="Belkin F9S820V06 8 Outlet Surge"/>
    <x v="3038"/>
    <n v="2"/>
    <n v="-32.479999999999997"/>
    <x v="1"/>
    <x v="3"/>
  </r>
  <r>
    <n v="45331"/>
    <x v="44"/>
    <x v="3"/>
    <x v="1"/>
    <x v="8"/>
    <s v="Master Big Foot Doorstop, Beige"/>
    <x v="1609"/>
    <n v="4"/>
    <n v="6.55"/>
    <x v="1"/>
    <x v="3"/>
  </r>
  <r>
    <n v="45331"/>
    <x v="242"/>
    <x v="3"/>
    <x v="0"/>
    <x v="2"/>
    <s v="Sensible Storage WireTech Storage Systems"/>
    <x v="142"/>
    <n v="5"/>
    <n v="17.75"/>
    <x v="1"/>
    <x v="3"/>
  </r>
  <r>
    <n v="45332"/>
    <x v="109"/>
    <x v="3"/>
    <x v="1"/>
    <x v="11"/>
    <s v="Bush Andora Bookcase, Maple/Graphite Gray Finish"/>
    <x v="3940"/>
    <n v="2"/>
    <n v="16.8"/>
    <x v="1"/>
    <x v="3"/>
  </r>
  <r>
    <n v="45332"/>
    <x v="46"/>
    <x v="36"/>
    <x v="0"/>
    <x v="0"/>
    <s v="HP Office Recycled Paper (20Lb. and 87 Bright)"/>
    <x v="3361"/>
    <n v="4"/>
    <n v="11.33"/>
    <x v="1"/>
    <x v="3"/>
  </r>
  <r>
    <n v="45333"/>
    <x v="197"/>
    <x v="3"/>
    <x v="0"/>
    <x v="3"/>
    <s v="Acco Pressboard Covers with Storage Hooks, 14 7/8&quot; x 11&quot;, Dark Blue"/>
    <x v="1911"/>
    <n v="7"/>
    <n v="7.73"/>
    <x v="1"/>
    <x v="3"/>
  </r>
  <r>
    <n v="45333"/>
    <x v="568"/>
    <x v="22"/>
    <x v="1"/>
    <x v="5"/>
    <s v="Global Leather and Oak Executive Chair, Black"/>
    <x v="4275"/>
    <n v="4"/>
    <n v="108.35"/>
    <x v="1"/>
    <x v="3"/>
  </r>
  <r>
    <n v="45333"/>
    <x v="568"/>
    <x v="22"/>
    <x v="2"/>
    <x v="6"/>
    <s v="Logitech B530 USBÂ HeadsetÂ -Â headsetÂ - Full size, Binaural"/>
    <x v="1219"/>
    <n v="3"/>
    <n v="7.77"/>
    <x v="1"/>
    <x v="3"/>
  </r>
  <r>
    <n v="45333"/>
    <x v="351"/>
    <x v="20"/>
    <x v="0"/>
    <x v="1"/>
    <s v="Avery 473"/>
    <x v="2363"/>
    <n v="2"/>
    <n v="9.94"/>
    <x v="1"/>
    <x v="3"/>
  </r>
  <r>
    <n v="45333"/>
    <x v="226"/>
    <x v="10"/>
    <x v="1"/>
    <x v="8"/>
    <s v="Deflect-o RollaMat Studded, Beveled Mat for Medium Pile Carpeting"/>
    <x v="4276"/>
    <n v="2"/>
    <n v="-3.69"/>
    <x v="1"/>
    <x v="3"/>
  </r>
  <r>
    <n v="45335"/>
    <x v="681"/>
    <x v="22"/>
    <x v="0"/>
    <x v="4"/>
    <s v="Newell 311"/>
    <x v="46"/>
    <n v="3"/>
    <n v="1.79"/>
    <x v="1"/>
    <x v="3"/>
  </r>
  <r>
    <n v="45335"/>
    <x v="681"/>
    <x v="22"/>
    <x v="2"/>
    <x v="9"/>
    <s v="Razer Tiamat Over Ear 7.1 Surround Sound PC Gaming Headset"/>
    <x v="4277"/>
    <n v="4"/>
    <n v="343.98"/>
    <x v="1"/>
    <x v="3"/>
  </r>
  <r>
    <n v="45335"/>
    <x v="681"/>
    <x v="22"/>
    <x v="1"/>
    <x v="8"/>
    <s v="Tenex Contemporary Contur Chairmats for Low and Medium Pile Carpet, Computer, 39&quot; x 49&quot;"/>
    <x v="4278"/>
    <n v="1"/>
    <n v="21.51"/>
    <x v="1"/>
    <x v="3"/>
  </r>
  <r>
    <n v="45335"/>
    <x v="149"/>
    <x v="36"/>
    <x v="0"/>
    <x v="14"/>
    <s v="Acme Elite Stainless Steel Scissors"/>
    <x v="4279"/>
    <n v="3"/>
    <n v="6.51"/>
    <x v="1"/>
    <x v="3"/>
  </r>
  <r>
    <n v="45335"/>
    <x v="149"/>
    <x v="36"/>
    <x v="0"/>
    <x v="4"/>
    <s v="Barrel Sharpener"/>
    <x v="1884"/>
    <n v="3"/>
    <n v="2.78"/>
    <x v="1"/>
    <x v="3"/>
  </r>
  <r>
    <n v="45335"/>
    <x v="359"/>
    <x v="20"/>
    <x v="0"/>
    <x v="0"/>
    <s v="Xerox 1903"/>
    <x v="150"/>
    <n v="3"/>
    <n v="8.7899999999999991"/>
    <x v="1"/>
    <x v="3"/>
  </r>
  <r>
    <n v="45335"/>
    <x v="294"/>
    <x v="28"/>
    <x v="0"/>
    <x v="12"/>
    <s v="Holmes Replacement Filter for HEPA Air Cleaner, Medium Room"/>
    <x v="4280"/>
    <n v="8"/>
    <n v="38.979999999999997"/>
    <x v="1"/>
    <x v="3"/>
  </r>
  <r>
    <n v="45338"/>
    <x v="321"/>
    <x v="20"/>
    <x v="0"/>
    <x v="0"/>
    <s v="Xerox 1912"/>
    <x v="1956"/>
    <n v="2"/>
    <n v="18.21"/>
    <x v="1"/>
    <x v="3"/>
  </r>
  <r>
    <n v="45338"/>
    <x v="537"/>
    <x v="37"/>
    <x v="0"/>
    <x v="2"/>
    <s v="Fellowes Staxonsteel Drawer Files"/>
    <x v="3165"/>
    <n v="3"/>
    <n v="81.13"/>
    <x v="1"/>
    <x v="3"/>
  </r>
  <r>
    <n v="45338"/>
    <x v="537"/>
    <x v="37"/>
    <x v="2"/>
    <x v="6"/>
    <s v="Belkin SportFit Armband For iPhone 5s/5c, Fuchsia"/>
    <x v="4281"/>
    <n v="1"/>
    <n v="7.35"/>
    <x v="1"/>
    <x v="3"/>
  </r>
  <r>
    <n v="45338"/>
    <x v="55"/>
    <x v="1"/>
    <x v="0"/>
    <x v="7"/>
    <s v="Vinyl Coated Wire Paper Clips in Organizer Box, 800/Box"/>
    <x v="4282"/>
    <n v="2"/>
    <n v="6.2"/>
    <x v="1"/>
    <x v="3"/>
  </r>
  <r>
    <n v="45338"/>
    <x v="55"/>
    <x v="1"/>
    <x v="1"/>
    <x v="5"/>
    <s v="Global Deluxe High-Back Manager's Chair"/>
    <x v="1581"/>
    <n v="3"/>
    <n v="-8.58"/>
    <x v="1"/>
    <x v="3"/>
  </r>
  <r>
    <n v="45338"/>
    <x v="55"/>
    <x v="1"/>
    <x v="0"/>
    <x v="2"/>
    <s v="Tennsco Lockers, Gray"/>
    <x v="1918"/>
    <n v="3"/>
    <n v="-8.18"/>
    <x v="1"/>
    <x v="3"/>
  </r>
  <r>
    <n v="45338"/>
    <x v="55"/>
    <x v="1"/>
    <x v="0"/>
    <x v="4"/>
    <s v="Newell 312"/>
    <x v="4283"/>
    <n v="6"/>
    <n v="3.5"/>
    <x v="1"/>
    <x v="3"/>
  </r>
  <r>
    <n v="45338"/>
    <x v="55"/>
    <x v="1"/>
    <x v="1"/>
    <x v="8"/>
    <s v="Executive Impressions 13&quot; Clairmont Wall Clock"/>
    <x v="4284"/>
    <n v="1"/>
    <n v="-3.65"/>
    <x v="1"/>
    <x v="3"/>
  </r>
  <r>
    <n v="45339"/>
    <x v="488"/>
    <x v="1"/>
    <x v="1"/>
    <x v="13"/>
    <s v="Chromcraft 48&quot; x 96&quot; Racetrack Double Pedestal Table"/>
    <x v="4285"/>
    <n v="3"/>
    <n v="-269.33999999999997"/>
    <x v="1"/>
    <x v="3"/>
  </r>
  <r>
    <n v="45339"/>
    <x v="488"/>
    <x v="1"/>
    <x v="2"/>
    <x v="6"/>
    <s v="LG Exalt"/>
    <x v="4286"/>
    <n v="1"/>
    <n v="10.92"/>
    <x v="1"/>
    <x v="3"/>
  </r>
  <r>
    <n v="45339"/>
    <x v="172"/>
    <x v="8"/>
    <x v="2"/>
    <x v="6"/>
    <s v="KLD Oscar II Style Snap-on Ultra Thin Side Flip Synthetic Leather Cover Case for HTC One HTC M7"/>
    <x v="2052"/>
    <n v="3"/>
    <n v="8.4600000000000009"/>
    <x v="1"/>
    <x v="3"/>
  </r>
  <r>
    <n v="45339"/>
    <x v="292"/>
    <x v="23"/>
    <x v="0"/>
    <x v="0"/>
    <s v="Adams Telephone Message Book W/Dividers/Space For Phone Numbers, 5 1/4&quot;X8 1/2&quot;, 300/Messages"/>
    <x v="1562"/>
    <n v="2"/>
    <n v="5.76"/>
    <x v="1"/>
    <x v="3"/>
  </r>
  <r>
    <n v="45339"/>
    <x v="292"/>
    <x v="23"/>
    <x v="0"/>
    <x v="2"/>
    <s v="Fellowes Bases and Tops For Staxonsteel/High-Stak Systems"/>
    <x v="4287"/>
    <n v="5"/>
    <n v="39.950000000000003"/>
    <x v="1"/>
    <x v="3"/>
  </r>
  <r>
    <n v="45339"/>
    <x v="601"/>
    <x v="0"/>
    <x v="1"/>
    <x v="11"/>
    <s v="Sauder Mission Library with Doors, Fruitwood Finish"/>
    <x v="4288"/>
    <n v="1"/>
    <n v="-17.03"/>
    <x v="1"/>
    <x v="3"/>
  </r>
  <r>
    <n v="45339"/>
    <x v="601"/>
    <x v="0"/>
    <x v="0"/>
    <x v="4"/>
    <s v="Dixon Ticonderoga Core-Lock Colored Pencils, 48-Color Set"/>
    <x v="4289"/>
    <n v="6"/>
    <n v="52.63"/>
    <x v="1"/>
    <x v="3"/>
  </r>
  <r>
    <n v="45339"/>
    <x v="601"/>
    <x v="0"/>
    <x v="2"/>
    <x v="6"/>
    <s v="Jawbone MINI JAMBOX Wireless Bluetooth Speaker"/>
    <x v="1417"/>
    <n v="4"/>
    <n v="-87.67"/>
    <x v="1"/>
    <x v="3"/>
  </r>
  <r>
    <n v="45339"/>
    <x v="79"/>
    <x v="10"/>
    <x v="1"/>
    <x v="13"/>
    <s v="SAFCO PlanMaster Boards, 60w x 37-1/2d, White Melamine"/>
    <x v="4158"/>
    <n v="5"/>
    <n v="-106.39"/>
    <x v="1"/>
    <x v="3"/>
  </r>
  <r>
    <n v="45339"/>
    <x v="79"/>
    <x v="10"/>
    <x v="0"/>
    <x v="3"/>
    <s v="Acco Pressboard Covers with Storage Hooks, 14 7/8&quot; x 11&quot;, Executive Red"/>
    <x v="3441"/>
    <n v="5"/>
    <n v="-4.76"/>
    <x v="1"/>
    <x v="3"/>
  </r>
  <r>
    <n v="45339"/>
    <x v="79"/>
    <x v="10"/>
    <x v="2"/>
    <x v="6"/>
    <s v="Vtech CS6719"/>
    <x v="4290"/>
    <n v="1"/>
    <n v="-11.52"/>
    <x v="1"/>
    <x v="3"/>
  </r>
  <r>
    <n v="45339"/>
    <x v="79"/>
    <x v="10"/>
    <x v="1"/>
    <x v="8"/>
    <s v="Flat Face Poster Frame"/>
    <x v="3135"/>
    <n v="2"/>
    <n v="8.2899999999999991"/>
    <x v="1"/>
    <x v="3"/>
  </r>
  <r>
    <n v="45339"/>
    <x v="79"/>
    <x v="10"/>
    <x v="1"/>
    <x v="5"/>
    <s v="Global Commerce Series Low-Back Swivel/Tilt Chairs"/>
    <x v="4291"/>
    <n v="5"/>
    <n v="-12.85"/>
    <x v="1"/>
    <x v="3"/>
  </r>
  <r>
    <n v="45340"/>
    <x v="755"/>
    <x v="3"/>
    <x v="2"/>
    <x v="6"/>
    <s v="iHome FM Clock Radio with Lightning Dock"/>
    <x v="4292"/>
    <n v="3"/>
    <n v="10.5"/>
    <x v="1"/>
    <x v="3"/>
  </r>
  <r>
    <n v="45340"/>
    <x v="755"/>
    <x v="3"/>
    <x v="2"/>
    <x v="9"/>
    <s v="Memorex Micro Travel Drive 32 GB"/>
    <x v="4293"/>
    <n v="3"/>
    <n v="47.1"/>
    <x v="1"/>
    <x v="3"/>
  </r>
  <r>
    <n v="45340"/>
    <x v="755"/>
    <x v="3"/>
    <x v="0"/>
    <x v="1"/>
    <s v="Avery 493"/>
    <x v="1445"/>
    <n v="2"/>
    <n v="4.8099999999999996"/>
    <x v="1"/>
    <x v="3"/>
  </r>
  <r>
    <n v="45341"/>
    <x v="62"/>
    <x v="4"/>
    <x v="0"/>
    <x v="12"/>
    <s v="Kensington 7 Outlet MasterPiece Power Center"/>
    <x v="4294"/>
    <n v="7"/>
    <n v="361.3"/>
    <x v="1"/>
    <x v="3"/>
  </r>
  <r>
    <n v="45341"/>
    <x v="297"/>
    <x v="22"/>
    <x v="0"/>
    <x v="7"/>
    <s v="Rubber Band Ball"/>
    <x v="4295"/>
    <n v="3"/>
    <n v="0.22"/>
    <x v="1"/>
    <x v="3"/>
  </r>
  <r>
    <n v="45341"/>
    <x v="341"/>
    <x v="3"/>
    <x v="0"/>
    <x v="4"/>
    <s v="Newell 320"/>
    <x v="1282"/>
    <n v="3"/>
    <n v="3.47"/>
    <x v="1"/>
    <x v="3"/>
  </r>
  <r>
    <n v="45341"/>
    <x v="341"/>
    <x v="3"/>
    <x v="1"/>
    <x v="8"/>
    <s v="Tensor Computer Mounted Lamp"/>
    <x v="139"/>
    <n v="3"/>
    <n v="12.06"/>
    <x v="1"/>
    <x v="3"/>
  </r>
  <r>
    <n v="45342"/>
    <x v="698"/>
    <x v="3"/>
    <x v="1"/>
    <x v="8"/>
    <s v="Executive Impressions 14&quot; Contract Wall Clock"/>
    <x v="4296"/>
    <n v="1"/>
    <n v="7.34"/>
    <x v="1"/>
    <x v="3"/>
  </r>
  <r>
    <n v="45342"/>
    <x v="698"/>
    <x v="3"/>
    <x v="2"/>
    <x v="6"/>
    <s v="Logitech Mobile Speakerphone P710e -Â speaker phone"/>
    <x v="4297"/>
    <n v="2"/>
    <n v="18.899999999999999"/>
    <x v="1"/>
    <x v="3"/>
  </r>
  <r>
    <n v="45342"/>
    <x v="425"/>
    <x v="39"/>
    <x v="0"/>
    <x v="4"/>
    <s v="Newell 351"/>
    <x v="239"/>
    <n v="2"/>
    <n v="1.9"/>
    <x v="1"/>
    <x v="3"/>
  </r>
  <r>
    <n v="45342"/>
    <x v="425"/>
    <x v="39"/>
    <x v="0"/>
    <x v="12"/>
    <s v="Disposable Triple-Filter Dust Bags"/>
    <x v="1800"/>
    <n v="3"/>
    <n v="3.41"/>
    <x v="1"/>
    <x v="3"/>
  </r>
  <r>
    <n v="45342"/>
    <x v="244"/>
    <x v="26"/>
    <x v="0"/>
    <x v="7"/>
    <s v="Staples"/>
    <x v="4298"/>
    <n v="3"/>
    <n v="3.07"/>
    <x v="1"/>
    <x v="3"/>
  </r>
  <r>
    <n v="45342"/>
    <x v="307"/>
    <x v="12"/>
    <x v="2"/>
    <x v="6"/>
    <s v="Toshiba IPT2010-SD IPÂ Telephone"/>
    <x v="1268"/>
    <n v="3"/>
    <n v="25.02"/>
    <x v="1"/>
    <x v="3"/>
  </r>
  <r>
    <n v="45342"/>
    <x v="307"/>
    <x v="12"/>
    <x v="2"/>
    <x v="9"/>
    <s v="Microsoft Wireless Mobile Mouse 4000"/>
    <x v="4299"/>
    <n v="1"/>
    <n v="4.8"/>
    <x v="1"/>
    <x v="3"/>
  </r>
  <r>
    <n v="45342"/>
    <x v="307"/>
    <x v="12"/>
    <x v="0"/>
    <x v="2"/>
    <s v="Fellowes Bankers Box Stor/Drawer Steel Plus"/>
    <x v="4300"/>
    <n v="2"/>
    <n v="-6.4"/>
    <x v="1"/>
    <x v="3"/>
  </r>
  <r>
    <n v="45342"/>
    <x v="307"/>
    <x v="12"/>
    <x v="0"/>
    <x v="10"/>
    <s v="Letter or Legal Size Expandable Poly String Tie Envelopes"/>
    <x v="4301"/>
    <n v="5"/>
    <n v="3.86"/>
    <x v="1"/>
    <x v="3"/>
  </r>
  <r>
    <n v="45342"/>
    <x v="307"/>
    <x v="12"/>
    <x v="1"/>
    <x v="8"/>
    <s v="Howard Miller 13&quot; Diameter Pewter Finish Round Wall Clock"/>
    <x v="1215"/>
    <n v="2"/>
    <n v="16.32"/>
    <x v="1"/>
    <x v="3"/>
  </r>
  <r>
    <n v="45342"/>
    <x v="307"/>
    <x v="12"/>
    <x v="1"/>
    <x v="13"/>
    <s v="KI Adjustable-Height Table"/>
    <x v="4302"/>
    <n v="9"/>
    <n v="-185.72"/>
    <x v="1"/>
    <x v="3"/>
  </r>
  <r>
    <n v="45343"/>
    <x v="610"/>
    <x v="0"/>
    <x v="2"/>
    <x v="9"/>
    <s v="Microsoft Natural Keyboard Elite"/>
    <x v="4052"/>
    <n v="1"/>
    <n v="-2.99"/>
    <x v="1"/>
    <x v="3"/>
  </r>
  <r>
    <n v="45345"/>
    <x v="584"/>
    <x v="3"/>
    <x v="0"/>
    <x v="0"/>
    <s v="Ampad Phone Message Book, Recycled, 400 Message Capacity, 5 Â¾Â” x 11Â”"/>
    <x v="3899"/>
    <n v="6"/>
    <n v="16.850000000000001"/>
    <x v="1"/>
    <x v="3"/>
  </r>
  <r>
    <n v="45345"/>
    <x v="689"/>
    <x v="22"/>
    <x v="0"/>
    <x v="7"/>
    <s v="Alliance Rubber Bands"/>
    <x v="2214"/>
    <n v="5"/>
    <n v="0.34"/>
    <x v="1"/>
    <x v="3"/>
  </r>
  <r>
    <n v="45345"/>
    <x v="689"/>
    <x v="22"/>
    <x v="2"/>
    <x v="6"/>
    <s v="invisibleSHIELD by ZAGG Smudge-Free Screen Protector"/>
    <x v="3196"/>
    <n v="5"/>
    <n v="25.19"/>
    <x v="1"/>
    <x v="3"/>
  </r>
  <r>
    <n v="45346"/>
    <x v="710"/>
    <x v="2"/>
    <x v="0"/>
    <x v="3"/>
    <s v="ACCOHIDE 3-Ring Binder, Blue, 1&quot;"/>
    <x v="2095"/>
    <n v="4"/>
    <n v="-3.8"/>
    <x v="1"/>
    <x v="3"/>
  </r>
  <r>
    <n v="45346"/>
    <x v="442"/>
    <x v="2"/>
    <x v="0"/>
    <x v="0"/>
    <s v="Xerox 1988"/>
    <x v="1099"/>
    <n v="5"/>
    <n v="38.729999999999997"/>
    <x v="1"/>
    <x v="3"/>
  </r>
  <r>
    <n v="45346"/>
    <x v="442"/>
    <x v="2"/>
    <x v="2"/>
    <x v="9"/>
    <s v="Plantronics CS510 - Over-the-Head monaural Wireless Headset System"/>
    <x v="4303"/>
    <n v="5"/>
    <n v="214.47"/>
    <x v="1"/>
    <x v="3"/>
  </r>
  <r>
    <n v="45347"/>
    <x v="289"/>
    <x v="1"/>
    <x v="0"/>
    <x v="3"/>
    <s v="Avery Hidden Tab Dividers for Binding Systems"/>
    <x v="1087"/>
    <n v="3"/>
    <n v="-3.04"/>
    <x v="1"/>
    <x v="3"/>
  </r>
  <r>
    <n v="45347"/>
    <x v="308"/>
    <x v="25"/>
    <x v="1"/>
    <x v="5"/>
    <s v="Global High-Back Leather Tilter, Burgundy"/>
    <x v="884"/>
    <n v="2"/>
    <n v="-22.14"/>
    <x v="1"/>
    <x v="3"/>
  </r>
  <r>
    <n v="45347"/>
    <x v="308"/>
    <x v="25"/>
    <x v="1"/>
    <x v="11"/>
    <s v="Bush Westfield Collection Bookcases, Medium Cherry Finish"/>
    <x v="2175"/>
    <n v="5"/>
    <n v="5.8"/>
    <x v="1"/>
    <x v="3"/>
  </r>
  <r>
    <n v="45348"/>
    <x v="214"/>
    <x v="3"/>
    <x v="0"/>
    <x v="12"/>
    <s v="Kensington 6 Outlet Guardian Standard Surge Protector"/>
    <x v="929"/>
    <n v="4"/>
    <n v="22.12"/>
    <x v="1"/>
    <x v="3"/>
  </r>
  <r>
    <n v="45348"/>
    <x v="214"/>
    <x v="3"/>
    <x v="2"/>
    <x v="6"/>
    <s v="Toshiba IPT2010-SD IPÂ Telephone"/>
    <x v="4304"/>
    <n v="8"/>
    <n v="66.72"/>
    <x v="1"/>
    <x v="3"/>
  </r>
  <r>
    <n v="45348"/>
    <x v="214"/>
    <x v="3"/>
    <x v="1"/>
    <x v="5"/>
    <s v="GuestStacker Chair with Chrome Finish Legs"/>
    <x v="1833"/>
    <n v="3"/>
    <n v="89.22"/>
    <x v="1"/>
    <x v="3"/>
  </r>
  <r>
    <n v="45348"/>
    <x v="214"/>
    <x v="3"/>
    <x v="0"/>
    <x v="0"/>
    <s v="Xerox 1908"/>
    <x v="1302"/>
    <n v="4"/>
    <n v="109.72"/>
    <x v="1"/>
    <x v="3"/>
  </r>
  <r>
    <n v="45348"/>
    <x v="214"/>
    <x v="3"/>
    <x v="0"/>
    <x v="0"/>
    <s v="Xerox 1924"/>
    <x v="3361"/>
    <n v="4"/>
    <n v="11.33"/>
    <x v="1"/>
    <x v="3"/>
  </r>
  <r>
    <n v="45348"/>
    <x v="383"/>
    <x v="3"/>
    <x v="0"/>
    <x v="12"/>
    <s v="Tripp Lite TLP810NET Broadband Surge for Modem/Fax"/>
    <x v="4305"/>
    <n v="7"/>
    <n v="99.9"/>
    <x v="1"/>
    <x v="3"/>
  </r>
  <r>
    <n v="45348"/>
    <x v="56"/>
    <x v="3"/>
    <x v="1"/>
    <x v="8"/>
    <s v="Tenex B1-RE Series Chair Mats for Low Pile Carpets"/>
    <x v="302"/>
    <n v="2"/>
    <n v="15.63"/>
    <x v="1"/>
    <x v="3"/>
  </r>
  <r>
    <n v="45348"/>
    <x v="56"/>
    <x v="3"/>
    <x v="2"/>
    <x v="6"/>
    <s v="Aastra 57i VoIP phone"/>
    <x v="1860"/>
    <n v="2"/>
    <n v="19.39"/>
    <x v="1"/>
    <x v="3"/>
  </r>
  <r>
    <n v="45348"/>
    <x v="56"/>
    <x v="3"/>
    <x v="0"/>
    <x v="0"/>
    <s v="It's Hot Message Books with Stickers, 2 3/4&quot; x 5&quot;"/>
    <x v="271"/>
    <n v="4"/>
    <n v="13.32"/>
    <x v="1"/>
    <x v="3"/>
  </r>
  <r>
    <n v="45350"/>
    <x v="257"/>
    <x v="37"/>
    <x v="0"/>
    <x v="3"/>
    <s v="Pressboard Hanging Data Binders for Unburst Sheets"/>
    <x v="1026"/>
    <n v="2"/>
    <n v="4.72"/>
    <x v="1"/>
    <x v="3"/>
  </r>
  <r>
    <n v="45350"/>
    <x v="257"/>
    <x v="37"/>
    <x v="0"/>
    <x v="0"/>
    <s v="Southworth 100% RÃ©sumÃ© Paper, 24lb."/>
    <x v="1296"/>
    <n v="1"/>
    <n v="3.5"/>
    <x v="1"/>
    <x v="3"/>
  </r>
  <r>
    <n v="45353"/>
    <x v="660"/>
    <x v="0"/>
    <x v="0"/>
    <x v="14"/>
    <s v="Staple remover"/>
    <x v="3029"/>
    <n v="4"/>
    <n v="-1.4"/>
    <x v="2"/>
    <x v="3"/>
  </r>
  <r>
    <n v="45353"/>
    <x v="660"/>
    <x v="0"/>
    <x v="0"/>
    <x v="3"/>
    <s v="Wilson Jones Leather-Like Binders with DublLock Round Rings"/>
    <x v="2003"/>
    <n v="7"/>
    <n v="-20.170000000000002"/>
    <x v="2"/>
    <x v="3"/>
  </r>
  <r>
    <n v="45353"/>
    <x v="706"/>
    <x v="3"/>
    <x v="2"/>
    <x v="6"/>
    <s v="Panasonic KX TS3282B Corded phone"/>
    <x v="884"/>
    <n v="3"/>
    <n v="14.76"/>
    <x v="2"/>
    <x v="3"/>
  </r>
  <r>
    <n v="45353"/>
    <x v="706"/>
    <x v="3"/>
    <x v="2"/>
    <x v="9"/>
    <s v="Logitech G13 Programmable Gameboard with LCD Display"/>
    <x v="4306"/>
    <n v="6"/>
    <n v="52.79"/>
    <x v="2"/>
    <x v="3"/>
  </r>
  <r>
    <n v="45353"/>
    <x v="159"/>
    <x v="7"/>
    <x v="0"/>
    <x v="4"/>
    <s v="Newell 34"/>
    <x v="144"/>
    <n v="3"/>
    <n v="15.48"/>
    <x v="2"/>
    <x v="3"/>
  </r>
  <r>
    <n v="45353"/>
    <x v="159"/>
    <x v="7"/>
    <x v="0"/>
    <x v="10"/>
    <s v="Staple envelope"/>
    <x v="2513"/>
    <n v="7"/>
    <n v="27.24"/>
    <x v="2"/>
    <x v="3"/>
  </r>
  <r>
    <n v="45353"/>
    <x v="159"/>
    <x v="7"/>
    <x v="1"/>
    <x v="11"/>
    <s v="Bush Cubix Collection Bookcases, Fully Assembled"/>
    <x v="4307"/>
    <n v="2"/>
    <n v="101.65"/>
    <x v="2"/>
    <x v="3"/>
  </r>
  <r>
    <n v="45353"/>
    <x v="159"/>
    <x v="7"/>
    <x v="0"/>
    <x v="0"/>
    <s v="Easy-staple paper"/>
    <x v="3358"/>
    <n v="6"/>
    <n v="33.340000000000003"/>
    <x v="2"/>
    <x v="3"/>
  </r>
  <r>
    <n v="45353"/>
    <x v="409"/>
    <x v="10"/>
    <x v="0"/>
    <x v="3"/>
    <s v="GBC VeloBind Cover Sets"/>
    <x v="1689"/>
    <n v="4"/>
    <n v="-12.35"/>
    <x v="2"/>
    <x v="3"/>
  </r>
  <r>
    <n v="45353"/>
    <x v="687"/>
    <x v="3"/>
    <x v="0"/>
    <x v="3"/>
    <s v="Catalog Binders with Expanding Posts"/>
    <x v="152"/>
    <n v="2"/>
    <n v="33.64"/>
    <x v="2"/>
    <x v="3"/>
  </r>
  <r>
    <n v="45353"/>
    <x v="138"/>
    <x v="0"/>
    <x v="0"/>
    <x v="3"/>
    <s v="Acco Suede Grain Vinyl Round Ring Binder"/>
    <x v="4308"/>
    <n v="1"/>
    <n v="-0.95"/>
    <x v="2"/>
    <x v="3"/>
  </r>
  <r>
    <n v="45354"/>
    <x v="760"/>
    <x v="5"/>
    <x v="0"/>
    <x v="12"/>
    <s v="Acco 6 Outlet Guardian Premium Surge Suppressor"/>
    <x v="4309"/>
    <n v="5"/>
    <n v="19.66"/>
    <x v="2"/>
    <x v="3"/>
  </r>
  <r>
    <n v="45354"/>
    <x v="238"/>
    <x v="0"/>
    <x v="0"/>
    <x v="0"/>
    <s v="Important Message Pads, 50 4-1/4 x 5-1/2 Forms per Pad"/>
    <x v="1713"/>
    <n v="8"/>
    <n v="9.74"/>
    <x v="2"/>
    <x v="3"/>
  </r>
  <r>
    <n v="45354"/>
    <x v="287"/>
    <x v="14"/>
    <x v="1"/>
    <x v="5"/>
    <s v="Global Ergonomic Managers Chair"/>
    <x v="1738"/>
    <n v="1"/>
    <n v="47.05"/>
    <x v="2"/>
    <x v="3"/>
  </r>
  <r>
    <n v="45354"/>
    <x v="287"/>
    <x v="14"/>
    <x v="2"/>
    <x v="9"/>
    <s v="Logitech Wireless Marathon Mouse M705"/>
    <x v="287"/>
    <n v="2"/>
    <n v="42.99"/>
    <x v="2"/>
    <x v="3"/>
  </r>
  <r>
    <n v="45354"/>
    <x v="28"/>
    <x v="3"/>
    <x v="2"/>
    <x v="9"/>
    <s v="Imation Bio 2GB USBÂ Flash Drive ImationÂ Corp"/>
    <x v="4310"/>
    <n v="8"/>
    <n v="440.76"/>
    <x v="2"/>
    <x v="3"/>
  </r>
  <r>
    <n v="45354"/>
    <x v="28"/>
    <x v="3"/>
    <x v="1"/>
    <x v="5"/>
    <s v="Novimex Turbo Task Chair"/>
    <x v="529"/>
    <n v="3"/>
    <n v="-17.04"/>
    <x v="2"/>
    <x v="3"/>
  </r>
  <r>
    <n v="45354"/>
    <x v="478"/>
    <x v="3"/>
    <x v="1"/>
    <x v="13"/>
    <s v="Lesro Sheffield Collection Coffee Table, End Table, Center Table, Corner Table"/>
    <x v="4232"/>
    <n v="7"/>
    <n v="-14.99"/>
    <x v="2"/>
    <x v="3"/>
  </r>
  <r>
    <n v="45355"/>
    <x v="569"/>
    <x v="3"/>
    <x v="0"/>
    <x v="4"/>
    <s v="American Pencil"/>
    <x v="223"/>
    <n v="4"/>
    <n v="2.7"/>
    <x v="2"/>
    <x v="3"/>
  </r>
  <r>
    <n v="45355"/>
    <x v="569"/>
    <x v="3"/>
    <x v="0"/>
    <x v="10"/>
    <s v="White Envelopes, White Envelopes with Clear Poly Window"/>
    <x v="4311"/>
    <n v="1"/>
    <n v="7.02"/>
    <x v="2"/>
    <x v="3"/>
  </r>
  <r>
    <n v="45355"/>
    <x v="0"/>
    <x v="0"/>
    <x v="0"/>
    <x v="0"/>
    <s v="Xerox 1934"/>
    <x v="2969"/>
    <n v="2"/>
    <n v="32.47"/>
    <x v="2"/>
    <x v="3"/>
  </r>
  <r>
    <n v="45355"/>
    <x v="722"/>
    <x v="0"/>
    <x v="1"/>
    <x v="8"/>
    <s v="Howard Miller 13-3/4&quot; Diameter Brushed Chrome Round Wall Clock"/>
    <x v="4312"/>
    <n v="5"/>
    <n v="-77.63"/>
    <x v="2"/>
    <x v="3"/>
  </r>
  <r>
    <n v="45355"/>
    <x v="722"/>
    <x v="0"/>
    <x v="0"/>
    <x v="1"/>
    <s v="Avery 497"/>
    <x v="4313"/>
    <n v="1"/>
    <n v="0.86"/>
    <x v="2"/>
    <x v="3"/>
  </r>
  <r>
    <n v="45355"/>
    <x v="722"/>
    <x v="0"/>
    <x v="0"/>
    <x v="2"/>
    <s v="Crate-A-Files"/>
    <x v="1051"/>
    <n v="1"/>
    <n v="0.65"/>
    <x v="2"/>
    <x v="3"/>
  </r>
  <r>
    <n v="45356"/>
    <x v="500"/>
    <x v="21"/>
    <x v="0"/>
    <x v="1"/>
    <s v="Avery 515"/>
    <x v="1432"/>
    <n v="2"/>
    <n v="11.78"/>
    <x v="2"/>
    <x v="3"/>
  </r>
  <r>
    <n v="45356"/>
    <x v="427"/>
    <x v="28"/>
    <x v="0"/>
    <x v="7"/>
    <s v="Advantus Map Pennant Flags and Round Head Tacks"/>
    <x v="2423"/>
    <n v="2"/>
    <n v="2.5299999999999998"/>
    <x v="2"/>
    <x v="3"/>
  </r>
  <r>
    <n v="45356"/>
    <x v="427"/>
    <x v="28"/>
    <x v="0"/>
    <x v="2"/>
    <s v="Recycled Steel Personal File for Standard File Folders"/>
    <x v="1360"/>
    <n v="4"/>
    <n v="57.5"/>
    <x v="2"/>
    <x v="3"/>
  </r>
  <r>
    <n v="45356"/>
    <x v="427"/>
    <x v="28"/>
    <x v="0"/>
    <x v="3"/>
    <s v="GBC ProClick Punch Binding System"/>
    <x v="1996"/>
    <n v="2"/>
    <n v="62.7"/>
    <x v="2"/>
    <x v="3"/>
  </r>
  <r>
    <n v="45356"/>
    <x v="427"/>
    <x v="28"/>
    <x v="0"/>
    <x v="3"/>
    <s v="Avery Hole Reinforcements"/>
    <x v="3007"/>
    <n v="3"/>
    <n v="9.16"/>
    <x v="2"/>
    <x v="3"/>
  </r>
  <r>
    <n v="45356"/>
    <x v="595"/>
    <x v="29"/>
    <x v="0"/>
    <x v="10"/>
    <s v="Laser &amp; Ink Jet Business Envelopes"/>
    <x v="4314"/>
    <n v="4"/>
    <n v="19.63"/>
    <x v="2"/>
    <x v="3"/>
  </r>
  <r>
    <n v="45356"/>
    <x v="595"/>
    <x v="29"/>
    <x v="2"/>
    <x v="9"/>
    <s v="Logitech G700s Rechargeable Gaming Mouse"/>
    <x v="306"/>
    <n v="3"/>
    <n v="125.99"/>
    <x v="2"/>
    <x v="3"/>
  </r>
  <r>
    <n v="45356"/>
    <x v="595"/>
    <x v="29"/>
    <x v="0"/>
    <x v="12"/>
    <s v="Kensington 7 Outlet MasterPiece HOMEOFFICE Power Control Center"/>
    <x v="3311"/>
    <n v="2"/>
    <n v="78.67"/>
    <x v="2"/>
    <x v="3"/>
  </r>
  <r>
    <n v="45356"/>
    <x v="595"/>
    <x v="29"/>
    <x v="0"/>
    <x v="3"/>
    <s v="Ibico Recycled Linen-Style Covers"/>
    <x v="4315"/>
    <n v="6"/>
    <n v="112.49"/>
    <x v="2"/>
    <x v="3"/>
  </r>
  <r>
    <n v="45357"/>
    <x v="782"/>
    <x v="20"/>
    <x v="0"/>
    <x v="0"/>
    <s v="Xerox 1883"/>
    <x v="1660"/>
    <n v="1"/>
    <n v="12.13"/>
    <x v="2"/>
    <x v="3"/>
  </r>
  <r>
    <n v="45357"/>
    <x v="782"/>
    <x v="20"/>
    <x v="1"/>
    <x v="8"/>
    <s v="Westinghouse Floor Lamp with Metal Mesh Shade, Black"/>
    <x v="3212"/>
    <n v="3"/>
    <n v="16.55"/>
    <x v="2"/>
    <x v="3"/>
  </r>
  <r>
    <n v="45357"/>
    <x v="151"/>
    <x v="3"/>
    <x v="0"/>
    <x v="3"/>
    <s v="Economy Binders"/>
    <x v="1746"/>
    <n v="9"/>
    <n v="5.43"/>
    <x v="2"/>
    <x v="3"/>
  </r>
  <r>
    <n v="45357"/>
    <x v="562"/>
    <x v="3"/>
    <x v="0"/>
    <x v="2"/>
    <s v="File Shuttle II and Handi-File, Black"/>
    <x v="4316"/>
    <n v="2"/>
    <n v="16.95"/>
    <x v="2"/>
    <x v="3"/>
  </r>
  <r>
    <n v="45357"/>
    <x v="658"/>
    <x v="3"/>
    <x v="0"/>
    <x v="4"/>
    <s v="Fluorescent Highlighters by Dixon"/>
    <x v="1403"/>
    <n v="6"/>
    <n v="8.1199999999999992"/>
    <x v="2"/>
    <x v="3"/>
  </r>
  <r>
    <n v="45357"/>
    <x v="658"/>
    <x v="3"/>
    <x v="0"/>
    <x v="1"/>
    <s v="Avery 49"/>
    <x v="697"/>
    <n v="4"/>
    <n v="5.64"/>
    <x v="2"/>
    <x v="3"/>
  </r>
  <r>
    <n v="45357"/>
    <x v="658"/>
    <x v="3"/>
    <x v="0"/>
    <x v="0"/>
    <s v="Xerox 1893"/>
    <x v="4317"/>
    <n v="7"/>
    <n v="140.6"/>
    <x v="2"/>
    <x v="3"/>
  </r>
  <r>
    <n v="45357"/>
    <x v="658"/>
    <x v="3"/>
    <x v="2"/>
    <x v="6"/>
    <s v="Digium D40 VoIP phone"/>
    <x v="4318"/>
    <n v="2"/>
    <n v="23.22"/>
    <x v="2"/>
    <x v="3"/>
  </r>
  <r>
    <n v="45357"/>
    <x v="738"/>
    <x v="0"/>
    <x v="0"/>
    <x v="1"/>
    <s v="Avery 511"/>
    <x v="1086"/>
    <n v="2"/>
    <n v="1.72"/>
    <x v="2"/>
    <x v="3"/>
  </r>
  <r>
    <n v="45357"/>
    <x v="738"/>
    <x v="0"/>
    <x v="0"/>
    <x v="4"/>
    <s v="Newell 345"/>
    <x v="4319"/>
    <n v="4"/>
    <n v="4.76"/>
    <x v="2"/>
    <x v="3"/>
  </r>
  <r>
    <n v="45358"/>
    <x v="588"/>
    <x v="36"/>
    <x v="2"/>
    <x v="9"/>
    <s v="Logitech Desktop MK120 Mouse and keyboard Combo"/>
    <x v="4320"/>
    <n v="3"/>
    <n v="4.91"/>
    <x v="2"/>
    <x v="3"/>
  </r>
  <r>
    <n v="45358"/>
    <x v="489"/>
    <x v="20"/>
    <x v="0"/>
    <x v="3"/>
    <s v="3M Organizer Strips"/>
    <x v="499"/>
    <n v="6"/>
    <n v="9.07"/>
    <x v="2"/>
    <x v="3"/>
  </r>
  <r>
    <n v="45358"/>
    <x v="489"/>
    <x v="20"/>
    <x v="0"/>
    <x v="1"/>
    <s v="Avery 4027 File Folder Labels for Dot Matrix Printers, 5000 Labels per Box, White"/>
    <x v="4321"/>
    <n v="3"/>
    <n v="42.13"/>
    <x v="2"/>
    <x v="3"/>
  </r>
  <r>
    <n v="45359"/>
    <x v="668"/>
    <x v="4"/>
    <x v="0"/>
    <x v="12"/>
    <s v="Belkin 8 Outlet SurgeMaster II Gold Surge Protector with Phone Protection"/>
    <x v="553"/>
    <n v="8"/>
    <n v="168.44"/>
    <x v="2"/>
    <x v="3"/>
  </r>
  <r>
    <n v="45359"/>
    <x v="668"/>
    <x v="4"/>
    <x v="0"/>
    <x v="1"/>
    <s v="Avery Address/Shipping Labels for Typewriters, 4&quot; x 2&quot;"/>
    <x v="2363"/>
    <n v="2"/>
    <n v="9.94"/>
    <x v="2"/>
    <x v="3"/>
  </r>
  <r>
    <n v="45359"/>
    <x v="545"/>
    <x v="3"/>
    <x v="0"/>
    <x v="3"/>
    <s v="Green Canvas Binder for 8-1/2&quot; x 14&quot; Sheets"/>
    <x v="4322"/>
    <n v="5"/>
    <n v="64.2"/>
    <x v="2"/>
    <x v="3"/>
  </r>
  <r>
    <n v="45359"/>
    <x v="545"/>
    <x v="3"/>
    <x v="0"/>
    <x v="4"/>
    <s v="Newell 323"/>
    <x v="244"/>
    <n v="2"/>
    <n v="0.87"/>
    <x v="2"/>
    <x v="3"/>
  </r>
  <r>
    <n v="45360"/>
    <x v="754"/>
    <x v="3"/>
    <x v="2"/>
    <x v="9"/>
    <s v="Logitech Wireless Headset h800"/>
    <x v="766"/>
    <n v="2"/>
    <n v="69.989999999999995"/>
    <x v="2"/>
    <x v="3"/>
  </r>
  <r>
    <n v="45360"/>
    <x v="366"/>
    <x v="3"/>
    <x v="2"/>
    <x v="16"/>
    <s v="Hewlett Packard 310 Color Digital Copier"/>
    <x v="386"/>
    <n v="2"/>
    <n v="60"/>
    <x v="2"/>
    <x v="3"/>
  </r>
  <r>
    <n v="45360"/>
    <x v="366"/>
    <x v="3"/>
    <x v="0"/>
    <x v="3"/>
    <s v="DXL Angle-View Binders with Locking Rings by Samsill"/>
    <x v="2511"/>
    <n v="5"/>
    <n v="9.64"/>
    <x v="2"/>
    <x v="3"/>
  </r>
  <r>
    <n v="45361"/>
    <x v="772"/>
    <x v="2"/>
    <x v="0"/>
    <x v="4"/>
    <s v="Newell 337"/>
    <x v="607"/>
    <n v="2"/>
    <n v="0.59"/>
    <x v="2"/>
    <x v="3"/>
  </r>
  <r>
    <n v="45361"/>
    <x v="772"/>
    <x v="2"/>
    <x v="2"/>
    <x v="6"/>
    <s v="Cisco SPA525G2 IP Phone - Wireless"/>
    <x v="426"/>
    <n v="3"/>
    <n v="-8.3800000000000008"/>
    <x v="2"/>
    <x v="3"/>
  </r>
  <r>
    <n v="45361"/>
    <x v="772"/>
    <x v="2"/>
    <x v="1"/>
    <x v="8"/>
    <s v="Westinghouse Clip-On Gooseneck Lamps"/>
    <x v="2454"/>
    <n v="1"/>
    <n v="0.5"/>
    <x v="2"/>
    <x v="3"/>
  </r>
  <r>
    <n v="45361"/>
    <x v="772"/>
    <x v="2"/>
    <x v="1"/>
    <x v="8"/>
    <s v="Howard Miller Distant Time Traveler Alarm Clock"/>
    <x v="4323"/>
    <n v="2"/>
    <n v="11.52"/>
    <x v="2"/>
    <x v="3"/>
  </r>
  <r>
    <n v="45361"/>
    <x v="185"/>
    <x v="2"/>
    <x v="2"/>
    <x v="6"/>
    <s v="Nokia Lumia 521 (T-Mobile)"/>
    <x v="3354"/>
    <n v="3"/>
    <n v="-10.8"/>
    <x v="2"/>
    <x v="3"/>
  </r>
  <r>
    <n v="45361"/>
    <x v="600"/>
    <x v="25"/>
    <x v="0"/>
    <x v="12"/>
    <s v="Euro Pro Shark Stick Mini Vacuum"/>
    <x v="3252"/>
    <n v="1"/>
    <n v="3.66"/>
    <x v="2"/>
    <x v="3"/>
  </r>
  <r>
    <n v="45361"/>
    <x v="600"/>
    <x v="25"/>
    <x v="0"/>
    <x v="3"/>
    <s v="Heavy-Duty E-Z-D Binders"/>
    <x v="2372"/>
    <n v="4"/>
    <n v="-10.039999999999999"/>
    <x v="2"/>
    <x v="3"/>
  </r>
  <r>
    <n v="45361"/>
    <x v="507"/>
    <x v="3"/>
    <x v="2"/>
    <x v="9"/>
    <s v="MaxellÂ LTO Ultrium - 800 GB"/>
    <x v="2663"/>
    <n v="4"/>
    <n v="21.27"/>
    <x v="2"/>
    <x v="3"/>
  </r>
  <r>
    <n v="45361"/>
    <x v="496"/>
    <x v="0"/>
    <x v="1"/>
    <x v="13"/>
    <s v="Bevis Traditional Conference Table Top, Plinth Base"/>
    <x v="4324"/>
    <n v="4"/>
    <n v="-173.35"/>
    <x v="2"/>
    <x v="3"/>
  </r>
  <r>
    <n v="45362"/>
    <x v="655"/>
    <x v="14"/>
    <x v="0"/>
    <x v="3"/>
    <s v="GBC DocuBind TL200 Manual Binding Machine"/>
    <x v="4325"/>
    <n v="4"/>
    <n v="421.08"/>
    <x v="2"/>
    <x v="3"/>
  </r>
  <r>
    <n v="45362"/>
    <x v="167"/>
    <x v="2"/>
    <x v="2"/>
    <x v="6"/>
    <s v="Nortel Meridian M5316 Digital phone"/>
    <x v="4326"/>
    <n v="5"/>
    <n v="-181.27"/>
    <x v="2"/>
    <x v="3"/>
  </r>
  <r>
    <n v="45362"/>
    <x v="167"/>
    <x v="2"/>
    <x v="0"/>
    <x v="3"/>
    <s v="Avery Trapezoid Ring Binder, 3&quot; Capacity, Black, 1040 sheets"/>
    <x v="4327"/>
    <n v="1"/>
    <n v="-8.61"/>
    <x v="2"/>
    <x v="3"/>
  </r>
  <r>
    <n v="45362"/>
    <x v="167"/>
    <x v="2"/>
    <x v="1"/>
    <x v="13"/>
    <s v="KI Adjustable-Height Table"/>
    <x v="298"/>
    <n v="3"/>
    <n v="-46.43"/>
    <x v="2"/>
    <x v="3"/>
  </r>
  <r>
    <n v="45362"/>
    <x v="167"/>
    <x v="2"/>
    <x v="0"/>
    <x v="2"/>
    <s v="Desktop 3-Pocket Hot File"/>
    <x v="4328"/>
    <n v="1"/>
    <n v="3.25"/>
    <x v="2"/>
    <x v="3"/>
  </r>
  <r>
    <n v="45362"/>
    <x v="298"/>
    <x v="32"/>
    <x v="2"/>
    <x v="9"/>
    <s v="Memorex Mini Travel Drive 16 GB USB 2.0 Flash Drive"/>
    <x v="629"/>
    <n v="4"/>
    <n v="24.91"/>
    <x v="2"/>
    <x v="3"/>
  </r>
  <r>
    <n v="45362"/>
    <x v="298"/>
    <x v="32"/>
    <x v="1"/>
    <x v="8"/>
    <s v="Executive Impressions 16-1/2&quot; Circular Wall Clock"/>
    <x v="277"/>
    <n v="1"/>
    <n v="11.76"/>
    <x v="2"/>
    <x v="3"/>
  </r>
  <r>
    <n v="45363"/>
    <x v="127"/>
    <x v="32"/>
    <x v="2"/>
    <x v="6"/>
    <s v="PowerGen Dual USB Car Charger"/>
    <x v="2369"/>
    <n v="7"/>
    <n v="32.17"/>
    <x v="2"/>
    <x v="3"/>
  </r>
  <r>
    <n v="45363"/>
    <x v="544"/>
    <x v="3"/>
    <x v="0"/>
    <x v="2"/>
    <s v="Carina Double Wide Media Storage Towers in Natural &amp; Black"/>
    <x v="151"/>
    <n v="3"/>
    <n v="9.7200000000000006"/>
    <x v="2"/>
    <x v="3"/>
  </r>
  <r>
    <n v="45363"/>
    <x v="41"/>
    <x v="13"/>
    <x v="0"/>
    <x v="3"/>
    <s v="Avery Non-Stick Binders"/>
    <x v="4329"/>
    <n v="9"/>
    <n v="18.59"/>
    <x v="2"/>
    <x v="3"/>
  </r>
  <r>
    <n v="45364"/>
    <x v="432"/>
    <x v="3"/>
    <x v="0"/>
    <x v="0"/>
    <s v="Multicolor Computer Printout Paper"/>
    <x v="3305"/>
    <n v="3"/>
    <n v="150.97999999999999"/>
    <x v="2"/>
    <x v="3"/>
  </r>
  <r>
    <n v="45364"/>
    <x v="499"/>
    <x v="31"/>
    <x v="0"/>
    <x v="2"/>
    <s v="SimpliFile Personal File, Black Granite, 15w x 6-15/16d x 11-1/4h"/>
    <x v="4330"/>
    <n v="8"/>
    <n v="25.42"/>
    <x v="2"/>
    <x v="3"/>
  </r>
  <r>
    <n v="45364"/>
    <x v="499"/>
    <x v="31"/>
    <x v="2"/>
    <x v="6"/>
    <s v="OtterBox Commuter Series Case - iPhone 5 &amp; 5s"/>
    <x v="401"/>
    <n v="8"/>
    <n v="49.26"/>
    <x v="2"/>
    <x v="3"/>
  </r>
  <r>
    <n v="45364"/>
    <x v="499"/>
    <x v="31"/>
    <x v="2"/>
    <x v="9"/>
    <s v="Logitech Wireless Headset H600 Over-The-Head Design"/>
    <x v="1474"/>
    <n v="5"/>
    <n v="88.13"/>
    <x v="2"/>
    <x v="3"/>
  </r>
  <r>
    <n v="45364"/>
    <x v="499"/>
    <x v="31"/>
    <x v="0"/>
    <x v="0"/>
    <s v="Xerox 230"/>
    <x v="413"/>
    <n v="7"/>
    <n v="21.77"/>
    <x v="2"/>
    <x v="3"/>
  </r>
  <r>
    <n v="45364"/>
    <x v="499"/>
    <x v="31"/>
    <x v="0"/>
    <x v="0"/>
    <s v="Xerox 1885"/>
    <x v="4331"/>
    <n v="6"/>
    <n v="138.36000000000001"/>
    <x v="2"/>
    <x v="3"/>
  </r>
  <r>
    <n v="45364"/>
    <x v="145"/>
    <x v="26"/>
    <x v="0"/>
    <x v="14"/>
    <s v="Martin Yale Chadless Opener Electric Letter Opener"/>
    <x v="4332"/>
    <n v="2"/>
    <n v="-299.81"/>
    <x v="2"/>
    <x v="3"/>
  </r>
  <r>
    <n v="45364"/>
    <x v="720"/>
    <x v="1"/>
    <x v="0"/>
    <x v="4"/>
    <s v="Col-Erase Pencils with Erasers"/>
    <x v="121"/>
    <n v="4"/>
    <n v="2.19"/>
    <x v="2"/>
    <x v="3"/>
  </r>
  <r>
    <n v="45364"/>
    <x v="720"/>
    <x v="1"/>
    <x v="2"/>
    <x v="15"/>
    <s v="HP Officejet Pro 8600 e-All-In-One Printer, Copier, Scanner, Fax"/>
    <x v="4333"/>
    <n v="2"/>
    <n v="9"/>
    <x v="2"/>
    <x v="3"/>
  </r>
  <r>
    <n v="45364"/>
    <x v="720"/>
    <x v="1"/>
    <x v="0"/>
    <x v="4"/>
    <s v="Eberhard Faber 3 1/2&quot; Golf Pencils"/>
    <x v="4334"/>
    <n v="5"/>
    <n v="1.86"/>
    <x v="2"/>
    <x v="3"/>
  </r>
  <r>
    <n v="45364"/>
    <x v="720"/>
    <x v="1"/>
    <x v="1"/>
    <x v="5"/>
    <s v="SAFCO Folding Chair Trolley"/>
    <x v="4335"/>
    <n v="1"/>
    <n v="-2.56"/>
    <x v="2"/>
    <x v="3"/>
  </r>
  <r>
    <n v="45364"/>
    <x v="720"/>
    <x v="1"/>
    <x v="2"/>
    <x v="16"/>
    <s v="Hewlett Packard LaserJet 3310 Copier"/>
    <x v="2308"/>
    <n v="2"/>
    <n v="335.99"/>
    <x v="2"/>
    <x v="3"/>
  </r>
  <r>
    <n v="45364"/>
    <x v="720"/>
    <x v="1"/>
    <x v="0"/>
    <x v="0"/>
    <s v="Xerox 1993"/>
    <x v="143"/>
    <n v="3"/>
    <n v="5.64"/>
    <x v="2"/>
    <x v="3"/>
  </r>
  <r>
    <n v="45364"/>
    <x v="720"/>
    <x v="1"/>
    <x v="2"/>
    <x v="6"/>
    <s v="Plantronics MX500i Earset"/>
    <x v="4336"/>
    <n v="1"/>
    <n v="-7.3"/>
    <x v="2"/>
    <x v="3"/>
  </r>
  <r>
    <n v="45364"/>
    <x v="59"/>
    <x v="37"/>
    <x v="0"/>
    <x v="3"/>
    <s v="GBC VeloBind Cover Sets"/>
    <x v="1753"/>
    <n v="2"/>
    <n v="15.44"/>
    <x v="2"/>
    <x v="3"/>
  </r>
  <r>
    <n v="45364"/>
    <x v="59"/>
    <x v="37"/>
    <x v="0"/>
    <x v="12"/>
    <s v="Hoover Commercial Lightweight Upright Vacuum with E-Z Empty Dirt Cup"/>
    <x v="4337"/>
    <n v="2"/>
    <n v="120.94"/>
    <x v="2"/>
    <x v="3"/>
  </r>
  <r>
    <n v="45364"/>
    <x v="59"/>
    <x v="37"/>
    <x v="0"/>
    <x v="0"/>
    <s v="Strathmore Photo Mount Cards"/>
    <x v="4338"/>
    <n v="4"/>
    <n v="12.48"/>
    <x v="2"/>
    <x v="3"/>
  </r>
  <r>
    <n v="45364"/>
    <x v="733"/>
    <x v="36"/>
    <x v="0"/>
    <x v="3"/>
    <s v="Avery Arch Ring Binders"/>
    <x v="4339"/>
    <n v="3"/>
    <n v="81.92"/>
    <x v="2"/>
    <x v="3"/>
  </r>
  <r>
    <n v="45364"/>
    <x v="711"/>
    <x v="20"/>
    <x v="2"/>
    <x v="6"/>
    <s v="Panasonic KX T7736-B Digital phone"/>
    <x v="2565"/>
    <n v="2"/>
    <n v="74.98"/>
    <x v="2"/>
    <x v="3"/>
  </r>
  <r>
    <n v="45364"/>
    <x v="136"/>
    <x v="1"/>
    <x v="2"/>
    <x v="6"/>
    <s v="PowerGen Dual USB Car Charger"/>
    <x v="539"/>
    <n v="1"/>
    <n v="2.6"/>
    <x v="2"/>
    <x v="3"/>
  </r>
  <r>
    <n v="45365"/>
    <x v="396"/>
    <x v="1"/>
    <x v="2"/>
    <x v="6"/>
    <s v="Seidio BD2-HK3IPH5-BK DILEX Case and Holster Combo for Apple iPhone 5/5s - Black"/>
    <x v="4340"/>
    <n v="2"/>
    <n v="4.96"/>
    <x v="2"/>
    <x v="3"/>
  </r>
  <r>
    <n v="45367"/>
    <x v="139"/>
    <x v="22"/>
    <x v="0"/>
    <x v="0"/>
    <s v="Xerox 214"/>
    <x v="710"/>
    <n v="1"/>
    <n v="3.11"/>
    <x v="2"/>
    <x v="3"/>
  </r>
  <r>
    <n v="45367"/>
    <x v="139"/>
    <x v="22"/>
    <x v="0"/>
    <x v="2"/>
    <s v="Safco Commercial Shelving"/>
    <x v="4341"/>
    <n v="1"/>
    <n v="1.86"/>
    <x v="2"/>
    <x v="3"/>
  </r>
  <r>
    <n v="45367"/>
    <x v="139"/>
    <x v="22"/>
    <x v="2"/>
    <x v="6"/>
    <s v="Mitel MiVoice 5330e IP Phone"/>
    <x v="4342"/>
    <n v="3"/>
    <n v="49.5"/>
    <x v="2"/>
    <x v="3"/>
  </r>
  <r>
    <n v="45367"/>
    <x v="342"/>
    <x v="10"/>
    <x v="2"/>
    <x v="6"/>
    <s v="Geemarc AmpliPOWER60"/>
    <x v="4343"/>
    <n v="8"/>
    <n v="-81.66"/>
    <x v="2"/>
    <x v="3"/>
  </r>
  <r>
    <n v="45367"/>
    <x v="530"/>
    <x v="10"/>
    <x v="2"/>
    <x v="6"/>
    <s v="OtterBox Defender Series Case - iPhone 5c"/>
    <x v="4344"/>
    <n v="2"/>
    <n v="-7.4"/>
    <x v="2"/>
    <x v="3"/>
  </r>
  <r>
    <n v="45367"/>
    <x v="530"/>
    <x v="10"/>
    <x v="1"/>
    <x v="8"/>
    <s v="Nu-Dell Oak Frame"/>
    <x v="4345"/>
    <n v="6"/>
    <n v="7.69"/>
    <x v="2"/>
    <x v="3"/>
  </r>
  <r>
    <n v="45367"/>
    <x v="530"/>
    <x v="10"/>
    <x v="0"/>
    <x v="3"/>
    <s v="Avery Binding System Hidden Tab Executive Style Index Sets"/>
    <x v="4346"/>
    <n v="3"/>
    <n v="-3.46"/>
    <x v="2"/>
    <x v="3"/>
  </r>
  <r>
    <n v="45367"/>
    <x v="530"/>
    <x v="10"/>
    <x v="2"/>
    <x v="9"/>
    <s v="Logitech G700s Rechargeable Gaming Mouse"/>
    <x v="281"/>
    <n v="2"/>
    <n v="44"/>
    <x v="2"/>
    <x v="3"/>
  </r>
  <r>
    <n v="45367"/>
    <x v="530"/>
    <x v="10"/>
    <x v="0"/>
    <x v="2"/>
    <s v="File Shuttle II and Handi-File, Black"/>
    <x v="3599"/>
    <n v="2"/>
    <n v="3.39"/>
    <x v="2"/>
    <x v="3"/>
  </r>
  <r>
    <n v="45367"/>
    <x v="687"/>
    <x v="3"/>
    <x v="0"/>
    <x v="2"/>
    <s v="Dual Level, Single-Width Filing Carts"/>
    <x v="1037"/>
    <n v="2"/>
    <n v="80.63"/>
    <x v="2"/>
    <x v="3"/>
  </r>
  <r>
    <n v="45367"/>
    <x v="687"/>
    <x v="3"/>
    <x v="0"/>
    <x v="3"/>
    <s v="XtraLife ClearVue Slant-D Ring Binder, White, 3&quot;"/>
    <x v="4347"/>
    <n v="6"/>
    <n v="22.9"/>
    <x v="2"/>
    <x v="3"/>
  </r>
  <r>
    <n v="45367"/>
    <x v="687"/>
    <x v="3"/>
    <x v="0"/>
    <x v="3"/>
    <s v="Pressboard Hanging Data Binders for Unburst Sheets"/>
    <x v="184"/>
    <n v="5"/>
    <n v="6.89"/>
    <x v="2"/>
    <x v="3"/>
  </r>
  <r>
    <n v="45367"/>
    <x v="687"/>
    <x v="3"/>
    <x v="0"/>
    <x v="12"/>
    <s v="Bionaire Personal Warm Mist Humidifier/Vaporizer"/>
    <x v="4348"/>
    <n v="3"/>
    <n v="54.86"/>
    <x v="2"/>
    <x v="3"/>
  </r>
  <r>
    <n v="45368"/>
    <x v="68"/>
    <x v="3"/>
    <x v="0"/>
    <x v="3"/>
    <s v="Heavy-Duty E-Z-D Binders"/>
    <x v="96"/>
    <n v="2"/>
    <n v="5.89"/>
    <x v="2"/>
    <x v="3"/>
  </r>
  <r>
    <n v="45368"/>
    <x v="674"/>
    <x v="20"/>
    <x v="0"/>
    <x v="1"/>
    <s v="Avery 496"/>
    <x v="247"/>
    <n v="5"/>
    <n v="9"/>
    <x v="2"/>
    <x v="3"/>
  </r>
  <r>
    <n v="45368"/>
    <x v="674"/>
    <x v="20"/>
    <x v="2"/>
    <x v="6"/>
    <s v="Cisco SPA525G2 IP Phone - Wireless"/>
    <x v="4349"/>
    <n v="6"/>
    <n v="31.12"/>
    <x v="2"/>
    <x v="3"/>
  </r>
  <r>
    <n v="45368"/>
    <x v="674"/>
    <x v="20"/>
    <x v="0"/>
    <x v="3"/>
    <s v="Acco Pressboard Covers with Storage Hooks, 9 1/2&quot; x 11&quot;, Executive Red"/>
    <x v="1876"/>
    <n v="3"/>
    <n v="3.09"/>
    <x v="2"/>
    <x v="3"/>
  </r>
  <r>
    <n v="45368"/>
    <x v="674"/>
    <x v="20"/>
    <x v="2"/>
    <x v="9"/>
    <s v="SanDisk Cruzer 32 GB USB Flash Drive"/>
    <x v="4350"/>
    <n v="3"/>
    <n v="18.260000000000002"/>
    <x v="2"/>
    <x v="3"/>
  </r>
  <r>
    <n v="45368"/>
    <x v="674"/>
    <x v="20"/>
    <x v="2"/>
    <x v="9"/>
    <s v="Kingston Digital DataTraveler 16GB USB 2.0"/>
    <x v="3816"/>
    <n v="8"/>
    <n v="13.6"/>
    <x v="2"/>
    <x v="3"/>
  </r>
  <r>
    <n v="45368"/>
    <x v="674"/>
    <x v="20"/>
    <x v="0"/>
    <x v="2"/>
    <s v="Neat Ideas Personal Hanging Folder Files, Black"/>
    <x v="1097"/>
    <n v="8"/>
    <n v="27.93"/>
    <x v="2"/>
    <x v="3"/>
  </r>
  <r>
    <n v="45368"/>
    <x v="674"/>
    <x v="20"/>
    <x v="0"/>
    <x v="1"/>
    <s v="Avery 486"/>
    <x v="1117"/>
    <n v="1"/>
    <n v="3.44"/>
    <x v="2"/>
    <x v="3"/>
  </r>
  <r>
    <n v="45368"/>
    <x v="674"/>
    <x v="20"/>
    <x v="0"/>
    <x v="4"/>
    <s v="Lumber Crayons"/>
    <x v="4351"/>
    <n v="6"/>
    <n v="22.46"/>
    <x v="2"/>
    <x v="3"/>
  </r>
  <r>
    <n v="45368"/>
    <x v="674"/>
    <x v="20"/>
    <x v="0"/>
    <x v="2"/>
    <s v="Tenex File Box, Personal Filing Tote with Lid, Black"/>
    <x v="3610"/>
    <n v="3"/>
    <n v="12.1"/>
    <x v="2"/>
    <x v="3"/>
  </r>
  <r>
    <n v="45368"/>
    <x v="675"/>
    <x v="0"/>
    <x v="0"/>
    <x v="3"/>
    <s v="GBC Plasticlear Binding Covers"/>
    <x v="3261"/>
    <n v="6"/>
    <n v="-22.04"/>
    <x v="2"/>
    <x v="3"/>
  </r>
  <r>
    <n v="45368"/>
    <x v="675"/>
    <x v="0"/>
    <x v="0"/>
    <x v="0"/>
    <s v="Xerox 1900"/>
    <x v="1207"/>
    <n v="3"/>
    <n v="3.21"/>
    <x v="2"/>
    <x v="3"/>
  </r>
  <r>
    <n v="45368"/>
    <x v="326"/>
    <x v="15"/>
    <x v="0"/>
    <x v="1"/>
    <s v="Avery 474"/>
    <x v="1012"/>
    <n v="2"/>
    <n v="1.67"/>
    <x v="2"/>
    <x v="3"/>
  </r>
  <r>
    <n v="45369"/>
    <x v="778"/>
    <x v="0"/>
    <x v="0"/>
    <x v="12"/>
    <s v="Hoover Portapower Portable Vacuum"/>
    <x v="345"/>
    <n v="3"/>
    <n v="-7.39"/>
    <x v="2"/>
    <x v="3"/>
  </r>
  <r>
    <n v="45369"/>
    <x v="778"/>
    <x v="0"/>
    <x v="2"/>
    <x v="9"/>
    <s v="Verbatim 25 GB 6x Blu-ray Single Layer Recordable Disc, 10/Pack"/>
    <x v="4352"/>
    <n v="3"/>
    <n v="4.5199999999999996"/>
    <x v="2"/>
    <x v="3"/>
  </r>
  <r>
    <n v="45369"/>
    <x v="778"/>
    <x v="0"/>
    <x v="1"/>
    <x v="8"/>
    <s v="Howard Miller 13-1/2&quot; Diameter Rosebrook Wall Clock"/>
    <x v="4353"/>
    <n v="3"/>
    <n v="-41.26"/>
    <x v="2"/>
    <x v="3"/>
  </r>
  <r>
    <n v="45369"/>
    <x v="778"/>
    <x v="0"/>
    <x v="0"/>
    <x v="3"/>
    <s v="Ibico Hi-Tech Manual Binding System"/>
    <x v="4354"/>
    <n v="3"/>
    <n v="-320.24"/>
    <x v="2"/>
    <x v="3"/>
  </r>
  <r>
    <n v="45369"/>
    <x v="647"/>
    <x v="0"/>
    <x v="0"/>
    <x v="4"/>
    <s v="Peel-Off China Markers"/>
    <x v="1924"/>
    <n v="3"/>
    <n v="6.55"/>
    <x v="2"/>
    <x v="3"/>
  </r>
  <r>
    <n v="45369"/>
    <x v="72"/>
    <x v="22"/>
    <x v="0"/>
    <x v="4"/>
    <s v="Deluxe Chalkboard Eraser Cleaner"/>
    <x v="2505"/>
    <n v="4"/>
    <n v="21.25"/>
    <x v="2"/>
    <x v="3"/>
  </r>
  <r>
    <n v="45369"/>
    <x v="426"/>
    <x v="0"/>
    <x v="2"/>
    <x v="6"/>
    <s v="Pyle PMP37LED"/>
    <x v="2161"/>
    <n v="7"/>
    <n v="47.04"/>
    <x v="2"/>
    <x v="3"/>
  </r>
  <r>
    <n v="45369"/>
    <x v="455"/>
    <x v="3"/>
    <x v="0"/>
    <x v="4"/>
    <s v="Prang Drawing Pencil Set"/>
    <x v="670"/>
    <n v="5"/>
    <n v="3.75"/>
    <x v="2"/>
    <x v="3"/>
  </r>
  <r>
    <n v="45369"/>
    <x v="455"/>
    <x v="3"/>
    <x v="0"/>
    <x v="10"/>
    <s v="Peel &amp; Seel Envelopes"/>
    <x v="4355"/>
    <n v="5"/>
    <n v="9.31"/>
    <x v="2"/>
    <x v="3"/>
  </r>
  <r>
    <n v="45369"/>
    <x v="527"/>
    <x v="3"/>
    <x v="0"/>
    <x v="12"/>
    <s v="Fellowes Basic Home/Office Series Surge Protectors"/>
    <x v="4356"/>
    <n v="7"/>
    <n v="26.35"/>
    <x v="2"/>
    <x v="3"/>
  </r>
  <r>
    <n v="45370"/>
    <x v="651"/>
    <x v="20"/>
    <x v="0"/>
    <x v="1"/>
    <s v="Avery 506"/>
    <x v="2034"/>
    <n v="7"/>
    <n v="13.3"/>
    <x v="2"/>
    <x v="3"/>
  </r>
  <r>
    <n v="45370"/>
    <x v="11"/>
    <x v="3"/>
    <x v="0"/>
    <x v="3"/>
    <s v="ACCOHIDE 3-Ring Binder, Blue, 1&quot;"/>
    <x v="2606"/>
    <n v="6"/>
    <n v="6.69"/>
    <x v="2"/>
    <x v="3"/>
  </r>
  <r>
    <n v="45370"/>
    <x v="11"/>
    <x v="3"/>
    <x v="2"/>
    <x v="6"/>
    <s v="Jawbone MINI JAMBOX Wireless Bluetooth Speaker"/>
    <x v="4357"/>
    <n v="6"/>
    <n v="-131.5"/>
    <x v="2"/>
    <x v="3"/>
  </r>
  <r>
    <n v="45370"/>
    <x v="11"/>
    <x v="3"/>
    <x v="2"/>
    <x v="9"/>
    <s v="Logitech K350 2.4Ghz Wireless Keyboard"/>
    <x v="4358"/>
    <n v="2"/>
    <n v="10.95"/>
    <x v="2"/>
    <x v="3"/>
  </r>
  <r>
    <n v="45370"/>
    <x v="11"/>
    <x v="3"/>
    <x v="2"/>
    <x v="9"/>
    <s v="Logitech Wireless Marathon Mouse M705"/>
    <x v="1855"/>
    <n v="4"/>
    <n v="85.98"/>
    <x v="2"/>
    <x v="3"/>
  </r>
  <r>
    <n v="45370"/>
    <x v="52"/>
    <x v="3"/>
    <x v="0"/>
    <x v="3"/>
    <s v="SpineVue Locking Slant-D Ring Binders by Cardinal"/>
    <x v="471"/>
    <n v="2"/>
    <n v="5.12"/>
    <x v="2"/>
    <x v="3"/>
  </r>
  <r>
    <n v="45370"/>
    <x v="52"/>
    <x v="3"/>
    <x v="1"/>
    <x v="13"/>
    <s v="Chromcraft Round Conference Tables"/>
    <x v="3118"/>
    <n v="5"/>
    <n v="8.7100000000000009"/>
    <x v="2"/>
    <x v="3"/>
  </r>
  <r>
    <n v="45370"/>
    <x v="52"/>
    <x v="3"/>
    <x v="1"/>
    <x v="8"/>
    <s v="Advantus Employee of the Month Certificate Frame, 11 x 13-1/2"/>
    <x v="4359"/>
    <n v="1"/>
    <n v="12.68"/>
    <x v="2"/>
    <x v="3"/>
  </r>
  <r>
    <n v="45370"/>
    <x v="52"/>
    <x v="3"/>
    <x v="0"/>
    <x v="3"/>
    <s v="Pressboard Covers with Storage Hooks, 9 1/2&quot; x 11&quot;, Light Blue"/>
    <x v="4360"/>
    <n v="7"/>
    <n v="9.2799999999999994"/>
    <x v="2"/>
    <x v="3"/>
  </r>
  <r>
    <n v="45370"/>
    <x v="434"/>
    <x v="3"/>
    <x v="0"/>
    <x v="12"/>
    <s v="Belkin 5 Outlet SurgeMaster Power Centers"/>
    <x v="4361"/>
    <n v="7"/>
    <n v="106.78"/>
    <x v="2"/>
    <x v="3"/>
  </r>
  <r>
    <n v="45370"/>
    <x v="422"/>
    <x v="23"/>
    <x v="0"/>
    <x v="4"/>
    <s v="Dixon Ticonderoga Pencils"/>
    <x v="1504"/>
    <n v="3"/>
    <n v="2.41"/>
    <x v="2"/>
    <x v="3"/>
  </r>
  <r>
    <n v="45371"/>
    <x v="47"/>
    <x v="18"/>
    <x v="1"/>
    <x v="8"/>
    <s v="GE General Purpose, Extra Long Life, Showcase &amp; Floodlight Incandescent Bulbs"/>
    <x v="3681"/>
    <n v="1"/>
    <n v="1.37"/>
    <x v="2"/>
    <x v="3"/>
  </r>
  <r>
    <n v="45371"/>
    <x v="698"/>
    <x v="22"/>
    <x v="2"/>
    <x v="9"/>
    <s v="ImationÂ SecureÂ DriveÂ + Hardware Encrypted USBÂ flash driveÂ - 16 GB"/>
    <x v="4362"/>
    <n v="7"/>
    <n v="63.82"/>
    <x v="2"/>
    <x v="3"/>
  </r>
  <r>
    <n v="45371"/>
    <x v="310"/>
    <x v="37"/>
    <x v="2"/>
    <x v="9"/>
    <s v="WD My Passport Ultra 2TB Portable External Hard Drive"/>
    <x v="727"/>
    <n v="2"/>
    <n v="38.08"/>
    <x v="2"/>
    <x v="3"/>
  </r>
  <r>
    <n v="45371"/>
    <x v="310"/>
    <x v="37"/>
    <x v="0"/>
    <x v="0"/>
    <s v="Xerox 1988"/>
    <x v="32"/>
    <n v="2"/>
    <n v="27.88"/>
    <x v="2"/>
    <x v="3"/>
  </r>
  <r>
    <n v="45371"/>
    <x v="173"/>
    <x v="0"/>
    <x v="0"/>
    <x v="0"/>
    <s v="Easy-staple paper"/>
    <x v="2221"/>
    <n v="2"/>
    <n v="19.14"/>
    <x v="2"/>
    <x v="3"/>
  </r>
  <r>
    <n v="45371"/>
    <x v="173"/>
    <x v="0"/>
    <x v="0"/>
    <x v="0"/>
    <s v="Xerox 1916"/>
    <x v="4363"/>
    <n v="7"/>
    <n v="102.77"/>
    <x v="2"/>
    <x v="3"/>
  </r>
  <r>
    <n v="45372"/>
    <x v="758"/>
    <x v="18"/>
    <x v="0"/>
    <x v="0"/>
    <s v="Eaton Premium Continuous-Feed Paper, 25% Cotton, Letter Size, White, 1000 Shts/Box"/>
    <x v="4364"/>
    <n v="5"/>
    <n v="133.15"/>
    <x v="2"/>
    <x v="3"/>
  </r>
  <r>
    <n v="45372"/>
    <x v="758"/>
    <x v="18"/>
    <x v="0"/>
    <x v="0"/>
    <s v="Xerox 196"/>
    <x v="402"/>
    <n v="1"/>
    <n v="2.83"/>
    <x v="2"/>
    <x v="3"/>
  </r>
  <r>
    <n v="45372"/>
    <x v="68"/>
    <x v="39"/>
    <x v="1"/>
    <x v="5"/>
    <s v="Global Leather and Oak Executive Chair, Black"/>
    <x v="4365"/>
    <n v="6"/>
    <n v="523.71"/>
    <x v="2"/>
    <x v="3"/>
  </r>
  <r>
    <n v="45372"/>
    <x v="236"/>
    <x v="3"/>
    <x v="0"/>
    <x v="2"/>
    <s v="Adjustable Depth Letter/Legal Cart"/>
    <x v="4366"/>
    <n v="4"/>
    <n v="210.49"/>
    <x v="2"/>
    <x v="3"/>
  </r>
  <r>
    <n v="45372"/>
    <x v="236"/>
    <x v="3"/>
    <x v="0"/>
    <x v="3"/>
    <s v="Avery Durable Plastic 1&quot; Binders"/>
    <x v="389"/>
    <n v="3"/>
    <n v="3.95"/>
    <x v="2"/>
    <x v="3"/>
  </r>
  <r>
    <n v="45372"/>
    <x v="236"/>
    <x v="3"/>
    <x v="0"/>
    <x v="3"/>
    <s v="Pressboard Data Binders by Wilson Jones"/>
    <x v="1009"/>
    <n v="2"/>
    <n v="2.88"/>
    <x v="2"/>
    <x v="3"/>
  </r>
  <r>
    <n v="45372"/>
    <x v="203"/>
    <x v="16"/>
    <x v="0"/>
    <x v="12"/>
    <s v="APC 7 Outlet Network SurgeArrest Surge Protector"/>
    <x v="3363"/>
    <n v="1"/>
    <n v="8.0500000000000007"/>
    <x v="2"/>
    <x v="3"/>
  </r>
  <r>
    <n v="45372"/>
    <x v="764"/>
    <x v="2"/>
    <x v="0"/>
    <x v="10"/>
    <s v="Colored Envelopes"/>
    <x v="1939"/>
    <n v="3"/>
    <n v="2.88"/>
    <x v="2"/>
    <x v="3"/>
  </r>
  <r>
    <n v="45372"/>
    <x v="152"/>
    <x v="22"/>
    <x v="0"/>
    <x v="3"/>
    <s v="C-Line Peel &amp; Stick Add-On Filing Pockets, 8-3/4 x 5-1/8, 10/Pack"/>
    <x v="4367"/>
    <n v="6"/>
    <n v="10.32"/>
    <x v="2"/>
    <x v="3"/>
  </r>
  <r>
    <n v="45372"/>
    <x v="152"/>
    <x v="22"/>
    <x v="0"/>
    <x v="7"/>
    <s v="Super Bands, 12/Pack"/>
    <x v="4368"/>
    <n v="7"/>
    <n v="0.39"/>
    <x v="2"/>
    <x v="3"/>
  </r>
  <r>
    <n v="45372"/>
    <x v="152"/>
    <x v="22"/>
    <x v="1"/>
    <x v="8"/>
    <s v="Eldon Expressions Wood Desk Accessories, Oak"/>
    <x v="2701"/>
    <n v="3"/>
    <n v="6.42"/>
    <x v="2"/>
    <x v="3"/>
  </r>
  <r>
    <n v="45372"/>
    <x v="152"/>
    <x v="22"/>
    <x v="0"/>
    <x v="2"/>
    <s v="Fellowes Officeware Wire Shelving"/>
    <x v="480"/>
    <n v="4"/>
    <n v="7.19"/>
    <x v="2"/>
    <x v="3"/>
  </r>
  <r>
    <n v="45374"/>
    <x v="734"/>
    <x v="3"/>
    <x v="1"/>
    <x v="8"/>
    <s v="DAX Natural Wood-Tone Poster Frame"/>
    <x v="4369"/>
    <n v="8"/>
    <n v="76.260000000000005"/>
    <x v="2"/>
    <x v="3"/>
  </r>
  <r>
    <n v="45374"/>
    <x v="461"/>
    <x v="0"/>
    <x v="0"/>
    <x v="2"/>
    <s v="Fellowes Officeware Wire Shelving"/>
    <x v="4370"/>
    <n v="2"/>
    <n v="-32.340000000000003"/>
    <x v="2"/>
    <x v="3"/>
  </r>
  <r>
    <n v="45374"/>
    <x v="574"/>
    <x v="20"/>
    <x v="0"/>
    <x v="0"/>
    <s v="Xerox 1980"/>
    <x v="843"/>
    <n v="6"/>
    <n v="11.56"/>
    <x v="2"/>
    <x v="3"/>
  </r>
  <r>
    <n v="45374"/>
    <x v="126"/>
    <x v="20"/>
    <x v="0"/>
    <x v="14"/>
    <s v="Premier Electric Letter Opener"/>
    <x v="4371"/>
    <n v="3"/>
    <n v="17.38"/>
    <x v="2"/>
    <x v="3"/>
  </r>
  <r>
    <n v="45374"/>
    <x v="694"/>
    <x v="22"/>
    <x v="0"/>
    <x v="3"/>
    <s v="Cardinal Slant-D Ring Binder, Heavy Gauge Vinyl"/>
    <x v="2181"/>
    <n v="5"/>
    <n v="11.3"/>
    <x v="2"/>
    <x v="3"/>
  </r>
  <r>
    <n v="45374"/>
    <x v="745"/>
    <x v="22"/>
    <x v="0"/>
    <x v="2"/>
    <s v="Acco Perma 4000 Stacking Storage Drawers"/>
    <x v="3776"/>
    <n v="2"/>
    <n v="4.87"/>
    <x v="2"/>
    <x v="3"/>
  </r>
  <r>
    <n v="45374"/>
    <x v="745"/>
    <x v="22"/>
    <x v="0"/>
    <x v="0"/>
    <s v="Xerox 1898"/>
    <x v="1251"/>
    <n v="3"/>
    <n v="9.6199999999999992"/>
    <x v="2"/>
    <x v="3"/>
  </r>
  <r>
    <n v="45374"/>
    <x v="745"/>
    <x v="22"/>
    <x v="2"/>
    <x v="16"/>
    <s v="Canon imageCLASS 2200 Advanced Copier"/>
    <x v="4372"/>
    <n v="4"/>
    <n v="6719.98"/>
    <x v="2"/>
    <x v="3"/>
  </r>
  <r>
    <n v="45375"/>
    <x v="291"/>
    <x v="20"/>
    <x v="0"/>
    <x v="0"/>
    <s v="Xerox 1888"/>
    <x v="1555"/>
    <n v="4"/>
    <n v="106.52"/>
    <x v="2"/>
    <x v="3"/>
  </r>
  <r>
    <n v="45375"/>
    <x v="291"/>
    <x v="20"/>
    <x v="2"/>
    <x v="9"/>
    <s v="Memorex Micro Travel Drive 8 GB"/>
    <x v="2285"/>
    <n v="2"/>
    <n v="11.7"/>
    <x v="2"/>
    <x v="3"/>
  </r>
  <r>
    <n v="45375"/>
    <x v="535"/>
    <x v="20"/>
    <x v="0"/>
    <x v="10"/>
    <s v="#10 White Business Envelopes,4 1/8 x 9 1/2"/>
    <x v="4373"/>
    <n v="3"/>
    <n v="22.09"/>
    <x v="2"/>
    <x v="3"/>
  </r>
  <r>
    <n v="45375"/>
    <x v="535"/>
    <x v="20"/>
    <x v="2"/>
    <x v="6"/>
    <s v="Samsung Galaxy S4 Mini"/>
    <x v="4374"/>
    <n v="1"/>
    <n v="136.30000000000001"/>
    <x v="2"/>
    <x v="3"/>
  </r>
  <r>
    <n v="45375"/>
    <x v="535"/>
    <x v="20"/>
    <x v="1"/>
    <x v="5"/>
    <s v="Global Deluxe Steno Chair"/>
    <x v="4240"/>
    <n v="3"/>
    <n v="2.31"/>
    <x v="2"/>
    <x v="3"/>
  </r>
  <r>
    <n v="45375"/>
    <x v="20"/>
    <x v="20"/>
    <x v="1"/>
    <x v="5"/>
    <s v="Global Airflow Leather Mesh Back Chair, Black"/>
    <x v="2334"/>
    <n v="2"/>
    <n v="60.39"/>
    <x v="2"/>
    <x v="3"/>
  </r>
  <r>
    <n v="45375"/>
    <x v="689"/>
    <x v="0"/>
    <x v="0"/>
    <x v="2"/>
    <s v="Iris Project Case"/>
    <x v="1074"/>
    <n v="2"/>
    <n v="0.96"/>
    <x v="2"/>
    <x v="3"/>
  </r>
  <r>
    <n v="45376"/>
    <x v="405"/>
    <x v="0"/>
    <x v="2"/>
    <x v="6"/>
    <s v="Panasonic KX-TG9471B"/>
    <x v="4375"/>
    <n v="3"/>
    <n v="47.04"/>
    <x v="2"/>
    <x v="3"/>
  </r>
  <r>
    <n v="45376"/>
    <x v="107"/>
    <x v="3"/>
    <x v="0"/>
    <x v="12"/>
    <s v="Acco Smartsocket Color-Coded Six-Outlet AC Adapter Model Surge Protectors"/>
    <x v="4376"/>
    <n v="4"/>
    <n v="45.77"/>
    <x v="2"/>
    <x v="3"/>
  </r>
  <r>
    <n v="45376"/>
    <x v="107"/>
    <x v="3"/>
    <x v="0"/>
    <x v="4"/>
    <s v="Staples in misc. colors"/>
    <x v="2539"/>
    <n v="9"/>
    <n v="4.49"/>
    <x v="2"/>
    <x v="3"/>
  </r>
  <r>
    <n v="45376"/>
    <x v="107"/>
    <x v="3"/>
    <x v="0"/>
    <x v="3"/>
    <s v="Avery Arch Ring Binders"/>
    <x v="4377"/>
    <n v="4"/>
    <n v="62.75"/>
    <x v="2"/>
    <x v="3"/>
  </r>
  <r>
    <n v="45376"/>
    <x v="107"/>
    <x v="3"/>
    <x v="2"/>
    <x v="6"/>
    <s v="Clearsounds A400"/>
    <x v="1536"/>
    <n v="4"/>
    <n v="15.84"/>
    <x v="2"/>
    <x v="3"/>
  </r>
  <r>
    <n v="45376"/>
    <x v="107"/>
    <x v="3"/>
    <x v="2"/>
    <x v="16"/>
    <s v="Hewlett Packard 310 Color Digital Copier"/>
    <x v="386"/>
    <n v="2"/>
    <n v="60"/>
    <x v="2"/>
    <x v="3"/>
  </r>
  <r>
    <n v="45376"/>
    <x v="514"/>
    <x v="21"/>
    <x v="1"/>
    <x v="5"/>
    <s v="Global Highback Leather Tilter in Burgundy"/>
    <x v="4378"/>
    <n v="1"/>
    <n v="14.56"/>
    <x v="2"/>
    <x v="3"/>
  </r>
  <r>
    <n v="45376"/>
    <x v="514"/>
    <x v="21"/>
    <x v="1"/>
    <x v="5"/>
    <s v="Lifetime Advantage Folding Chairs, 4/Carton"/>
    <x v="4379"/>
    <n v="7"/>
    <n v="427.44"/>
    <x v="2"/>
    <x v="3"/>
  </r>
  <r>
    <n v="45376"/>
    <x v="514"/>
    <x v="21"/>
    <x v="1"/>
    <x v="5"/>
    <s v="Global High-Back Leather Tilter, Burgundy"/>
    <x v="3734"/>
    <n v="3"/>
    <n v="40.590000000000003"/>
    <x v="2"/>
    <x v="3"/>
  </r>
  <r>
    <n v="45376"/>
    <x v="257"/>
    <x v="0"/>
    <x v="0"/>
    <x v="0"/>
    <s v="Xerox 1953"/>
    <x v="966"/>
    <n v="2"/>
    <n v="2.14"/>
    <x v="2"/>
    <x v="3"/>
  </r>
  <r>
    <n v="45376"/>
    <x v="76"/>
    <x v="22"/>
    <x v="0"/>
    <x v="4"/>
    <s v="Newell 309"/>
    <x v="542"/>
    <n v="2"/>
    <n v="6.93"/>
    <x v="2"/>
    <x v="3"/>
  </r>
  <r>
    <n v="45376"/>
    <x v="154"/>
    <x v="20"/>
    <x v="0"/>
    <x v="4"/>
    <s v="Newell 311"/>
    <x v="4380"/>
    <n v="5"/>
    <n v="2.98"/>
    <x v="2"/>
    <x v="3"/>
  </r>
  <r>
    <n v="45377"/>
    <x v="95"/>
    <x v="20"/>
    <x v="1"/>
    <x v="11"/>
    <s v="Sauder Forest Hills Library with Doors, Woodland Oak Finish"/>
    <x v="4381"/>
    <n v="2"/>
    <n v="-28.98"/>
    <x v="2"/>
    <x v="3"/>
  </r>
  <r>
    <n v="45377"/>
    <x v="95"/>
    <x v="20"/>
    <x v="2"/>
    <x v="6"/>
    <s v="Nokia Lumia 521 (T-Mobile)"/>
    <x v="1446"/>
    <n v="4"/>
    <n v="33.590000000000003"/>
    <x v="2"/>
    <x v="3"/>
  </r>
  <r>
    <n v="45377"/>
    <x v="713"/>
    <x v="22"/>
    <x v="0"/>
    <x v="4"/>
    <s v="Boston 1827 Commercial Additional Cutter, Drive Gear &amp; Gear Rack for 1606"/>
    <x v="4382"/>
    <n v="1"/>
    <n v="5.95"/>
    <x v="2"/>
    <x v="3"/>
  </r>
  <r>
    <n v="45377"/>
    <x v="783"/>
    <x v="14"/>
    <x v="1"/>
    <x v="8"/>
    <s v="Career Cubicle Clock, 8 1/4&quot;, Black"/>
    <x v="2083"/>
    <n v="3"/>
    <n v="23.12"/>
    <x v="2"/>
    <x v="3"/>
  </r>
  <r>
    <n v="45377"/>
    <x v="726"/>
    <x v="6"/>
    <x v="2"/>
    <x v="9"/>
    <s v="Memorex Froggy Flash Drive 8 GB"/>
    <x v="1809"/>
    <n v="3"/>
    <n v="20.77"/>
    <x v="2"/>
    <x v="3"/>
  </r>
  <r>
    <n v="45377"/>
    <x v="726"/>
    <x v="6"/>
    <x v="0"/>
    <x v="7"/>
    <s v="Staples"/>
    <x v="572"/>
    <n v="2"/>
    <n v="1.32"/>
    <x v="2"/>
    <x v="3"/>
  </r>
  <r>
    <n v="45377"/>
    <x v="252"/>
    <x v="0"/>
    <x v="2"/>
    <x v="9"/>
    <s v="Sony 64GB Class 10 Micro SDHC R40 Memory Card"/>
    <x v="2109"/>
    <n v="5"/>
    <n v="1.8"/>
    <x v="2"/>
    <x v="3"/>
  </r>
  <r>
    <n v="45377"/>
    <x v="252"/>
    <x v="0"/>
    <x v="2"/>
    <x v="16"/>
    <s v="Canon PC1080F Personal Copier"/>
    <x v="4383"/>
    <n v="5"/>
    <n v="569.99"/>
    <x v="2"/>
    <x v="3"/>
  </r>
  <r>
    <n v="45377"/>
    <x v="252"/>
    <x v="0"/>
    <x v="0"/>
    <x v="0"/>
    <s v="Xerox 1951"/>
    <x v="230"/>
    <n v="3"/>
    <n v="23.24"/>
    <x v="2"/>
    <x v="3"/>
  </r>
  <r>
    <n v="45377"/>
    <x v="252"/>
    <x v="0"/>
    <x v="0"/>
    <x v="12"/>
    <s v="Belkin 5 Outlet SurgeMaster Power Centers"/>
    <x v="2399"/>
    <n v="8"/>
    <n v="-226.64"/>
    <x v="2"/>
    <x v="3"/>
  </r>
  <r>
    <n v="45377"/>
    <x v="252"/>
    <x v="0"/>
    <x v="0"/>
    <x v="2"/>
    <s v="Neat Ideas Personal Hanging Folder Files, Black"/>
    <x v="4384"/>
    <n v="3"/>
    <n v="2.42"/>
    <x v="2"/>
    <x v="3"/>
  </r>
  <r>
    <n v="45378"/>
    <x v="199"/>
    <x v="2"/>
    <x v="1"/>
    <x v="8"/>
    <s v="Eldon Expressions Punched Metal &amp; Wood Desk Accessories, Black &amp; Cherry"/>
    <x v="2501"/>
    <n v="2"/>
    <n v="1.5"/>
    <x v="2"/>
    <x v="3"/>
  </r>
  <r>
    <n v="45378"/>
    <x v="648"/>
    <x v="3"/>
    <x v="0"/>
    <x v="0"/>
    <s v="Xerox 1982"/>
    <x v="1488"/>
    <n v="2"/>
    <n v="21.01"/>
    <x v="2"/>
    <x v="3"/>
  </r>
  <r>
    <n v="45378"/>
    <x v="648"/>
    <x v="3"/>
    <x v="0"/>
    <x v="0"/>
    <s v="Xerox 1913"/>
    <x v="754"/>
    <n v="2"/>
    <n v="53.26"/>
    <x v="2"/>
    <x v="3"/>
  </r>
  <r>
    <n v="45378"/>
    <x v="648"/>
    <x v="3"/>
    <x v="0"/>
    <x v="0"/>
    <s v="Unpadded Memo Slips"/>
    <x v="4385"/>
    <n v="3"/>
    <n v="5.97"/>
    <x v="2"/>
    <x v="3"/>
  </r>
  <r>
    <n v="45378"/>
    <x v="641"/>
    <x v="6"/>
    <x v="0"/>
    <x v="1"/>
    <s v="Avery 05222 Permanent Self-Adhesive File Folder Labels for Typewriters, on Rolls, White, 250/Roll"/>
    <x v="1985"/>
    <n v="2"/>
    <n v="3.8"/>
    <x v="2"/>
    <x v="3"/>
  </r>
  <r>
    <n v="45378"/>
    <x v="641"/>
    <x v="6"/>
    <x v="0"/>
    <x v="3"/>
    <s v="GBC Instant Index System for Binding Systems"/>
    <x v="4185"/>
    <n v="2"/>
    <n v="8.8800000000000008"/>
    <x v="2"/>
    <x v="3"/>
  </r>
  <r>
    <n v="45378"/>
    <x v="641"/>
    <x v="6"/>
    <x v="0"/>
    <x v="2"/>
    <s v="Carina Mini System Audio Rack, Model AR050B"/>
    <x v="100"/>
    <n v="3"/>
    <n v="9.99"/>
    <x v="2"/>
    <x v="3"/>
  </r>
  <r>
    <n v="45378"/>
    <x v="641"/>
    <x v="6"/>
    <x v="1"/>
    <x v="13"/>
    <s v="BPI Conference Tables"/>
    <x v="1346"/>
    <n v="2"/>
    <n v="58.42"/>
    <x v="2"/>
    <x v="3"/>
  </r>
  <r>
    <n v="45378"/>
    <x v="641"/>
    <x v="6"/>
    <x v="2"/>
    <x v="6"/>
    <s v="Panasonic KX - TS880B Telephone"/>
    <x v="4386"/>
    <n v="5"/>
    <n v="55.65"/>
    <x v="2"/>
    <x v="3"/>
  </r>
  <r>
    <n v="45378"/>
    <x v="641"/>
    <x v="6"/>
    <x v="0"/>
    <x v="0"/>
    <s v="Ampad Gold Fibre Wirebound Steno Books, 6&quot; x 9&quot;, Gregg Ruled"/>
    <x v="1810"/>
    <n v="4"/>
    <n v="8.11"/>
    <x v="2"/>
    <x v="3"/>
  </r>
  <r>
    <n v="45378"/>
    <x v="740"/>
    <x v="0"/>
    <x v="1"/>
    <x v="11"/>
    <s v="Atlantic Metals Mobile 5-Shelf Bookcases, Custom Colors"/>
    <x v="4387"/>
    <n v="5"/>
    <n v="-30.1"/>
    <x v="2"/>
    <x v="3"/>
  </r>
  <r>
    <n v="45378"/>
    <x v="740"/>
    <x v="0"/>
    <x v="1"/>
    <x v="5"/>
    <s v="Global Deluxe High-Back Manager's Chair"/>
    <x v="1581"/>
    <n v="3"/>
    <n v="-8.58"/>
    <x v="2"/>
    <x v="3"/>
  </r>
  <r>
    <n v="45378"/>
    <x v="740"/>
    <x v="0"/>
    <x v="2"/>
    <x v="9"/>
    <s v="Kensington SlimBlade Notebook Wireless Mouse with Nano Receiver"/>
    <x v="3075"/>
    <n v="1"/>
    <n v="7"/>
    <x v="2"/>
    <x v="3"/>
  </r>
  <r>
    <n v="45378"/>
    <x v="740"/>
    <x v="0"/>
    <x v="1"/>
    <x v="5"/>
    <s v="Global Leather &amp; Oak Executive Chair, Burgundy"/>
    <x v="795"/>
    <n v="2"/>
    <n v="-66.39"/>
    <x v="2"/>
    <x v="3"/>
  </r>
  <r>
    <n v="45379"/>
    <x v="38"/>
    <x v="16"/>
    <x v="0"/>
    <x v="3"/>
    <s v="Canvas Sectional Post Binders"/>
    <x v="4388"/>
    <n v="9"/>
    <n v="-48.12"/>
    <x v="2"/>
    <x v="3"/>
  </r>
  <r>
    <n v="45379"/>
    <x v="526"/>
    <x v="3"/>
    <x v="0"/>
    <x v="0"/>
    <s v="Xerox 1975"/>
    <x v="115"/>
    <n v="2"/>
    <n v="6.35"/>
    <x v="2"/>
    <x v="3"/>
  </r>
  <r>
    <n v="45379"/>
    <x v="526"/>
    <x v="3"/>
    <x v="1"/>
    <x v="8"/>
    <s v="DAX Black Cherry Wood-Tone Poster Frame"/>
    <x v="4389"/>
    <n v="1"/>
    <n v="10.06"/>
    <x v="2"/>
    <x v="3"/>
  </r>
  <r>
    <n v="45379"/>
    <x v="526"/>
    <x v="3"/>
    <x v="2"/>
    <x v="15"/>
    <s v="StarTech.com 10/100 VDSL2 Ethernet Extender Kit"/>
    <x v="4390"/>
    <n v="2"/>
    <n v="53.27"/>
    <x v="2"/>
    <x v="3"/>
  </r>
  <r>
    <n v="45379"/>
    <x v="526"/>
    <x v="3"/>
    <x v="0"/>
    <x v="0"/>
    <s v="Xerox 1968"/>
    <x v="277"/>
    <n v="4"/>
    <n v="12.83"/>
    <x v="2"/>
    <x v="3"/>
  </r>
  <r>
    <n v="45379"/>
    <x v="526"/>
    <x v="3"/>
    <x v="0"/>
    <x v="0"/>
    <s v="Xerox 1977"/>
    <x v="1251"/>
    <n v="3"/>
    <n v="9.6199999999999992"/>
    <x v="2"/>
    <x v="3"/>
  </r>
  <r>
    <n v="45379"/>
    <x v="526"/>
    <x v="3"/>
    <x v="0"/>
    <x v="2"/>
    <s v="SAFCO Boltless Steel Shelving"/>
    <x v="4391"/>
    <n v="7"/>
    <n v="7.95"/>
    <x v="2"/>
    <x v="3"/>
  </r>
  <r>
    <n v="45379"/>
    <x v="526"/>
    <x v="3"/>
    <x v="1"/>
    <x v="8"/>
    <s v="Stackable Trays"/>
    <x v="387"/>
    <n v="7"/>
    <n v="6.9"/>
    <x v="2"/>
    <x v="3"/>
  </r>
  <r>
    <n v="45380"/>
    <x v="310"/>
    <x v="18"/>
    <x v="0"/>
    <x v="2"/>
    <s v="Adjustable Personal File Tote"/>
    <x v="4392"/>
    <n v="5"/>
    <n v="21.16"/>
    <x v="2"/>
    <x v="3"/>
  </r>
  <r>
    <n v="45381"/>
    <x v="784"/>
    <x v="39"/>
    <x v="0"/>
    <x v="10"/>
    <s v="Multimedia Mailers"/>
    <x v="4393"/>
    <n v="2"/>
    <n v="149.9"/>
    <x v="2"/>
    <x v="3"/>
  </r>
  <r>
    <n v="45381"/>
    <x v="652"/>
    <x v="2"/>
    <x v="0"/>
    <x v="3"/>
    <s v="Acco Pressboard Covers with Storage Hooks, 14 7/8&quot; x 11&quot;, Executive Red"/>
    <x v="3441"/>
    <n v="5"/>
    <n v="-4.76"/>
    <x v="2"/>
    <x v="3"/>
  </r>
  <r>
    <n v="45381"/>
    <x v="5"/>
    <x v="4"/>
    <x v="0"/>
    <x v="2"/>
    <s v="Advantus 10-Drawer Portable Organizer, Chrome Metal Frame, Smoke Drawers"/>
    <x v="4394"/>
    <n v="1"/>
    <n v="16.73"/>
    <x v="2"/>
    <x v="3"/>
  </r>
  <r>
    <n v="45381"/>
    <x v="23"/>
    <x v="3"/>
    <x v="0"/>
    <x v="4"/>
    <s v="Manco Dry-Lighter Erasable Highlighter"/>
    <x v="603"/>
    <n v="2"/>
    <n v="2.0699999999999998"/>
    <x v="2"/>
    <x v="3"/>
  </r>
  <r>
    <n v="45381"/>
    <x v="23"/>
    <x v="3"/>
    <x v="2"/>
    <x v="6"/>
    <s v="AT&amp;T CL83451 4-Handset Telephone"/>
    <x v="4395"/>
    <n v="1"/>
    <n v="18.54"/>
    <x v="2"/>
    <x v="3"/>
  </r>
  <r>
    <n v="45381"/>
    <x v="513"/>
    <x v="3"/>
    <x v="1"/>
    <x v="8"/>
    <s v="Flat Face Poster Frame"/>
    <x v="4396"/>
    <n v="5"/>
    <n v="39.56"/>
    <x v="2"/>
    <x v="3"/>
  </r>
  <r>
    <n v="45382"/>
    <x v="171"/>
    <x v="0"/>
    <x v="1"/>
    <x v="11"/>
    <s v="Bush Mission Pointe Library"/>
    <x v="4397"/>
    <n v="2"/>
    <n v="-36.24"/>
    <x v="2"/>
    <x v="3"/>
  </r>
  <r>
    <n v="45382"/>
    <x v="626"/>
    <x v="20"/>
    <x v="1"/>
    <x v="8"/>
    <s v="Tensor Computer Mounted Lamp"/>
    <x v="4398"/>
    <n v="2"/>
    <n v="8.0399999999999991"/>
    <x v="2"/>
    <x v="3"/>
  </r>
  <r>
    <n v="45382"/>
    <x v="626"/>
    <x v="20"/>
    <x v="2"/>
    <x v="6"/>
    <s v="Polycom SoundPoint IP 450 VoIP phone"/>
    <x v="4399"/>
    <n v="3"/>
    <n v="176.17"/>
    <x v="2"/>
    <x v="3"/>
  </r>
  <r>
    <n v="45382"/>
    <x v="626"/>
    <x v="20"/>
    <x v="0"/>
    <x v="0"/>
    <s v="Rediform S.O.S. 1-Up Phone Message Bk, 4-1/4x3-1/16 Bk, 1 Form/Pg, 40 Messages/Bk, 3/Pk"/>
    <x v="4400"/>
    <n v="8"/>
    <n v="36.020000000000003"/>
    <x v="2"/>
    <x v="3"/>
  </r>
  <r>
    <n v="45382"/>
    <x v="445"/>
    <x v="20"/>
    <x v="2"/>
    <x v="6"/>
    <s v="Spigen Samsung Galaxy S5 Case Wallet"/>
    <x v="4401"/>
    <n v="5"/>
    <n v="22.09"/>
    <x v="2"/>
    <x v="3"/>
  </r>
  <r>
    <n v="45382"/>
    <x v="474"/>
    <x v="5"/>
    <x v="1"/>
    <x v="8"/>
    <s v="Advantus Panel Wall Certificate Holder - 8.5x11"/>
    <x v="4402"/>
    <n v="5"/>
    <n v="25.62"/>
    <x v="2"/>
    <x v="3"/>
  </r>
  <r>
    <n v="45382"/>
    <x v="474"/>
    <x v="5"/>
    <x v="2"/>
    <x v="6"/>
    <s v="Vtech CS6719"/>
    <x v="2339"/>
    <n v="7"/>
    <n v="188.14"/>
    <x v="2"/>
    <x v="3"/>
  </r>
  <r>
    <n v="45382"/>
    <x v="709"/>
    <x v="1"/>
    <x v="0"/>
    <x v="3"/>
    <s v="SlimView Poly Binder, 3/8&quot;"/>
    <x v="4403"/>
    <n v="13"/>
    <n v="-22.9"/>
    <x v="2"/>
    <x v="3"/>
  </r>
  <r>
    <n v="45382"/>
    <x v="458"/>
    <x v="4"/>
    <x v="0"/>
    <x v="3"/>
    <s v="Ibico Recycled Grain-Textured Covers"/>
    <x v="4404"/>
    <n v="1"/>
    <n v="17.27"/>
    <x v="2"/>
    <x v="3"/>
  </r>
  <r>
    <n v="45382"/>
    <x v="458"/>
    <x v="4"/>
    <x v="2"/>
    <x v="16"/>
    <s v="Hewlett Packard LaserJet 3310 Copier"/>
    <x v="4251"/>
    <n v="5"/>
    <n v="1439.98"/>
    <x v="2"/>
    <x v="3"/>
  </r>
  <r>
    <n v="45382"/>
    <x v="458"/>
    <x v="4"/>
    <x v="0"/>
    <x v="3"/>
    <s v="Avery Recycled Flexi-View Covers for Binding Systems"/>
    <x v="4405"/>
    <n v="4"/>
    <n v="30.78"/>
    <x v="2"/>
    <x v="3"/>
  </r>
  <r>
    <n v="45382"/>
    <x v="134"/>
    <x v="0"/>
    <x v="0"/>
    <x v="12"/>
    <s v="Fellowes 8 Outlet Superior Workstation Surge Protector w/o Phone/Fax/Modem Protection"/>
    <x v="4406"/>
    <n v="5"/>
    <n v="-90.77"/>
    <x v="2"/>
    <x v="3"/>
  </r>
  <r>
    <n v="45382"/>
    <x v="418"/>
    <x v="3"/>
    <x v="0"/>
    <x v="14"/>
    <s v="Acme Tagit Stainless Steel Antibacterial Scissors"/>
    <x v="58"/>
    <n v="3"/>
    <n v="8.02"/>
    <x v="2"/>
    <x v="3"/>
  </r>
  <r>
    <n v="45383"/>
    <x v="423"/>
    <x v="24"/>
    <x v="0"/>
    <x v="2"/>
    <s v="Hanging Personal Folder File"/>
    <x v="4396"/>
    <n v="6"/>
    <n v="23.55"/>
    <x v="3"/>
    <x v="3"/>
  </r>
  <r>
    <n v="45383"/>
    <x v="423"/>
    <x v="24"/>
    <x v="0"/>
    <x v="10"/>
    <s v="Staple envelope"/>
    <x v="1680"/>
    <n v="5"/>
    <n v="13.35"/>
    <x v="3"/>
    <x v="3"/>
  </r>
  <r>
    <n v="45383"/>
    <x v="389"/>
    <x v="3"/>
    <x v="0"/>
    <x v="1"/>
    <s v="Avery 498"/>
    <x v="402"/>
    <n v="2"/>
    <n v="2.72"/>
    <x v="3"/>
    <x v="3"/>
  </r>
  <r>
    <n v="45383"/>
    <x v="389"/>
    <x v="3"/>
    <x v="0"/>
    <x v="3"/>
    <s v="Fellowes Binding Cases"/>
    <x v="4407"/>
    <n v="13"/>
    <n v="38.03"/>
    <x v="3"/>
    <x v="3"/>
  </r>
  <r>
    <n v="45383"/>
    <x v="317"/>
    <x v="3"/>
    <x v="1"/>
    <x v="11"/>
    <s v="Safco Value Mate Steel Bookcase, Baked Enamel Finish on Steel, Black"/>
    <x v="4408"/>
    <n v="8"/>
    <n v="85.18"/>
    <x v="3"/>
    <x v="3"/>
  </r>
  <r>
    <n v="45383"/>
    <x v="317"/>
    <x v="3"/>
    <x v="2"/>
    <x v="15"/>
    <s v="Cubify CubeX 3D Printer Double Head Print"/>
    <x v="4409"/>
    <n v="2"/>
    <n v="360"/>
    <x v="3"/>
    <x v="3"/>
  </r>
  <r>
    <n v="45383"/>
    <x v="405"/>
    <x v="20"/>
    <x v="0"/>
    <x v="0"/>
    <s v="Wirebound Message Books, Four 2 3/4 x 5 Forms per Page, 200 Sets per Book"/>
    <x v="4410"/>
    <n v="9"/>
    <n v="19.32"/>
    <x v="3"/>
    <x v="3"/>
  </r>
  <r>
    <n v="45383"/>
    <x v="45"/>
    <x v="16"/>
    <x v="2"/>
    <x v="6"/>
    <s v="Mediabridge Sport Armband iPhone 5s"/>
    <x v="837"/>
    <n v="3"/>
    <n v="-5.69"/>
    <x v="3"/>
    <x v="3"/>
  </r>
  <r>
    <n v="45383"/>
    <x v="45"/>
    <x v="16"/>
    <x v="0"/>
    <x v="1"/>
    <s v="Avery 494"/>
    <x v="2176"/>
    <n v="3"/>
    <n v="2.04"/>
    <x v="3"/>
    <x v="3"/>
  </r>
  <r>
    <n v="45383"/>
    <x v="45"/>
    <x v="16"/>
    <x v="0"/>
    <x v="12"/>
    <s v="Staple holder"/>
    <x v="1008"/>
    <n v="3"/>
    <n v="1.82"/>
    <x v="3"/>
    <x v="3"/>
  </r>
  <r>
    <n v="45383"/>
    <x v="45"/>
    <x v="16"/>
    <x v="1"/>
    <x v="5"/>
    <s v="Global Wood Trimmed Manager's Task Chair, Khaki"/>
    <x v="1584"/>
    <n v="3"/>
    <n v="-19.11"/>
    <x v="3"/>
    <x v="3"/>
  </r>
  <r>
    <n v="45383"/>
    <x v="169"/>
    <x v="9"/>
    <x v="1"/>
    <x v="8"/>
    <s v="Deflect-o DuraMat Lighweight, Studded, Beveled Mat for Low Pile Carpeting"/>
    <x v="931"/>
    <n v="3"/>
    <n v="21.75"/>
    <x v="3"/>
    <x v="3"/>
  </r>
  <r>
    <n v="45384"/>
    <x v="509"/>
    <x v="3"/>
    <x v="1"/>
    <x v="8"/>
    <s v="Westinghouse Clip-On Gooseneck Lamps"/>
    <x v="4411"/>
    <n v="3"/>
    <n v="6.53"/>
    <x v="3"/>
    <x v="3"/>
  </r>
  <r>
    <n v="45384"/>
    <x v="529"/>
    <x v="4"/>
    <x v="1"/>
    <x v="13"/>
    <s v="Bevis 44 x 96 Conference Tables"/>
    <x v="4412"/>
    <n v="2"/>
    <n v="70.010000000000005"/>
    <x v="3"/>
    <x v="3"/>
  </r>
  <r>
    <n v="45384"/>
    <x v="529"/>
    <x v="4"/>
    <x v="2"/>
    <x v="9"/>
    <s v="NETGEAR N750 Dual Band Wi-Fi Gigabit Router"/>
    <x v="1241"/>
    <n v="4"/>
    <n v="129.6"/>
    <x v="3"/>
    <x v="3"/>
  </r>
  <r>
    <n v="45384"/>
    <x v="538"/>
    <x v="37"/>
    <x v="0"/>
    <x v="4"/>
    <s v="Newell 318"/>
    <x v="997"/>
    <n v="4"/>
    <n v="2.89"/>
    <x v="3"/>
    <x v="3"/>
  </r>
  <r>
    <n v="45384"/>
    <x v="596"/>
    <x v="33"/>
    <x v="0"/>
    <x v="1"/>
    <s v="Avery 499"/>
    <x v="98"/>
    <n v="3"/>
    <n v="6.87"/>
    <x v="3"/>
    <x v="3"/>
  </r>
  <r>
    <n v="45385"/>
    <x v="175"/>
    <x v="2"/>
    <x v="1"/>
    <x v="8"/>
    <s v="Staple-based wall hangings"/>
    <x v="4413"/>
    <n v="4"/>
    <n v="7.64"/>
    <x v="3"/>
    <x v="3"/>
  </r>
  <r>
    <n v="45385"/>
    <x v="52"/>
    <x v="1"/>
    <x v="0"/>
    <x v="4"/>
    <s v="Prang Colored Pencils"/>
    <x v="1644"/>
    <n v="3"/>
    <n v="2.21"/>
    <x v="3"/>
    <x v="3"/>
  </r>
  <r>
    <n v="45386"/>
    <x v="481"/>
    <x v="1"/>
    <x v="2"/>
    <x v="6"/>
    <s v="Cisco SPA 502G IP Phone"/>
    <x v="4414"/>
    <n v="4"/>
    <n v="47.98"/>
    <x v="3"/>
    <x v="3"/>
  </r>
  <r>
    <n v="45386"/>
    <x v="293"/>
    <x v="20"/>
    <x v="2"/>
    <x v="6"/>
    <s v="Panasonic KX - TS880B Telephone"/>
    <x v="4415"/>
    <n v="1"/>
    <n v="11.13"/>
    <x v="3"/>
    <x v="3"/>
  </r>
  <r>
    <n v="45386"/>
    <x v="293"/>
    <x v="20"/>
    <x v="0"/>
    <x v="14"/>
    <s v="Premier Automatic Letter Opener"/>
    <x v="4416"/>
    <n v="1"/>
    <n v="7.21"/>
    <x v="3"/>
    <x v="3"/>
  </r>
  <r>
    <n v="45386"/>
    <x v="293"/>
    <x v="20"/>
    <x v="2"/>
    <x v="6"/>
    <s v="LG Electronics Tone+ HBS-730 Bluetooth Headset"/>
    <x v="4417"/>
    <n v="2"/>
    <n v="33.33"/>
    <x v="3"/>
    <x v="3"/>
  </r>
  <r>
    <n v="45386"/>
    <x v="577"/>
    <x v="20"/>
    <x v="0"/>
    <x v="10"/>
    <s v="Brown Kraft Recycled Envelopes"/>
    <x v="4418"/>
    <n v="1"/>
    <n v="8.49"/>
    <x v="3"/>
    <x v="3"/>
  </r>
  <r>
    <n v="45386"/>
    <x v="398"/>
    <x v="20"/>
    <x v="0"/>
    <x v="4"/>
    <s v="Newell 326"/>
    <x v="2887"/>
    <n v="4"/>
    <n v="2.04"/>
    <x v="3"/>
    <x v="3"/>
  </r>
  <r>
    <n v="45388"/>
    <x v="770"/>
    <x v="30"/>
    <x v="0"/>
    <x v="0"/>
    <s v="Easy-staple paper"/>
    <x v="1653"/>
    <n v="3"/>
    <n v="49.97"/>
    <x v="3"/>
    <x v="3"/>
  </r>
  <r>
    <n v="45388"/>
    <x v="345"/>
    <x v="15"/>
    <x v="0"/>
    <x v="3"/>
    <s v="3M Organizer Strips"/>
    <x v="2865"/>
    <n v="5"/>
    <n v="-5.94"/>
    <x v="3"/>
    <x v="3"/>
  </r>
  <r>
    <n v="45389"/>
    <x v="431"/>
    <x v="16"/>
    <x v="1"/>
    <x v="13"/>
    <s v="Bush Advantage Collection Round Conference Table"/>
    <x v="4419"/>
    <n v="2"/>
    <n v="-102.05"/>
    <x v="3"/>
    <x v="3"/>
  </r>
  <r>
    <n v="45389"/>
    <x v="431"/>
    <x v="16"/>
    <x v="1"/>
    <x v="13"/>
    <s v="Bretford Rectangular Conference Table Tops"/>
    <x v="4420"/>
    <n v="3"/>
    <n v="-248.25"/>
    <x v="3"/>
    <x v="3"/>
  </r>
  <r>
    <n v="45389"/>
    <x v="431"/>
    <x v="16"/>
    <x v="0"/>
    <x v="3"/>
    <s v="GBC Instant Index System for Binding Systems"/>
    <x v="4421"/>
    <n v="2"/>
    <n v="-3.55"/>
    <x v="3"/>
    <x v="3"/>
  </r>
  <r>
    <n v="45389"/>
    <x v="431"/>
    <x v="16"/>
    <x v="1"/>
    <x v="8"/>
    <s v="Tenex Contemporary Contur Chairmats for Low and Medium Pile Carpet, Computer, 39&quot; x 49&quot;"/>
    <x v="4422"/>
    <n v="3"/>
    <n v="0"/>
    <x v="3"/>
    <x v="3"/>
  </r>
  <r>
    <n v="45389"/>
    <x v="431"/>
    <x v="16"/>
    <x v="2"/>
    <x v="9"/>
    <s v="LogitechÂ P710e Mobile Speakerphone"/>
    <x v="2436"/>
    <n v="3"/>
    <n v="-7.72"/>
    <x v="3"/>
    <x v="3"/>
  </r>
  <r>
    <n v="45389"/>
    <x v="57"/>
    <x v="16"/>
    <x v="0"/>
    <x v="4"/>
    <s v="50 Colored Long Pencils"/>
    <x v="4423"/>
    <n v="2"/>
    <n v="1.22"/>
    <x v="3"/>
    <x v="3"/>
  </r>
  <r>
    <n v="45389"/>
    <x v="57"/>
    <x v="16"/>
    <x v="2"/>
    <x v="6"/>
    <s v="AT&amp;T 1080 Corded phone"/>
    <x v="2814"/>
    <n v="2"/>
    <n v="19.18"/>
    <x v="3"/>
    <x v="3"/>
  </r>
  <r>
    <n v="45390"/>
    <x v="491"/>
    <x v="4"/>
    <x v="1"/>
    <x v="8"/>
    <s v="Eldon Expressions Punched Metal &amp; Wood Desk Accessories, Black &amp; Cherry"/>
    <x v="4424"/>
    <n v="6"/>
    <n v="15.76"/>
    <x v="3"/>
    <x v="3"/>
  </r>
  <r>
    <n v="45390"/>
    <x v="491"/>
    <x v="4"/>
    <x v="0"/>
    <x v="3"/>
    <s v="GBC DocuBind TL300 Electric Binding System"/>
    <x v="4425"/>
    <n v="3"/>
    <n v="1264.76"/>
    <x v="3"/>
    <x v="3"/>
  </r>
  <r>
    <n v="45390"/>
    <x v="432"/>
    <x v="23"/>
    <x v="0"/>
    <x v="2"/>
    <s v="Tennsco 16-Compartment Lockers with Coat Rack"/>
    <x v="4426"/>
    <n v="4"/>
    <n v="621.97"/>
    <x v="3"/>
    <x v="3"/>
  </r>
  <r>
    <n v="45390"/>
    <x v="432"/>
    <x v="23"/>
    <x v="0"/>
    <x v="12"/>
    <s v="Black &amp; Decker Filter for Double Action Dustbuster Cordless Vac BLDV7210"/>
    <x v="4427"/>
    <n v="5"/>
    <n v="10.49"/>
    <x v="3"/>
    <x v="3"/>
  </r>
  <r>
    <n v="45390"/>
    <x v="303"/>
    <x v="3"/>
    <x v="0"/>
    <x v="0"/>
    <s v="Xerox 1891"/>
    <x v="2636"/>
    <n v="5"/>
    <n v="114.94"/>
    <x v="3"/>
    <x v="3"/>
  </r>
  <r>
    <n v="45390"/>
    <x v="303"/>
    <x v="3"/>
    <x v="0"/>
    <x v="0"/>
    <s v="Xerox 1942"/>
    <x v="4428"/>
    <n v="4"/>
    <n v="97.88"/>
    <x v="3"/>
    <x v="3"/>
  </r>
  <r>
    <n v="45390"/>
    <x v="62"/>
    <x v="14"/>
    <x v="1"/>
    <x v="8"/>
    <s v="3M Polarizing Task Lamp with Clamp Arm, Light Gray"/>
    <x v="1323"/>
    <n v="2"/>
    <n v="71.23"/>
    <x v="3"/>
    <x v="3"/>
  </r>
  <r>
    <n v="45390"/>
    <x v="62"/>
    <x v="14"/>
    <x v="1"/>
    <x v="8"/>
    <s v="Luxo Professional Combination Clamp-On Lamps"/>
    <x v="4429"/>
    <n v="3"/>
    <n v="79.790000000000006"/>
    <x v="3"/>
    <x v="3"/>
  </r>
  <r>
    <n v="45391"/>
    <x v="697"/>
    <x v="20"/>
    <x v="0"/>
    <x v="1"/>
    <s v="Color-Coded Legal Exhibit Labels"/>
    <x v="1445"/>
    <n v="2"/>
    <n v="4.8099999999999996"/>
    <x v="3"/>
    <x v="3"/>
  </r>
  <r>
    <n v="45391"/>
    <x v="697"/>
    <x v="20"/>
    <x v="0"/>
    <x v="4"/>
    <s v="Bulldog Vacuum Base Pencil Sharpener"/>
    <x v="3424"/>
    <n v="3"/>
    <n v="9.7100000000000009"/>
    <x v="3"/>
    <x v="3"/>
  </r>
  <r>
    <n v="45391"/>
    <x v="697"/>
    <x v="20"/>
    <x v="0"/>
    <x v="0"/>
    <s v="Xerox 212"/>
    <x v="115"/>
    <n v="2"/>
    <n v="6.22"/>
    <x v="3"/>
    <x v="3"/>
  </r>
  <r>
    <n v="45391"/>
    <x v="697"/>
    <x v="20"/>
    <x v="0"/>
    <x v="0"/>
    <s v="Computer Printout Paper with Letter-Trim Fine Perforations"/>
    <x v="3291"/>
    <n v="4"/>
    <n v="91.97"/>
    <x v="3"/>
    <x v="3"/>
  </r>
  <r>
    <n v="45391"/>
    <x v="697"/>
    <x v="20"/>
    <x v="0"/>
    <x v="1"/>
    <s v="Avery File Folder Labels"/>
    <x v="406"/>
    <n v="3"/>
    <n v="4.2300000000000004"/>
    <x v="3"/>
    <x v="3"/>
  </r>
  <r>
    <n v="45391"/>
    <x v="697"/>
    <x v="20"/>
    <x v="0"/>
    <x v="2"/>
    <s v="Office Impressions Heavy Duty Welded Shelving &amp; Multimedia Storage Drawers"/>
    <x v="582"/>
    <n v="3"/>
    <n v="0"/>
    <x v="3"/>
    <x v="3"/>
  </r>
  <r>
    <n v="45391"/>
    <x v="52"/>
    <x v="16"/>
    <x v="0"/>
    <x v="1"/>
    <s v="Avery 48"/>
    <x v="137"/>
    <n v="3"/>
    <n v="4.91"/>
    <x v="3"/>
    <x v="3"/>
  </r>
  <r>
    <n v="45391"/>
    <x v="52"/>
    <x v="16"/>
    <x v="0"/>
    <x v="3"/>
    <s v="Avery Arch Ring Binders"/>
    <x v="1862"/>
    <n v="1"/>
    <n v="-13.36"/>
    <x v="3"/>
    <x v="3"/>
  </r>
  <r>
    <n v="45391"/>
    <x v="52"/>
    <x v="16"/>
    <x v="0"/>
    <x v="0"/>
    <s v="Xerox 1915"/>
    <x v="4430"/>
    <n v="3"/>
    <n v="88.07"/>
    <x v="3"/>
    <x v="3"/>
  </r>
  <r>
    <n v="45391"/>
    <x v="318"/>
    <x v="14"/>
    <x v="0"/>
    <x v="3"/>
    <s v="GBC Recycled Regency Composition Covers"/>
    <x v="4431"/>
    <n v="8"/>
    <n v="219.99"/>
    <x v="3"/>
    <x v="3"/>
  </r>
  <r>
    <n v="45391"/>
    <x v="479"/>
    <x v="2"/>
    <x v="0"/>
    <x v="3"/>
    <s v="Tuf-Vin Binders"/>
    <x v="4432"/>
    <n v="4"/>
    <n v="-29.05"/>
    <x v="3"/>
    <x v="3"/>
  </r>
  <r>
    <n v="45391"/>
    <x v="479"/>
    <x v="2"/>
    <x v="0"/>
    <x v="0"/>
    <s v="Xerox 1893"/>
    <x v="1776"/>
    <n v="2"/>
    <n v="23.77"/>
    <x v="3"/>
    <x v="3"/>
  </r>
  <r>
    <n v="45392"/>
    <x v="694"/>
    <x v="23"/>
    <x v="0"/>
    <x v="0"/>
    <s v="Wirebound Message Books, Two 4 1/4&quot; x 5&quot; Forms per Page"/>
    <x v="3674"/>
    <n v="1"/>
    <n v="3.58"/>
    <x v="3"/>
    <x v="3"/>
  </r>
  <r>
    <n v="45392"/>
    <x v="694"/>
    <x v="23"/>
    <x v="0"/>
    <x v="7"/>
    <s v="OIC Binder Clips"/>
    <x v="959"/>
    <n v="2"/>
    <n v="3.58"/>
    <x v="3"/>
    <x v="3"/>
  </r>
  <r>
    <n v="45392"/>
    <x v="446"/>
    <x v="0"/>
    <x v="0"/>
    <x v="0"/>
    <s v="Xerox 1894"/>
    <x v="320"/>
    <n v="2"/>
    <n v="3.63"/>
    <x v="3"/>
    <x v="3"/>
  </r>
  <r>
    <n v="45392"/>
    <x v="446"/>
    <x v="0"/>
    <x v="2"/>
    <x v="9"/>
    <s v="LogitechÂ MX Performance Wireless Mouse"/>
    <x v="4433"/>
    <n v="3"/>
    <n v="20.34"/>
    <x v="3"/>
    <x v="3"/>
  </r>
  <r>
    <n v="45392"/>
    <x v="785"/>
    <x v="16"/>
    <x v="1"/>
    <x v="8"/>
    <s v="Stackable Trays"/>
    <x v="3706"/>
    <n v="5"/>
    <n v="1.85"/>
    <x v="3"/>
    <x v="3"/>
  </r>
  <r>
    <n v="45392"/>
    <x v="785"/>
    <x v="16"/>
    <x v="0"/>
    <x v="3"/>
    <s v="Acco Pressboard Covers with Storage Hooks, 14 7/8&quot; x 11&quot;, Light Blue"/>
    <x v="1714"/>
    <n v="3"/>
    <n v="-3.09"/>
    <x v="3"/>
    <x v="3"/>
  </r>
  <r>
    <n v="45392"/>
    <x v="524"/>
    <x v="37"/>
    <x v="2"/>
    <x v="9"/>
    <s v="Logitech G700s Rechargeable Gaming Mouse"/>
    <x v="482"/>
    <n v="1"/>
    <n v="42"/>
    <x v="3"/>
    <x v="3"/>
  </r>
  <r>
    <n v="45392"/>
    <x v="524"/>
    <x v="37"/>
    <x v="0"/>
    <x v="2"/>
    <s v="Recycled Steel Personal File for Hanging File Folders"/>
    <x v="4434"/>
    <n v="5"/>
    <n v="71.540000000000006"/>
    <x v="3"/>
    <x v="3"/>
  </r>
  <r>
    <n v="45392"/>
    <x v="206"/>
    <x v="2"/>
    <x v="0"/>
    <x v="12"/>
    <s v="Tripp Lite Isotel 6 Outlet Surge Protector with Fax/Modem Protection"/>
    <x v="4435"/>
    <n v="4"/>
    <n v="21.95"/>
    <x v="3"/>
    <x v="3"/>
  </r>
  <r>
    <n v="45392"/>
    <x v="206"/>
    <x v="2"/>
    <x v="1"/>
    <x v="8"/>
    <s v="Linden 10&quot; Round Wall Clock, Black"/>
    <x v="4436"/>
    <n v="3"/>
    <n v="6.42"/>
    <x v="3"/>
    <x v="3"/>
  </r>
  <r>
    <n v="45393"/>
    <x v="399"/>
    <x v="3"/>
    <x v="2"/>
    <x v="9"/>
    <s v="SanDisk Ultra 64 GB MicroSDHC Class 10 Memory Card"/>
    <x v="3245"/>
    <n v="5"/>
    <n v="21.99"/>
    <x v="3"/>
    <x v="3"/>
  </r>
  <r>
    <n v="45393"/>
    <x v="399"/>
    <x v="3"/>
    <x v="0"/>
    <x v="4"/>
    <s v="Dixon Ticonderoga Erasable Colored Pencil Set, 12-Color"/>
    <x v="2821"/>
    <n v="7"/>
    <n v="14.23"/>
    <x v="3"/>
    <x v="3"/>
  </r>
  <r>
    <n v="45393"/>
    <x v="90"/>
    <x v="0"/>
    <x v="0"/>
    <x v="3"/>
    <s v="Flexible Leather- Look Classic Collection Ring Binder"/>
    <x v="21"/>
    <n v="3"/>
    <n v="-17.05"/>
    <x v="3"/>
    <x v="3"/>
  </r>
  <r>
    <n v="45393"/>
    <x v="304"/>
    <x v="10"/>
    <x v="0"/>
    <x v="2"/>
    <s v="Sterilite Officeware Hinged File Box"/>
    <x v="3447"/>
    <n v="2"/>
    <n v="1.47"/>
    <x v="3"/>
    <x v="3"/>
  </r>
  <r>
    <n v="45393"/>
    <x v="304"/>
    <x v="10"/>
    <x v="2"/>
    <x v="9"/>
    <s v="Kingston Digital DataTraveler 32GB USB 2.0"/>
    <x v="4338"/>
    <n v="2"/>
    <n v="-4.75"/>
    <x v="3"/>
    <x v="3"/>
  </r>
  <r>
    <n v="45393"/>
    <x v="700"/>
    <x v="25"/>
    <x v="0"/>
    <x v="4"/>
    <s v="Pencil and Crayon Sharpener"/>
    <x v="4437"/>
    <n v="1"/>
    <n v="0.15"/>
    <x v="3"/>
    <x v="3"/>
  </r>
  <r>
    <n v="45393"/>
    <x v="700"/>
    <x v="25"/>
    <x v="0"/>
    <x v="4"/>
    <s v="Newell 321"/>
    <x v="4438"/>
    <n v="8"/>
    <n v="2.36"/>
    <x v="3"/>
    <x v="3"/>
  </r>
  <r>
    <n v="45394"/>
    <x v="649"/>
    <x v="43"/>
    <x v="0"/>
    <x v="3"/>
    <s v="Storex Dura Pro Binders"/>
    <x v="58"/>
    <n v="5"/>
    <n v="13.37"/>
    <x v="3"/>
    <x v="3"/>
  </r>
  <r>
    <n v="45394"/>
    <x v="649"/>
    <x v="43"/>
    <x v="0"/>
    <x v="0"/>
    <s v="Xerox 1948"/>
    <x v="418"/>
    <n v="4"/>
    <n v="17.98"/>
    <x v="3"/>
    <x v="3"/>
  </r>
  <r>
    <n v="45395"/>
    <x v="274"/>
    <x v="22"/>
    <x v="0"/>
    <x v="0"/>
    <s v="Xerox 4200 Series MultiUse Premium Copy Paper (20Lb. and 84 Bright)"/>
    <x v="1685"/>
    <n v="1"/>
    <n v="2.38"/>
    <x v="3"/>
    <x v="3"/>
  </r>
  <r>
    <n v="45395"/>
    <x v="274"/>
    <x v="22"/>
    <x v="0"/>
    <x v="3"/>
    <s v="GBC DocuBind TL200 Manual Binding Machine"/>
    <x v="4325"/>
    <n v="5"/>
    <n v="302.37"/>
    <x v="3"/>
    <x v="3"/>
  </r>
  <r>
    <n v="45395"/>
    <x v="598"/>
    <x v="3"/>
    <x v="1"/>
    <x v="5"/>
    <s v="Global Wood Trimmed Manager's Task Chair, Khaki"/>
    <x v="155"/>
    <n v="6"/>
    <n v="-38.21"/>
    <x v="3"/>
    <x v="3"/>
  </r>
  <r>
    <n v="45395"/>
    <x v="679"/>
    <x v="2"/>
    <x v="0"/>
    <x v="7"/>
    <s v="Translucent Push Pins by OIC"/>
    <x v="2890"/>
    <n v="5"/>
    <n v="1.68"/>
    <x v="3"/>
    <x v="3"/>
  </r>
  <r>
    <n v="45396"/>
    <x v="513"/>
    <x v="10"/>
    <x v="0"/>
    <x v="4"/>
    <s v="Zebra Zazzle Fluorescent Highlighters"/>
    <x v="1962"/>
    <n v="3"/>
    <n v="2.5499999999999998"/>
    <x v="3"/>
    <x v="3"/>
  </r>
  <r>
    <n v="45396"/>
    <x v="513"/>
    <x v="10"/>
    <x v="0"/>
    <x v="4"/>
    <s v="Sanford Prismacolor Professional Thick Lead Art Pencils, 36-Color Set"/>
    <x v="4439"/>
    <n v="3"/>
    <n v="21.34"/>
    <x v="3"/>
    <x v="3"/>
  </r>
  <r>
    <n v="45396"/>
    <x v="513"/>
    <x v="10"/>
    <x v="0"/>
    <x v="0"/>
    <s v="Xerox 196"/>
    <x v="4440"/>
    <n v="3"/>
    <n v="5.03"/>
    <x v="3"/>
    <x v="3"/>
  </r>
  <r>
    <n v="45396"/>
    <x v="750"/>
    <x v="24"/>
    <x v="0"/>
    <x v="3"/>
    <s v="Acco 3-Hole Punch"/>
    <x v="4441"/>
    <n v="2"/>
    <n v="4.2"/>
    <x v="3"/>
    <x v="3"/>
  </r>
  <r>
    <n v="45396"/>
    <x v="349"/>
    <x v="20"/>
    <x v="0"/>
    <x v="3"/>
    <s v="Avery Non-Stick Binders"/>
    <x v="1142"/>
    <n v="3"/>
    <n v="3.5"/>
    <x v="3"/>
    <x v="3"/>
  </r>
  <r>
    <n v="45396"/>
    <x v="349"/>
    <x v="20"/>
    <x v="1"/>
    <x v="11"/>
    <s v="Bush Westfield Collection Bookcases, Fully Assembled"/>
    <x v="1554"/>
    <n v="3"/>
    <n v="9.09"/>
    <x v="3"/>
    <x v="3"/>
  </r>
  <r>
    <n v="45396"/>
    <x v="360"/>
    <x v="25"/>
    <x v="1"/>
    <x v="11"/>
    <s v="Sauder Cornerstone Collection Library"/>
    <x v="1967"/>
    <n v="8"/>
    <n v="-32.22"/>
    <x v="3"/>
    <x v="3"/>
  </r>
  <r>
    <n v="45396"/>
    <x v="312"/>
    <x v="23"/>
    <x v="1"/>
    <x v="8"/>
    <s v="Tensor Computer Mounted Lamp"/>
    <x v="4442"/>
    <n v="5"/>
    <n v="20.100000000000001"/>
    <x v="3"/>
    <x v="3"/>
  </r>
  <r>
    <n v="45397"/>
    <x v="182"/>
    <x v="25"/>
    <x v="0"/>
    <x v="0"/>
    <s v="Xerox 1967"/>
    <x v="143"/>
    <n v="3"/>
    <n v="5.44"/>
    <x v="3"/>
    <x v="3"/>
  </r>
  <r>
    <n v="45397"/>
    <x v="489"/>
    <x v="6"/>
    <x v="0"/>
    <x v="4"/>
    <s v="Faber Castell Col-Erase Pencils"/>
    <x v="4443"/>
    <n v="1"/>
    <n v="2"/>
    <x v="3"/>
    <x v="3"/>
  </r>
  <r>
    <n v="45397"/>
    <x v="512"/>
    <x v="17"/>
    <x v="1"/>
    <x v="8"/>
    <s v="Howard Miller 12&quot; Round Wall Clock"/>
    <x v="4444"/>
    <n v="5"/>
    <n v="70.72"/>
    <x v="3"/>
    <x v="3"/>
  </r>
  <r>
    <n v="45397"/>
    <x v="270"/>
    <x v="3"/>
    <x v="0"/>
    <x v="0"/>
    <s v="Xerox 1883"/>
    <x v="545"/>
    <n v="3"/>
    <n v="36.4"/>
    <x v="3"/>
    <x v="3"/>
  </r>
  <r>
    <n v="45397"/>
    <x v="26"/>
    <x v="0"/>
    <x v="0"/>
    <x v="0"/>
    <s v="Xerox 207"/>
    <x v="1315"/>
    <n v="4"/>
    <n v="7.26"/>
    <x v="3"/>
    <x v="3"/>
  </r>
  <r>
    <n v="45397"/>
    <x v="244"/>
    <x v="16"/>
    <x v="0"/>
    <x v="3"/>
    <s v="VariCap6 Expandable Binder"/>
    <x v="4445"/>
    <n v="3"/>
    <n v="-11.94"/>
    <x v="3"/>
    <x v="3"/>
  </r>
  <r>
    <n v="45398"/>
    <x v="485"/>
    <x v="1"/>
    <x v="0"/>
    <x v="4"/>
    <s v="Newell 325"/>
    <x v="356"/>
    <n v="5"/>
    <n v="2.0699999999999998"/>
    <x v="3"/>
    <x v="3"/>
  </r>
  <r>
    <n v="45398"/>
    <x v="503"/>
    <x v="10"/>
    <x v="0"/>
    <x v="3"/>
    <s v="SpineVue Locking Slant-D Ring Binders by Cardinal"/>
    <x v="4195"/>
    <n v="5"/>
    <n v="-10.050000000000001"/>
    <x v="3"/>
    <x v="3"/>
  </r>
  <r>
    <n v="45398"/>
    <x v="264"/>
    <x v="3"/>
    <x v="0"/>
    <x v="2"/>
    <s v="Belkin 19&quot; Vented Equipment Shelf, Black"/>
    <x v="4446"/>
    <n v="4"/>
    <n v="2.06"/>
    <x v="3"/>
    <x v="3"/>
  </r>
  <r>
    <n v="45398"/>
    <x v="264"/>
    <x v="3"/>
    <x v="1"/>
    <x v="11"/>
    <s v="O'Sullivan Living Dimensions 2-Shelf Bookcases"/>
    <x v="4447"/>
    <n v="1"/>
    <n v="-6.05"/>
    <x v="3"/>
    <x v="3"/>
  </r>
  <r>
    <n v="45398"/>
    <x v="615"/>
    <x v="33"/>
    <x v="0"/>
    <x v="14"/>
    <s v="Compact Automatic Electric Letter Opener"/>
    <x v="4448"/>
    <n v="4"/>
    <n v="9.5399999999999991"/>
    <x v="3"/>
    <x v="3"/>
  </r>
  <r>
    <n v="45398"/>
    <x v="615"/>
    <x v="33"/>
    <x v="2"/>
    <x v="9"/>
    <s v="SanDisk Ultra 16 GB MicroSDHC Class 10 Memory Card"/>
    <x v="679"/>
    <n v="2"/>
    <n v="1.56"/>
    <x v="3"/>
    <x v="3"/>
  </r>
  <r>
    <n v="45398"/>
    <x v="11"/>
    <x v="0"/>
    <x v="0"/>
    <x v="3"/>
    <s v="Satellite Sectional Post Binders"/>
    <x v="1259"/>
    <n v="3"/>
    <n v="-44.28"/>
    <x v="3"/>
    <x v="3"/>
  </r>
  <r>
    <n v="45398"/>
    <x v="11"/>
    <x v="0"/>
    <x v="0"/>
    <x v="3"/>
    <s v="GBC White Gloss Covers, Plain Front"/>
    <x v="1510"/>
    <n v="1"/>
    <n v="-4.78"/>
    <x v="3"/>
    <x v="3"/>
  </r>
  <r>
    <n v="45398"/>
    <x v="11"/>
    <x v="0"/>
    <x v="0"/>
    <x v="2"/>
    <s v="Tennsco Commercial Shelving"/>
    <x v="3110"/>
    <n v="2"/>
    <n v="-7.73"/>
    <x v="3"/>
    <x v="3"/>
  </r>
  <r>
    <n v="45398"/>
    <x v="618"/>
    <x v="3"/>
    <x v="0"/>
    <x v="12"/>
    <s v="Hoover Commercial SteamVac"/>
    <x v="1854"/>
    <n v="3"/>
    <n v="12.22"/>
    <x v="3"/>
    <x v="3"/>
  </r>
  <r>
    <n v="45399"/>
    <x v="253"/>
    <x v="26"/>
    <x v="0"/>
    <x v="3"/>
    <s v="Insertable Tab Post Binder Dividers"/>
    <x v="2275"/>
    <n v="5"/>
    <n v="-9.2200000000000006"/>
    <x v="3"/>
    <x v="3"/>
  </r>
  <r>
    <n v="45399"/>
    <x v="253"/>
    <x v="26"/>
    <x v="2"/>
    <x v="15"/>
    <s v="Lexmark MX611dhe Monochrome Laser Printer"/>
    <x v="4449"/>
    <n v="5"/>
    <n v="-3399.98"/>
    <x v="3"/>
    <x v="3"/>
  </r>
  <r>
    <n v="45399"/>
    <x v="253"/>
    <x v="26"/>
    <x v="0"/>
    <x v="3"/>
    <s v="GBC VeloBinder Manual Binding System"/>
    <x v="4450"/>
    <n v="2"/>
    <n v="-15.84"/>
    <x v="3"/>
    <x v="3"/>
  </r>
  <r>
    <n v="45399"/>
    <x v="253"/>
    <x v="26"/>
    <x v="0"/>
    <x v="3"/>
    <s v="Cardinal Holdit Business Card Pockets"/>
    <x v="307"/>
    <n v="6"/>
    <n v="-6.57"/>
    <x v="3"/>
    <x v="3"/>
  </r>
  <r>
    <n v="45399"/>
    <x v="253"/>
    <x v="26"/>
    <x v="0"/>
    <x v="0"/>
    <s v="Xerox 225"/>
    <x v="1315"/>
    <n v="4"/>
    <n v="7.26"/>
    <x v="3"/>
    <x v="3"/>
  </r>
  <r>
    <n v="45399"/>
    <x v="100"/>
    <x v="2"/>
    <x v="1"/>
    <x v="8"/>
    <s v="Eldon Executive Woodline II Desk Accessories, Mahogany"/>
    <x v="1342"/>
    <n v="3"/>
    <n v="5.28"/>
    <x v="3"/>
    <x v="3"/>
  </r>
  <r>
    <n v="45399"/>
    <x v="255"/>
    <x v="3"/>
    <x v="0"/>
    <x v="0"/>
    <s v="Rediform S.O.S. 1-Up Phone Message Bk, 4-1/4x3-1/16 Bk, 1 Form/Pg, 40 Messages/Bk, 3/Pk"/>
    <x v="3924"/>
    <n v="3"/>
    <n v="13.51"/>
    <x v="3"/>
    <x v="3"/>
  </r>
  <r>
    <n v="45399"/>
    <x v="255"/>
    <x v="3"/>
    <x v="0"/>
    <x v="1"/>
    <s v="Avery 517"/>
    <x v="1764"/>
    <n v="2"/>
    <n v="3.47"/>
    <x v="3"/>
    <x v="3"/>
  </r>
  <r>
    <n v="45399"/>
    <x v="255"/>
    <x v="3"/>
    <x v="0"/>
    <x v="7"/>
    <s v="Stockwell Push Pins"/>
    <x v="389"/>
    <n v="5"/>
    <n v="3.6"/>
    <x v="3"/>
    <x v="3"/>
  </r>
  <r>
    <n v="45399"/>
    <x v="255"/>
    <x v="3"/>
    <x v="2"/>
    <x v="9"/>
    <s v="Logitech Wireless Touch Keyboard K400"/>
    <x v="4451"/>
    <n v="11"/>
    <n v="46.73"/>
    <x v="3"/>
    <x v="3"/>
  </r>
  <r>
    <n v="45399"/>
    <x v="255"/>
    <x v="3"/>
    <x v="0"/>
    <x v="1"/>
    <s v="Avery 474"/>
    <x v="2217"/>
    <n v="8"/>
    <n v="11.29"/>
    <x v="3"/>
    <x v="3"/>
  </r>
  <r>
    <n v="45399"/>
    <x v="255"/>
    <x v="3"/>
    <x v="1"/>
    <x v="5"/>
    <s v="Global Wood Trimmed Manager's Task Chair, Khaki"/>
    <x v="1584"/>
    <n v="3"/>
    <n v="-19.11"/>
    <x v="3"/>
    <x v="3"/>
  </r>
  <r>
    <n v="45399"/>
    <x v="688"/>
    <x v="1"/>
    <x v="0"/>
    <x v="2"/>
    <s v="Carina Media Storage Towers in Natural &amp; Black"/>
    <x v="807"/>
    <n v="4"/>
    <n v="-43.91"/>
    <x v="3"/>
    <x v="3"/>
  </r>
  <r>
    <n v="45402"/>
    <x v="694"/>
    <x v="1"/>
    <x v="1"/>
    <x v="8"/>
    <s v="Eldon Cleatmat Chair Mats for Medium Pile Carpets"/>
    <x v="255"/>
    <n v="2"/>
    <n v="-52.17"/>
    <x v="3"/>
    <x v="3"/>
  </r>
  <r>
    <n v="45402"/>
    <x v="755"/>
    <x v="2"/>
    <x v="1"/>
    <x v="8"/>
    <s v="Computer Room Manger, 14&quot;"/>
    <x v="1552"/>
    <n v="2"/>
    <n v="10.39"/>
    <x v="3"/>
    <x v="3"/>
  </r>
  <r>
    <n v="45402"/>
    <x v="755"/>
    <x v="2"/>
    <x v="0"/>
    <x v="2"/>
    <s v="Sortfiler Multipurpose Personal File Organizer, Black"/>
    <x v="4452"/>
    <n v="3"/>
    <n v="5.78"/>
    <x v="3"/>
    <x v="3"/>
  </r>
  <r>
    <n v="45402"/>
    <x v="755"/>
    <x v="2"/>
    <x v="0"/>
    <x v="2"/>
    <s v="Deluxe Rollaway Locking File with Drawer"/>
    <x v="4453"/>
    <n v="1"/>
    <n v="33.270000000000003"/>
    <x v="3"/>
    <x v="3"/>
  </r>
  <r>
    <n v="45402"/>
    <x v="755"/>
    <x v="2"/>
    <x v="1"/>
    <x v="8"/>
    <s v="Executive Impressions 12&quot; Wall Clock"/>
    <x v="4454"/>
    <n v="3"/>
    <n v="9.5399999999999991"/>
    <x v="3"/>
    <x v="3"/>
  </r>
  <r>
    <n v="45402"/>
    <x v="605"/>
    <x v="1"/>
    <x v="1"/>
    <x v="5"/>
    <s v="DMI Arturo Collection Mission-style Design Wood Chair"/>
    <x v="346"/>
    <n v="3"/>
    <n v="-18.12"/>
    <x v="3"/>
    <x v="3"/>
  </r>
  <r>
    <n v="45402"/>
    <x v="605"/>
    <x v="1"/>
    <x v="0"/>
    <x v="4"/>
    <s v="Lumber Crayons"/>
    <x v="2396"/>
    <n v="2"/>
    <n v="3.55"/>
    <x v="3"/>
    <x v="3"/>
  </r>
  <r>
    <n v="45402"/>
    <x v="605"/>
    <x v="1"/>
    <x v="1"/>
    <x v="8"/>
    <s v="Master Caster Door Stop, Large Neon Orange"/>
    <x v="93"/>
    <n v="5"/>
    <n v="-6.19"/>
    <x v="3"/>
    <x v="3"/>
  </r>
  <r>
    <n v="45402"/>
    <x v="107"/>
    <x v="14"/>
    <x v="0"/>
    <x v="3"/>
    <s v="Premium Transparent Presentation Covers by GBC"/>
    <x v="4455"/>
    <n v="7"/>
    <n v="70.489999999999995"/>
    <x v="3"/>
    <x v="3"/>
  </r>
  <r>
    <n v="45402"/>
    <x v="107"/>
    <x v="14"/>
    <x v="0"/>
    <x v="3"/>
    <s v="Cardinal EasyOpen D-Ring Binders"/>
    <x v="3394"/>
    <n v="4"/>
    <n v="18.28"/>
    <x v="3"/>
    <x v="3"/>
  </r>
  <r>
    <n v="45402"/>
    <x v="671"/>
    <x v="10"/>
    <x v="0"/>
    <x v="2"/>
    <s v="Tennsco 6- and 18-Compartment Lockers"/>
    <x v="4456"/>
    <n v="4"/>
    <n v="-21.21"/>
    <x v="3"/>
    <x v="3"/>
  </r>
  <r>
    <n v="45402"/>
    <x v="671"/>
    <x v="10"/>
    <x v="0"/>
    <x v="3"/>
    <s v="Wilson Jones Clip &amp; Carry Folder Binder Tool for Ring Binders, Clear"/>
    <x v="682"/>
    <n v="5"/>
    <n v="-6.38"/>
    <x v="3"/>
    <x v="3"/>
  </r>
  <r>
    <n v="45402"/>
    <x v="671"/>
    <x v="10"/>
    <x v="2"/>
    <x v="6"/>
    <s v="Avaya 5410 Digital phone"/>
    <x v="3289"/>
    <n v="3"/>
    <n v="-24.48"/>
    <x v="3"/>
    <x v="3"/>
  </r>
  <r>
    <n v="45403"/>
    <x v="373"/>
    <x v="0"/>
    <x v="0"/>
    <x v="12"/>
    <s v="Acco 7-Outlet Masterpiece Power Center, Wihtout Fax/Phone Line Protection"/>
    <x v="4457"/>
    <n v="4"/>
    <n v="-243.16"/>
    <x v="3"/>
    <x v="3"/>
  </r>
  <r>
    <n v="45403"/>
    <x v="218"/>
    <x v="0"/>
    <x v="0"/>
    <x v="3"/>
    <s v="Avery Non-Stick Binders"/>
    <x v="345"/>
    <n v="3"/>
    <n v="-4.71"/>
    <x v="3"/>
    <x v="3"/>
  </r>
  <r>
    <n v="45403"/>
    <x v="218"/>
    <x v="0"/>
    <x v="0"/>
    <x v="3"/>
    <s v="UniKeep View Case Binders"/>
    <x v="1688"/>
    <n v="3"/>
    <n v="-4.99"/>
    <x v="3"/>
    <x v="3"/>
  </r>
  <r>
    <n v="45403"/>
    <x v="677"/>
    <x v="22"/>
    <x v="2"/>
    <x v="9"/>
    <s v="Verbatim Slim CD and DVD Storage Cases, 50/Pack"/>
    <x v="4458"/>
    <n v="1"/>
    <n v="3.46"/>
    <x v="3"/>
    <x v="3"/>
  </r>
  <r>
    <n v="45403"/>
    <x v="677"/>
    <x v="22"/>
    <x v="1"/>
    <x v="8"/>
    <s v="Eldon Advantage Foldable Chair Mats for Low Pile Carpets"/>
    <x v="4459"/>
    <n v="3"/>
    <n v="34.15"/>
    <x v="3"/>
    <x v="3"/>
  </r>
  <r>
    <n v="45403"/>
    <x v="744"/>
    <x v="36"/>
    <x v="1"/>
    <x v="5"/>
    <s v="Global Fabric Manager's Chair, Dark Gray"/>
    <x v="4460"/>
    <n v="9"/>
    <n v="227.21"/>
    <x v="3"/>
    <x v="3"/>
  </r>
  <r>
    <n v="45403"/>
    <x v="549"/>
    <x v="0"/>
    <x v="2"/>
    <x v="9"/>
    <s v="LogitechÂ LS21 Speaker System - PC Multimedia - 2.1-CH - Wired"/>
    <x v="972"/>
    <n v="3"/>
    <n v="8.4"/>
    <x v="3"/>
    <x v="3"/>
  </r>
  <r>
    <n v="45403"/>
    <x v="549"/>
    <x v="0"/>
    <x v="0"/>
    <x v="0"/>
    <s v="Xerox 230"/>
    <x v="1315"/>
    <n v="4"/>
    <n v="7.26"/>
    <x v="3"/>
    <x v="3"/>
  </r>
  <r>
    <n v="45404"/>
    <x v="95"/>
    <x v="3"/>
    <x v="1"/>
    <x v="8"/>
    <s v="Eldon Stackable Tray, Side-Load, Legal, Smoke"/>
    <x v="645"/>
    <n v="2"/>
    <n v="6.22"/>
    <x v="3"/>
    <x v="3"/>
  </r>
  <r>
    <n v="45404"/>
    <x v="690"/>
    <x v="2"/>
    <x v="1"/>
    <x v="8"/>
    <s v="Tenex 46&quot; x 60&quot; Computer Anti-Static Chairmat, Rectangular Shaped"/>
    <x v="2261"/>
    <n v="3"/>
    <n v="0"/>
    <x v="3"/>
    <x v="3"/>
  </r>
  <r>
    <n v="45404"/>
    <x v="664"/>
    <x v="4"/>
    <x v="0"/>
    <x v="2"/>
    <s v="Tennsco Double-Tier Lockers"/>
    <x v="4461"/>
    <n v="3"/>
    <n v="87.76"/>
    <x v="3"/>
    <x v="3"/>
  </r>
  <r>
    <n v="45405"/>
    <x v="779"/>
    <x v="20"/>
    <x v="0"/>
    <x v="12"/>
    <s v="Tripp Lite Isotel 6 Outlet Surge Protector with Fax/Modem Protection"/>
    <x v="4462"/>
    <n v="2"/>
    <n v="35.36"/>
    <x v="3"/>
    <x v="3"/>
  </r>
  <r>
    <n v="45405"/>
    <x v="779"/>
    <x v="20"/>
    <x v="0"/>
    <x v="14"/>
    <s v="Acme 10&quot; Easy Grip Assistive Scissors"/>
    <x v="4463"/>
    <n v="7"/>
    <n v="36.81"/>
    <x v="3"/>
    <x v="3"/>
  </r>
  <r>
    <n v="45405"/>
    <x v="573"/>
    <x v="18"/>
    <x v="2"/>
    <x v="9"/>
    <s v="TRENDnet 56K USB 2.0 Phone, Internet and Fax Modem"/>
    <x v="4464"/>
    <n v="6"/>
    <n v="55.92"/>
    <x v="3"/>
    <x v="3"/>
  </r>
  <r>
    <n v="45405"/>
    <x v="210"/>
    <x v="20"/>
    <x v="0"/>
    <x v="14"/>
    <s v="Fiskars Softgrip Scissors"/>
    <x v="3197"/>
    <n v="5"/>
    <n v="15.37"/>
    <x v="3"/>
    <x v="3"/>
  </r>
  <r>
    <n v="45405"/>
    <x v="480"/>
    <x v="10"/>
    <x v="0"/>
    <x v="3"/>
    <s v="XtraLife ClearVue Slant-D Ring Binders by Cardinal"/>
    <x v="1562"/>
    <n v="5"/>
    <n v="-7.84"/>
    <x v="3"/>
    <x v="3"/>
  </r>
  <r>
    <n v="45405"/>
    <x v="480"/>
    <x v="10"/>
    <x v="0"/>
    <x v="0"/>
    <s v="Xerox 195"/>
    <x v="373"/>
    <n v="1"/>
    <n v="1.87"/>
    <x v="3"/>
    <x v="3"/>
  </r>
  <r>
    <n v="45405"/>
    <x v="705"/>
    <x v="3"/>
    <x v="1"/>
    <x v="8"/>
    <s v="DAX Two-Tone Rosewood/Black Document Frame, Desktop, 5 x 7"/>
    <x v="2415"/>
    <n v="7"/>
    <n v="26.54"/>
    <x v="3"/>
    <x v="3"/>
  </r>
  <r>
    <n v="45405"/>
    <x v="705"/>
    <x v="3"/>
    <x v="0"/>
    <x v="3"/>
    <s v="GBC Durable Plastic Covers"/>
    <x v="4465"/>
    <n v="6"/>
    <n v="30.19"/>
    <x v="3"/>
    <x v="3"/>
  </r>
  <r>
    <n v="45405"/>
    <x v="705"/>
    <x v="3"/>
    <x v="1"/>
    <x v="8"/>
    <s v="Eldon 500 Class Desk Accessories"/>
    <x v="4466"/>
    <n v="2"/>
    <n v="7.97"/>
    <x v="3"/>
    <x v="3"/>
  </r>
  <r>
    <n v="45405"/>
    <x v="672"/>
    <x v="15"/>
    <x v="1"/>
    <x v="11"/>
    <s v="O'Sullivan 4-Shelf Bookcase in Odessa Pine"/>
    <x v="2605"/>
    <n v="4"/>
    <n v="-14.52"/>
    <x v="3"/>
    <x v="3"/>
  </r>
  <r>
    <n v="45405"/>
    <x v="672"/>
    <x v="15"/>
    <x v="2"/>
    <x v="9"/>
    <s v="Maxell 4.7GB DVD-R"/>
    <x v="4467"/>
    <n v="2"/>
    <n v="11.92"/>
    <x v="3"/>
    <x v="3"/>
  </r>
  <r>
    <n v="45405"/>
    <x v="672"/>
    <x v="15"/>
    <x v="1"/>
    <x v="8"/>
    <s v="Tenex Chairmats For Use with Hard Floors"/>
    <x v="2793"/>
    <n v="3"/>
    <n v="-11.69"/>
    <x v="3"/>
    <x v="3"/>
  </r>
  <r>
    <n v="45405"/>
    <x v="672"/>
    <x v="15"/>
    <x v="0"/>
    <x v="1"/>
    <s v="Avery 496"/>
    <x v="3711"/>
    <n v="1"/>
    <n v="1.05"/>
    <x v="3"/>
    <x v="3"/>
  </r>
  <r>
    <n v="45405"/>
    <x v="703"/>
    <x v="26"/>
    <x v="0"/>
    <x v="10"/>
    <s v="Staple envelope"/>
    <x v="3007"/>
    <n v="2"/>
    <n v="7.01"/>
    <x v="3"/>
    <x v="3"/>
  </r>
  <r>
    <n v="45405"/>
    <x v="703"/>
    <x v="26"/>
    <x v="1"/>
    <x v="8"/>
    <s v="Eldon ImÃ ge Series Desk Accessories, Clear"/>
    <x v="4468"/>
    <n v="3"/>
    <n v="3.35"/>
    <x v="3"/>
    <x v="3"/>
  </r>
  <r>
    <n v="45406"/>
    <x v="105"/>
    <x v="2"/>
    <x v="0"/>
    <x v="12"/>
    <s v="Acco Smartsocket Table Surge Protector, 6 Color-Coded Adapter Outlets"/>
    <x v="4469"/>
    <n v="2"/>
    <n v="12.41"/>
    <x v="3"/>
    <x v="3"/>
  </r>
  <r>
    <n v="45406"/>
    <x v="105"/>
    <x v="2"/>
    <x v="0"/>
    <x v="3"/>
    <s v="Avery Reinforcements for Hole-Punch Pages"/>
    <x v="3965"/>
    <n v="2"/>
    <n v="-0.99"/>
    <x v="3"/>
    <x v="3"/>
  </r>
  <r>
    <n v="45406"/>
    <x v="105"/>
    <x v="2"/>
    <x v="0"/>
    <x v="3"/>
    <s v="GBC ProClick Spines for 32-Hole Punch"/>
    <x v="1206"/>
    <n v="2"/>
    <n v="-5.76"/>
    <x v="3"/>
    <x v="3"/>
  </r>
  <r>
    <n v="45406"/>
    <x v="85"/>
    <x v="16"/>
    <x v="0"/>
    <x v="2"/>
    <s v="Sensible Storage WireTech Storage Systems"/>
    <x v="3986"/>
    <n v="2"/>
    <n v="-21.29"/>
    <x v="3"/>
    <x v="3"/>
  </r>
  <r>
    <n v="45406"/>
    <x v="588"/>
    <x v="3"/>
    <x v="0"/>
    <x v="7"/>
    <s v="Colored Push Pins"/>
    <x v="3609"/>
    <n v="1"/>
    <n v="0.65"/>
    <x v="3"/>
    <x v="3"/>
  </r>
  <r>
    <n v="45406"/>
    <x v="743"/>
    <x v="12"/>
    <x v="2"/>
    <x v="6"/>
    <s v="AT&amp;T 841000 Phone"/>
    <x v="4470"/>
    <n v="10"/>
    <n v="34.5"/>
    <x v="3"/>
    <x v="3"/>
  </r>
  <r>
    <n v="45406"/>
    <x v="637"/>
    <x v="43"/>
    <x v="2"/>
    <x v="9"/>
    <s v="V7 USB Numeric Keypad"/>
    <x v="2964"/>
    <n v="2"/>
    <n v="4.9000000000000004"/>
    <x v="3"/>
    <x v="3"/>
  </r>
  <r>
    <n v="45406"/>
    <x v="721"/>
    <x v="1"/>
    <x v="0"/>
    <x v="3"/>
    <s v="Acco Data Flex Cable Posts For Top &amp; Bottom Load Binders, 6&quot; Capacity"/>
    <x v="15"/>
    <n v="5"/>
    <n v="-18.25"/>
    <x v="3"/>
    <x v="3"/>
  </r>
  <r>
    <n v="45406"/>
    <x v="721"/>
    <x v="1"/>
    <x v="0"/>
    <x v="2"/>
    <s v="Safco Industrial Wire Shelving System"/>
    <x v="1914"/>
    <n v="1"/>
    <n v="-18.2"/>
    <x v="3"/>
    <x v="3"/>
  </r>
  <r>
    <n v="45407"/>
    <x v="2"/>
    <x v="3"/>
    <x v="0"/>
    <x v="3"/>
    <s v="Cardinal Slant-D Ring Binder, Heavy Gauge Vinyl"/>
    <x v="670"/>
    <n v="2"/>
    <n v="4.5199999999999996"/>
    <x v="3"/>
    <x v="3"/>
  </r>
  <r>
    <n v="45407"/>
    <x v="672"/>
    <x v="15"/>
    <x v="0"/>
    <x v="4"/>
    <s v="Newell 312"/>
    <x v="1835"/>
    <n v="9"/>
    <n v="5.26"/>
    <x v="3"/>
    <x v="3"/>
  </r>
  <r>
    <n v="45407"/>
    <x v="672"/>
    <x v="15"/>
    <x v="0"/>
    <x v="4"/>
    <s v="Stanley Bostitch Contemporary Electric Pencil Sharpeners"/>
    <x v="4471"/>
    <n v="5"/>
    <n v="6.79"/>
    <x v="3"/>
    <x v="3"/>
  </r>
  <r>
    <n v="45407"/>
    <x v="420"/>
    <x v="12"/>
    <x v="0"/>
    <x v="4"/>
    <s v="Newell 318"/>
    <x v="3163"/>
    <n v="4"/>
    <n v="0.67"/>
    <x v="3"/>
    <x v="3"/>
  </r>
  <r>
    <n v="45407"/>
    <x v="172"/>
    <x v="3"/>
    <x v="0"/>
    <x v="0"/>
    <s v="Telephone Message Books with Fax/Mobile Section, 5 1/2&quot; x 3 3/16&quot;"/>
    <x v="53"/>
    <n v="3"/>
    <n v="8.76"/>
    <x v="3"/>
    <x v="3"/>
  </r>
  <r>
    <n v="45407"/>
    <x v="172"/>
    <x v="3"/>
    <x v="0"/>
    <x v="3"/>
    <s v="Surelock Post Binders"/>
    <x v="4472"/>
    <n v="3"/>
    <n v="27.5"/>
    <x v="3"/>
    <x v="3"/>
  </r>
  <r>
    <n v="45407"/>
    <x v="25"/>
    <x v="3"/>
    <x v="2"/>
    <x v="9"/>
    <s v="Sony 64GB Class 10 Micro SDHC R40 Memory Card"/>
    <x v="2752"/>
    <n v="3"/>
    <n v="22.67"/>
    <x v="3"/>
    <x v="3"/>
  </r>
  <r>
    <n v="45407"/>
    <x v="556"/>
    <x v="3"/>
    <x v="1"/>
    <x v="11"/>
    <s v="Bush Westfield Collection Bookcases, Medium Cherry Finish"/>
    <x v="4473"/>
    <n v="7"/>
    <n v="28.41"/>
    <x v="3"/>
    <x v="3"/>
  </r>
  <r>
    <n v="45408"/>
    <x v="768"/>
    <x v="0"/>
    <x v="1"/>
    <x v="8"/>
    <s v="DAX Value U-Channel Document Frames, Easel Back"/>
    <x v="4474"/>
    <n v="1"/>
    <n v="-1.44"/>
    <x v="3"/>
    <x v="3"/>
  </r>
  <r>
    <n v="45408"/>
    <x v="675"/>
    <x v="22"/>
    <x v="0"/>
    <x v="0"/>
    <s v="Strathmore Photo Mount Cards"/>
    <x v="1579"/>
    <n v="3"/>
    <n v="9.36"/>
    <x v="3"/>
    <x v="3"/>
  </r>
  <r>
    <n v="45408"/>
    <x v="675"/>
    <x v="22"/>
    <x v="0"/>
    <x v="1"/>
    <s v="Avery 478"/>
    <x v="4475"/>
    <n v="8"/>
    <n v="19.25"/>
    <x v="3"/>
    <x v="3"/>
  </r>
  <r>
    <n v="45409"/>
    <x v="755"/>
    <x v="0"/>
    <x v="0"/>
    <x v="1"/>
    <s v="Avery Address/Shipping Labels for Typewriters, 4&quot; x 2&quot;"/>
    <x v="4476"/>
    <n v="4"/>
    <n v="11.59"/>
    <x v="3"/>
    <x v="3"/>
  </r>
  <r>
    <n v="45409"/>
    <x v="755"/>
    <x v="0"/>
    <x v="1"/>
    <x v="11"/>
    <s v="Sauder Barrister Bookcases"/>
    <x v="4477"/>
    <n v="4"/>
    <n v="-42.11"/>
    <x v="3"/>
    <x v="3"/>
  </r>
  <r>
    <n v="45409"/>
    <x v="358"/>
    <x v="3"/>
    <x v="0"/>
    <x v="4"/>
    <s v="Boston School Pro Electric Pencil Sharpener, 1670"/>
    <x v="1099"/>
    <n v="4"/>
    <n v="33.46"/>
    <x v="3"/>
    <x v="3"/>
  </r>
  <r>
    <n v="45409"/>
    <x v="358"/>
    <x v="3"/>
    <x v="0"/>
    <x v="4"/>
    <s v="Newell Chalk Holder"/>
    <x v="1192"/>
    <n v="3"/>
    <n v="5.7"/>
    <x v="3"/>
    <x v="3"/>
  </r>
  <r>
    <n v="45409"/>
    <x v="358"/>
    <x v="3"/>
    <x v="0"/>
    <x v="4"/>
    <s v="Boston Home &amp; Office Model 2000 Electric Pencil Sharpeners"/>
    <x v="1545"/>
    <n v="2"/>
    <n v="12.3"/>
    <x v="3"/>
    <x v="3"/>
  </r>
  <r>
    <n v="45409"/>
    <x v="700"/>
    <x v="22"/>
    <x v="1"/>
    <x v="8"/>
    <s v="Luxo Economy Swing Arm Lamp"/>
    <x v="4478"/>
    <n v="7"/>
    <n v="39.08"/>
    <x v="3"/>
    <x v="3"/>
  </r>
  <r>
    <n v="45410"/>
    <x v="91"/>
    <x v="2"/>
    <x v="0"/>
    <x v="2"/>
    <s v="Sterilite Officeware Hinged File Box"/>
    <x v="1243"/>
    <n v="1"/>
    <n v="0.73"/>
    <x v="3"/>
    <x v="3"/>
  </r>
  <r>
    <n v="45410"/>
    <x v="91"/>
    <x v="2"/>
    <x v="0"/>
    <x v="4"/>
    <s v="Newell 341"/>
    <x v="966"/>
    <n v="2"/>
    <n v="0.77"/>
    <x v="3"/>
    <x v="3"/>
  </r>
  <r>
    <n v="45410"/>
    <x v="304"/>
    <x v="25"/>
    <x v="0"/>
    <x v="12"/>
    <s v="Harmony HEPA Quiet Air Purifiers"/>
    <x v="4479"/>
    <n v="3"/>
    <n v="5.27"/>
    <x v="3"/>
    <x v="3"/>
  </r>
  <r>
    <n v="45410"/>
    <x v="219"/>
    <x v="16"/>
    <x v="2"/>
    <x v="6"/>
    <s v="Samsung Galaxy S4 Mini"/>
    <x v="4480"/>
    <n v="2"/>
    <n v="84.6"/>
    <x v="3"/>
    <x v="3"/>
  </r>
  <r>
    <n v="45411"/>
    <x v="76"/>
    <x v="10"/>
    <x v="1"/>
    <x v="13"/>
    <s v="SAFCO PlanMaster Heigh-Adjustable Drafting Table Base, 43w x 30d x 30-37h, Black"/>
    <x v="4481"/>
    <n v="5"/>
    <n v="-69.89"/>
    <x v="3"/>
    <x v="3"/>
  </r>
  <r>
    <n v="45411"/>
    <x v="73"/>
    <x v="23"/>
    <x v="0"/>
    <x v="1"/>
    <s v="Color-Coded Legal Exhibit Labels"/>
    <x v="3732"/>
    <n v="1"/>
    <n v="2.41"/>
    <x v="3"/>
    <x v="3"/>
  </r>
  <r>
    <n v="45412"/>
    <x v="729"/>
    <x v="20"/>
    <x v="0"/>
    <x v="10"/>
    <s v="#10-4 1/8&quot; x 9 1/2&quot; Premium Diagonal Seam Envelopes"/>
    <x v="3030"/>
    <n v="4"/>
    <n v="28.33"/>
    <x v="3"/>
    <x v="3"/>
  </r>
  <r>
    <n v="45412"/>
    <x v="87"/>
    <x v="2"/>
    <x v="2"/>
    <x v="6"/>
    <s v="Polycom SoundPoint IP 450 VoIP phone"/>
    <x v="4399"/>
    <n v="5"/>
    <n v="-158.1"/>
    <x v="3"/>
    <x v="3"/>
  </r>
  <r>
    <n v="45412"/>
    <x v="87"/>
    <x v="2"/>
    <x v="0"/>
    <x v="3"/>
    <s v="GBC VeloBind Cover Sets"/>
    <x v="670"/>
    <n v="3"/>
    <n v="-9.26"/>
    <x v="3"/>
    <x v="3"/>
  </r>
  <r>
    <n v="45412"/>
    <x v="326"/>
    <x v="16"/>
    <x v="0"/>
    <x v="1"/>
    <s v="Avery 474"/>
    <x v="1012"/>
    <n v="2"/>
    <n v="1.67"/>
    <x v="3"/>
    <x v="3"/>
  </r>
  <r>
    <n v="45412"/>
    <x v="326"/>
    <x v="16"/>
    <x v="0"/>
    <x v="4"/>
    <s v="Staples in misc. colors"/>
    <x v="4076"/>
    <n v="3"/>
    <n v="4.8499999999999996"/>
    <x v="3"/>
    <x v="3"/>
  </r>
  <r>
    <n v="45412"/>
    <x v="326"/>
    <x v="16"/>
    <x v="0"/>
    <x v="1"/>
    <s v="Avery 499"/>
    <x v="1177"/>
    <n v="3"/>
    <n v="3.88"/>
    <x v="3"/>
    <x v="3"/>
  </r>
  <r>
    <n v="45412"/>
    <x v="531"/>
    <x v="16"/>
    <x v="1"/>
    <x v="8"/>
    <s v="3M Hangers With Command Adhesive"/>
    <x v="1379"/>
    <n v="8"/>
    <n v="6.22"/>
    <x v="3"/>
    <x v="3"/>
  </r>
  <r>
    <n v="45412"/>
    <x v="531"/>
    <x v="16"/>
    <x v="2"/>
    <x v="9"/>
    <s v="Maxell 4.7GB DVD+R 5/Pack"/>
    <x v="2039"/>
    <n v="3"/>
    <n v="0.74"/>
    <x v="3"/>
    <x v="3"/>
  </r>
  <r>
    <n v="45412"/>
    <x v="467"/>
    <x v="10"/>
    <x v="0"/>
    <x v="0"/>
    <s v="Xerox 222"/>
    <x v="320"/>
    <n v="2"/>
    <n v="3.63"/>
    <x v="3"/>
    <x v="3"/>
  </r>
  <r>
    <n v="45412"/>
    <x v="685"/>
    <x v="37"/>
    <x v="0"/>
    <x v="1"/>
    <s v="Avery 5"/>
    <x v="1235"/>
    <n v="2"/>
    <n v="2.82"/>
    <x v="3"/>
    <x v="3"/>
  </r>
  <r>
    <n v="45412"/>
    <x v="529"/>
    <x v="1"/>
    <x v="0"/>
    <x v="3"/>
    <s v="GBC Linen Binding Covers"/>
    <x v="4482"/>
    <n v="7"/>
    <n v="-69.400000000000006"/>
    <x v="3"/>
    <x v="3"/>
  </r>
  <r>
    <n v="45412"/>
    <x v="525"/>
    <x v="3"/>
    <x v="0"/>
    <x v="0"/>
    <s v="Xerox 1919"/>
    <x v="4483"/>
    <n v="4"/>
    <n v="80.34"/>
    <x v="3"/>
    <x v="3"/>
  </r>
  <r>
    <n v="45412"/>
    <x v="351"/>
    <x v="3"/>
    <x v="1"/>
    <x v="8"/>
    <s v="Seth Thomas 16&quot; Steel Case Clock"/>
    <x v="92"/>
    <n v="2"/>
    <n v="21.44"/>
    <x v="3"/>
    <x v="3"/>
  </r>
  <r>
    <n v="45412"/>
    <x v="351"/>
    <x v="3"/>
    <x v="0"/>
    <x v="10"/>
    <s v="#10- 4 1/8&quot; x 9 1/2&quot; Security-Tint Envelopes"/>
    <x v="3084"/>
    <n v="4"/>
    <n v="14.97"/>
    <x v="3"/>
    <x v="3"/>
  </r>
  <r>
    <n v="45412"/>
    <x v="400"/>
    <x v="3"/>
    <x v="0"/>
    <x v="4"/>
    <s v="Faber Castell Col-Erase Pencils"/>
    <x v="4219"/>
    <n v="2"/>
    <n v="4.01"/>
    <x v="3"/>
    <x v="3"/>
  </r>
  <r>
    <n v="45412"/>
    <x v="327"/>
    <x v="3"/>
    <x v="0"/>
    <x v="3"/>
    <s v="Fellowes Black Plastic Comb Bindings"/>
    <x v="4484"/>
    <n v="5"/>
    <n v="7.55"/>
    <x v="3"/>
    <x v="3"/>
  </r>
  <r>
    <n v="45412"/>
    <x v="772"/>
    <x v="16"/>
    <x v="0"/>
    <x v="3"/>
    <s v="Acco PRESSTEX Data Binder with Storage Hooks, Light Blue, 9 1/2&quot; X 11&quot;"/>
    <x v="726"/>
    <n v="3"/>
    <n v="-3.55"/>
    <x v="3"/>
    <x v="3"/>
  </r>
  <r>
    <n v="45412"/>
    <x v="772"/>
    <x v="16"/>
    <x v="1"/>
    <x v="8"/>
    <s v="Tenex B1-RE Series Chair Mats for Low Pile Carpets"/>
    <x v="4485"/>
    <n v="6"/>
    <n v="-8.2799999999999994"/>
    <x v="3"/>
    <x v="3"/>
  </r>
  <r>
    <n v="45413"/>
    <x v="694"/>
    <x v="13"/>
    <x v="2"/>
    <x v="9"/>
    <s v="Maxell 74 Minute CDR, 10/Pack"/>
    <x v="1229"/>
    <n v="5"/>
    <n v="18.09"/>
    <x v="4"/>
    <x v="3"/>
  </r>
  <r>
    <n v="45413"/>
    <x v="740"/>
    <x v="16"/>
    <x v="0"/>
    <x v="14"/>
    <s v="Kleencut Forged Office Shears by Acme United Corporation"/>
    <x v="2179"/>
    <n v="2"/>
    <n v="0.42"/>
    <x v="4"/>
    <x v="3"/>
  </r>
  <r>
    <n v="45413"/>
    <x v="740"/>
    <x v="16"/>
    <x v="1"/>
    <x v="13"/>
    <s v="Bush Advantage Collection Racetrack Conference Table"/>
    <x v="4486"/>
    <n v="4"/>
    <n v="-458.15"/>
    <x v="4"/>
    <x v="3"/>
  </r>
  <r>
    <n v="45413"/>
    <x v="740"/>
    <x v="16"/>
    <x v="1"/>
    <x v="5"/>
    <s v="HON 5400 Series Task Chairs for Big and Tall"/>
    <x v="1675"/>
    <n v="5"/>
    <n v="0"/>
    <x v="4"/>
    <x v="3"/>
  </r>
  <r>
    <n v="45413"/>
    <x v="316"/>
    <x v="16"/>
    <x v="1"/>
    <x v="11"/>
    <s v="Bush Somerset Collection Bookcase"/>
    <x v="231"/>
    <n v="3"/>
    <n v="-15.72"/>
    <x v="4"/>
    <x v="3"/>
  </r>
  <r>
    <n v="45413"/>
    <x v="316"/>
    <x v="16"/>
    <x v="0"/>
    <x v="1"/>
    <s v="Avery 492"/>
    <x v="1012"/>
    <n v="2"/>
    <n v="1.5"/>
    <x v="4"/>
    <x v="3"/>
  </r>
  <r>
    <n v="45414"/>
    <x v="360"/>
    <x v="23"/>
    <x v="1"/>
    <x v="8"/>
    <s v="Eldon Advantage Chair Mats for Low to Medium Pile Carpets"/>
    <x v="2368"/>
    <n v="3"/>
    <n v="12.99"/>
    <x v="4"/>
    <x v="3"/>
  </r>
  <r>
    <n v="45414"/>
    <x v="551"/>
    <x v="3"/>
    <x v="2"/>
    <x v="9"/>
    <s v="LogitechÂ MX Performance Wireless Mouse"/>
    <x v="3617"/>
    <n v="4"/>
    <n v="59.04"/>
    <x v="4"/>
    <x v="3"/>
  </r>
  <r>
    <n v="45414"/>
    <x v="118"/>
    <x v="3"/>
    <x v="0"/>
    <x v="0"/>
    <s v="Adams &quot;While You Were Out&quot; Message Pads"/>
    <x v="1210"/>
    <n v="5"/>
    <n v="7.07"/>
    <x v="4"/>
    <x v="3"/>
  </r>
  <r>
    <n v="45414"/>
    <x v="118"/>
    <x v="3"/>
    <x v="0"/>
    <x v="4"/>
    <s v="Newell 34"/>
    <x v="144"/>
    <n v="3"/>
    <n v="15.48"/>
    <x v="4"/>
    <x v="3"/>
  </r>
  <r>
    <n v="45414"/>
    <x v="118"/>
    <x v="3"/>
    <x v="0"/>
    <x v="0"/>
    <s v="Adams Phone Message Book, 200 Message Capacity, 8 1/16Â” x 11Â”"/>
    <x v="3152"/>
    <n v="5"/>
    <n v="15.82"/>
    <x v="4"/>
    <x v="3"/>
  </r>
  <r>
    <n v="45415"/>
    <x v="504"/>
    <x v="3"/>
    <x v="0"/>
    <x v="2"/>
    <s v="Multi-Use Personal File Cart and Caster Set, Three Stacking Bins"/>
    <x v="1211"/>
    <n v="2"/>
    <n v="19.47"/>
    <x v="4"/>
    <x v="3"/>
  </r>
  <r>
    <n v="45415"/>
    <x v="504"/>
    <x v="3"/>
    <x v="0"/>
    <x v="2"/>
    <s v="Fellowes Stor/Drawer Steel Plus Storage Drawers"/>
    <x v="4487"/>
    <n v="8"/>
    <n v="45.81"/>
    <x v="4"/>
    <x v="3"/>
  </r>
  <r>
    <n v="45415"/>
    <x v="575"/>
    <x v="3"/>
    <x v="0"/>
    <x v="0"/>
    <s v="Xerox 2"/>
    <x v="499"/>
    <n v="4"/>
    <n v="12.44"/>
    <x v="4"/>
    <x v="3"/>
  </r>
  <r>
    <n v="45415"/>
    <x v="575"/>
    <x v="3"/>
    <x v="0"/>
    <x v="4"/>
    <s v="Newell 350"/>
    <x v="44"/>
    <n v="7"/>
    <n v="6.66"/>
    <x v="4"/>
    <x v="3"/>
  </r>
  <r>
    <n v="45415"/>
    <x v="731"/>
    <x v="2"/>
    <x v="1"/>
    <x v="8"/>
    <s v="Career Cubicle Clock, 8 1/4&quot;, Black"/>
    <x v="4488"/>
    <n v="2"/>
    <n v="7.3"/>
    <x v="4"/>
    <x v="3"/>
  </r>
  <r>
    <n v="45415"/>
    <x v="731"/>
    <x v="2"/>
    <x v="0"/>
    <x v="3"/>
    <s v="Wilson Jones Legal Size Ring Binders"/>
    <x v="4489"/>
    <n v="4"/>
    <n v="-17.59"/>
    <x v="4"/>
    <x v="3"/>
  </r>
  <r>
    <n v="45415"/>
    <x v="731"/>
    <x v="2"/>
    <x v="1"/>
    <x v="13"/>
    <s v="Bevis 36 x 72 Conference Tables"/>
    <x v="4490"/>
    <n v="5"/>
    <n v="-112.04"/>
    <x v="4"/>
    <x v="3"/>
  </r>
  <r>
    <n v="45415"/>
    <x v="731"/>
    <x v="2"/>
    <x v="0"/>
    <x v="3"/>
    <s v="Wilson Jones Elliptical Ring 3 1/2&quot; Capacity Binders, 800 sheets"/>
    <x v="2047"/>
    <n v="5"/>
    <n v="-44.94"/>
    <x v="4"/>
    <x v="3"/>
  </r>
  <r>
    <n v="45415"/>
    <x v="731"/>
    <x v="2"/>
    <x v="0"/>
    <x v="7"/>
    <s v="Advantus Plastic Paper Clips"/>
    <x v="436"/>
    <n v="2"/>
    <n v="2.8"/>
    <x v="4"/>
    <x v="3"/>
  </r>
  <r>
    <n v="45416"/>
    <x v="754"/>
    <x v="3"/>
    <x v="2"/>
    <x v="6"/>
    <s v="Motorola L804"/>
    <x v="4491"/>
    <n v="5"/>
    <n v="20.7"/>
    <x v="4"/>
    <x v="3"/>
  </r>
  <r>
    <n v="45416"/>
    <x v="754"/>
    <x v="3"/>
    <x v="0"/>
    <x v="0"/>
    <s v="Things To Do Today Pad"/>
    <x v="3690"/>
    <n v="3"/>
    <n v="8.4499999999999993"/>
    <x v="4"/>
    <x v="3"/>
  </r>
  <r>
    <n v="45416"/>
    <x v="754"/>
    <x v="3"/>
    <x v="1"/>
    <x v="13"/>
    <s v="Bretford Rectangular Conference Table Tops"/>
    <x v="4492"/>
    <n v="1"/>
    <n v="11.28"/>
    <x v="4"/>
    <x v="3"/>
  </r>
  <r>
    <n v="45416"/>
    <x v="575"/>
    <x v="6"/>
    <x v="0"/>
    <x v="0"/>
    <s v="Black Print Carbonless Snap-Off Rapid Letter, 8 1/2&quot; x 7&quot;"/>
    <x v="4493"/>
    <n v="1"/>
    <n v="4.0999999999999996"/>
    <x v="4"/>
    <x v="3"/>
  </r>
  <r>
    <n v="45416"/>
    <x v="575"/>
    <x v="6"/>
    <x v="0"/>
    <x v="2"/>
    <s v="Letter Size Cart"/>
    <x v="4494"/>
    <n v="4"/>
    <n v="165.72"/>
    <x v="4"/>
    <x v="3"/>
  </r>
  <r>
    <n v="45416"/>
    <x v="575"/>
    <x v="6"/>
    <x v="0"/>
    <x v="0"/>
    <s v="Xerox 23"/>
    <x v="331"/>
    <n v="5"/>
    <n v="15.55"/>
    <x v="4"/>
    <x v="3"/>
  </r>
  <r>
    <n v="45416"/>
    <x v="575"/>
    <x v="6"/>
    <x v="0"/>
    <x v="2"/>
    <s v="Tenex Personal Self-Stacking Standard File Box, Black/Gray"/>
    <x v="4495"/>
    <n v="1"/>
    <n v="4.57"/>
    <x v="4"/>
    <x v="3"/>
  </r>
  <r>
    <n v="45416"/>
    <x v="489"/>
    <x v="10"/>
    <x v="0"/>
    <x v="3"/>
    <s v="DXL Angle-View Binders with Locking Rings by Samsill"/>
    <x v="3714"/>
    <n v="1"/>
    <n v="-1.93"/>
    <x v="4"/>
    <x v="3"/>
  </r>
  <r>
    <n v="45416"/>
    <x v="168"/>
    <x v="2"/>
    <x v="0"/>
    <x v="3"/>
    <s v="Black Avery Memo-Size 3-Ring Binder, 5 1/2&quot; x 8 1/2&quot;"/>
    <x v="2233"/>
    <n v="2"/>
    <n v="-1.54"/>
    <x v="4"/>
    <x v="3"/>
  </r>
  <r>
    <n v="45416"/>
    <x v="168"/>
    <x v="2"/>
    <x v="0"/>
    <x v="3"/>
    <s v="Avery 3 1/2&quot; Diskette Storage Pages, 10/Pack"/>
    <x v="4496"/>
    <n v="3"/>
    <n v="-7.52"/>
    <x v="4"/>
    <x v="3"/>
  </r>
  <r>
    <n v="45416"/>
    <x v="393"/>
    <x v="3"/>
    <x v="0"/>
    <x v="12"/>
    <s v="Acco 7-Outlet Masterpiece Power Center, Wihtout Fax/Phone Line Protection"/>
    <x v="4497"/>
    <n v="2"/>
    <n v="72.95"/>
    <x v="4"/>
    <x v="3"/>
  </r>
  <r>
    <n v="45417"/>
    <x v="536"/>
    <x v="3"/>
    <x v="0"/>
    <x v="10"/>
    <s v="Peel &amp; Seel Recycled Catalog Envelopes, Brown"/>
    <x v="3100"/>
    <n v="2"/>
    <n v="11.58"/>
    <x v="4"/>
    <x v="3"/>
  </r>
  <r>
    <n v="45417"/>
    <x v="384"/>
    <x v="26"/>
    <x v="0"/>
    <x v="10"/>
    <s v="Redi-Strip #10 Envelopes, 4 1/8 x 9 1/2"/>
    <x v="866"/>
    <n v="9"/>
    <n v="7.43"/>
    <x v="4"/>
    <x v="3"/>
  </r>
  <r>
    <n v="45417"/>
    <x v="384"/>
    <x v="26"/>
    <x v="0"/>
    <x v="3"/>
    <s v="Avery Durable Slant Ring Binders, No Labels"/>
    <x v="3464"/>
    <n v="8"/>
    <n v="-7.32"/>
    <x v="4"/>
    <x v="3"/>
  </r>
  <r>
    <n v="45417"/>
    <x v="384"/>
    <x v="26"/>
    <x v="1"/>
    <x v="11"/>
    <s v="Bestar Classic Bookcase"/>
    <x v="1886"/>
    <n v="3"/>
    <n v="-152.97999999999999"/>
    <x v="4"/>
    <x v="3"/>
  </r>
  <r>
    <n v="45417"/>
    <x v="598"/>
    <x v="4"/>
    <x v="0"/>
    <x v="3"/>
    <s v="Ibico Covers for Plastic or Wire Binding Elements"/>
    <x v="1027"/>
    <n v="3"/>
    <n v="15.53"/>
    <x v="4"/>
    <x v="3"/>
  </r>
  <r>
    <n v="45417"/>
    <x v="170"/>
    <x v="20"/>
    <x v="0"/>
    <x v="0"/>
    <s v="Xerox 1923"/>
    <x v="1667"/>
    <n v="1"/>
    <n v="3.21"/>
    <x v="4"/>
    <x v="3"/>
  </r>
  <r>
    <n v="45418"/>
    <x v="770"/>
    <x v="1"/>
    <x v="0"/>
    <x v="4"/>
    <s v="Blackstonian Pencils"/>
    <x v="1754"/>
    <n v="3"/>
    <n v="0.64"/>
    <x v="4"/>
    <x v="3"/>
  </r>
  <r>
    <n v="45418"/>
    <x v="770"/>
    <x v="1"/>
    <x v="2"/>
    <x v="9"/>
    <s v="ImationÂ Secure+ Hardware Encrypted USB 2.0Â Flash Drive; 16GB"/>
    <x v="1462"/>
    <n v="7"/>
    <n v="76.64"/>
    <x v="4"/>
    <x v="3"/>
  </r>
  <r>
    <n v="45418"/>
    <x v="460"/>
    <x v="20"/>
    <x v="0"/>
    <x v="1"/>
    <s v="Avery 505"/>
    <x v="225"/>
    <n v="4"/>
    <n v="29.6"/>
    <x v="4"/>
    <x v="3"/>
  </r>
  <r>
    <n v="45418"/>
    <x v="333"/>
    <x v="6"/>
    <x v="0"/>
    <x v="4"/>
    <s v="Dixon Ticonderoga Core-Lock Colored Pencils"/>
    <x v="4498"/>
    <n v="6"/>
    <n v="18.04"/>
    <x v="4"/>
    <x v="3"/>
  </r>
  <r>
    <n v="45418"/>
    <x v="159"/>
    <x v="0"/>
    <x v="0"/>
    <x v="3"/>
    <s v="Avery Durable Poly Binders"/>
    <x v="4499"/>
    <n v="10"/>
    <n v="-18.8"/>
    <x v="4"/>
    <x v="3"/>
  </r>
  <r>
    <n v="45418"/>
    <x v="159"/>
    <x v="0"/>
    <x v="1"/>
    <x v="11"/>
    <s v="Sauder Mission Library with Doors, Fruitwood Finish"/>
    <x v="4500"/>
    <n v="7"/>
    <n v="-119.19"/>
    <x v="4"/>
    <x v="3"/>
  </r>
  <r>
    <n v="45418"/>
    <x v="159"/>
    <x v="0"/>
    <x v="0"/>
    <x v="2"/>
    <s v="Fellowes Staxonsteel Drawer Files"/>
    <x v="2358"/>
    <n v="5"/>
    <n v="-57.95"/>
    <x v="4"/>
    <x v="3"/>
  </r>
  <r>
    <n v="45418"/>
    <x v="2"/>
    <x v="25"/>
    <x v="0"/>
    <x v="3"/>
    <s v="Wilson Jones Century Plastic Molded Ring Binders"/>
    <x v="4501"/>
    <n v="11"/>
    <n v="-52.55"/>
    <x v="4"/>
    <x v="3"/>
  </r>
  <r>
    <n v="45418"/>
    <x v="2"/>
    <x v="25"/>
    <x v="2"/>
    <x v="6"/>
    <s v="GE 30524EE4"/>
    <x v="1522"/>
    <n v="4"/>
    <n v="70.56"/>
    <x v="4"/>
    <x v="3"/>
  </r>
  <r>
    <n v="45418"/>
    <x v="2"/>
    <x v="25"/>
    <x v="0"/>
    <x v="1"/>
    <s v="Avery 4027 File Folder Labels for Dot Matrix Printers, 5000 Labels per Box, White"/>
    <x v="3397"/>
    <n v="5"/>
    <n v="39.69"/>
    <x v="4"/>
    <x v="3"/>
  </r>
  <r>
    <n v="45418"/>
    <x v="603"/>
    <x v="3"/>
    <x v="0"/>
    <x v="12"/>
    <s v="Eureka The Boss Cordless Rechargeable Stick Vac"/>
    <x v="2826"/>
    <n v="3"/>
    <n v="41.29"/>
    <x v="4"/>
    <x v="3"/>
  </r>
  <r>
    <n v="45418"/>
    <x v="440"/>
    <x v="12"/>
    <x v="0"/>
    <x v="0"/>
    <s v="Xerox 1883"/>
    <x v="4502"/>
    <n v="4"/>
    <n v="27.44"/>
    <x v="4"/>
    <x v="3"/>
  </r>
  <r>
    <n v="45418"/>
    <x v="467"/>
    <x v="1"/>
    <x v="2"/>
    <x v="9"/>
    <s v="Kensington Orbit Wireless Mobile Trackball for PC and Mac"/>
    <x v="1961"/>
    <n v="4"/>
    <n v="28.8"/>
    <x v="4"/>
    <x v="3"/>
  </r>
  <r>
    <n v="45419"/>
    <x v="602"/>
    <x v="14"/>
    <x v="1"/>
    <x v="5"/>
    <s v="Hon 4070 Series Pagoda Armless Upholstered Stacking Chairs"/>
    <x v="4503"/>
    <n v="5"/>
    <n v="423.01"/>
    <x v="4"/>
    <x v="3"/>
  </r>
  <r>
    <n v="45419"/>
    <x v="602"/>
    <x v="14"/>
    <x v="1"/>
    <x v="5"/>
    <s v="SAFCO Optional Arm Kit for Workspace Cribbage Stacking Chair"/>
    <x v="4504"/>
    <n v="1"/>
    <n v="7.46"/>
    <x v="4"/>
    <x v="3"/>
  </r>
  <r>
    <n v="45419"/>
    <x v="602"/>
    <x v="14"/>
    <x v="1"/>
    <x v="5"/>
    <s v="Safco Contoured Stacking Chairs"/>
    <x v="4505"/>
    <n v="2"/>
    <n v="119.2"/>
    <x v="4"/>
    <x v="3"/>
  </r>
  <r>
    <n v="45419"/>
    <x v="602"/>
    <x v="14"/>
    <x v="0"/>
    <x v="12"/>
    <s v="Belkin Premiere Surge Master II 8-outlet surge protector"/>
    <x v="4506"/>
    <n v="2"/>
    <n v="18.46"/>
    <x v="4"/>
    <x v="3"/>
  </r>
  <r>
    <n v="45419"/>
    <x v="692"/>
    <x v="3"/>
    <x v="2"/>
    <x v="9"/>
    <s v="Logitech G600 MMO Gaming Mouse"/>
    <x v="2232"/>
    <n v="1"/>
    <n v="28.8"/>
    <x v="4"/>
    <x v="3"/>
  </r>
  <r>
    <n v="45419"/>
    <x v="246"/>
    <x v="3"/>
    <x v="2"/>
    <x v="6"/>
    <s v="Blue Parrot B250XT Professional Grade Wireless BluetoothÂ HeadsetÂ with"/>
    <x v="3457"/>
    <n v="7"/>
    <n v="52.49"/>
    <x v="4"/>
    <x v="3"/>
  </r>
  <r>
    <n v="45420"/>
    <x v="496"/>
    <x v="10"/>
    <x v="1"/>
    <x v="5"/>
    <s v="Global Chrome Stack Chair"/>
    <x v="1435"/>
    <n v="2"/>
    <n v="-2.06"/>
    <x v="4"/>
    <x v="3"/>
  </r>
  <r>
    <n v="45420"/>
    <x v="577"/>
    <x v="3"/>
    <x v="2"/>
    <x v="16"/>
    <s v="Canon Imageclass D680 Copier / Fax"/>
    <x v="4507"/>
    <n v="6"/>
    <n v="1049.99"/>
    <x v="4"/>
    <x v="3"/>
  </r>
  <r>
    <n v="45420"/>
    <x v="351"/>
    <x v="2"/>
    <x v="1"/>
    <x v="5"/>
    <s v="Global Armless Task Chair, Royal Blue"/>
    <x v="1910"/>
    <n v="3"/>
    <n v="-23.78"/>
    <x v="4"/>
    <x v="3"/>
  </r>
  <r>
    <n v="45420"/>
    <x v="147"/>
    <x v="3"/>
    <x v="0"/>
    <x v="12"/>
    <s v="Fellowes Mighty 8 Compact Surge Protector"/>
    <x v="4508"/>
    <n v="4"/>
    <n v="22.7"/>
    <x v="4"/>
    <x v="3"/>
  </r>
  <r>
    <n v="45420"/>
    <x v="290"/>
    <x v="0"/>
    <x v="0"/>
    <x v="0"/>
    <s v="Xerox 1997"/>
    <x v="598"/>
    <n v="8"/>
    <n v="14.52"/>
    <x v="4"/>
    <x v="3"/>
  </r>
  <r>
    <n v="45421"/>
    <x v="91"/>
    <x v="25"/>
    <x v="0"/>
    <x v="10"/>
    <s v="Tyvek  Top-Opening Peel &amp; Seel Envelopes, Plain White"/>
    <x v="4509"/>
    <n v="3"/>
    <n v="22.02"/>
    <x v="4"/>
    <x v="3"/>
  </r>
  <r>
    <n v="45421"/>
    <x v="91"/>
    <x v="25"/>
    <x v="1"/>
    <x v="5"/>
    <s v="Harbour Creations Steel Folding Chair"/>
    <x v="2604"/>
    <n v="3"/>
    <n v="25.88"/>
    <x v="4"/>
    <x v="3"/>
  </r>
  <r>
    <n v="45421"/>
    <x v="162"/>
    <x v="22"/>
    <x v="0"/>
    <x v="3"/>
    <s v="GBC Velobind Prepunched Cover Sets, Regency Series"/>
    <x v="4510"/>
    <n v="5"/>
    <n v="46.23"/>
    <x v="4"/>
    <x v="3"/>
  </r>
  <r>
    <n v="45421"/>
    <x v="162"/>
    <x v="22"/>
    <x v="0"/>
    <x v="2"/>
    <s v="Home/Office Personal File Carts"/>
    <x v="3269"/>
    <n v="3"/>
    <n v="26.07"/>
    <x v="4"/>
    <x v="3"/>
  </r>
  <r>
    <n v="45421"/>
    <x v="162"/>
    <x v="22"/>
    <x v="1"/>
    <x v="13"/>
    <s v="Riverside Furniture Oval Coffee Table, Oval End Table, End Table with Drawer"/>
    <x v="4511"/>
    <n v="1"/>
    <n v="63.11"/>
    <x v="4"/>
    <x v="3"/>
  </r>
  <r>
    <n v="45421"/>
    <x v="162"/>
    <x v="22"/>
    <x v="0"/>
    <x v="2"/>
    <s v="Rogers Profile Extra Capacity Storage Tub"/>
    <x v="273"/>
    <n v="4"/>
    <n v="2.68"/>
    <x v="4"/>
    <x v="3"/>
  </r>
  <r>
    <n v="45421"/>
    <x v="162"/>
    <x v="22"/>
    <x v="2"/>
    <x v="9"/>
    <s v="Razer Kraken 7.1 Surround Sound Over Ear USB Gaming Headset"/>
    <x v="766"/>
    <n v="2"/>
    <n v="87.99"/>
    <x v="4"/>
    <x v="3"/>
  </r>
  <r>
    <n v="45423"/>
    <x v="269"/>
    <x v="22"/>
    <x v="0"/>
    <x v="0"/>
    <s v="Ampad Phone Message Book, Recycled, 400 Message Capacity, 5 Â¾Â” x 11Â”"/>
    <x v="3899"/>
    <n v="6"/>
    <n v="16.850000000000001"/>
    <x v="4"/>
    <x v="3"/>
  </r>
  <r>
    <n v="45423"/>
    <x v="269"/>
    <x v="22"/>
    <x v="0"/>
    <x v="1"/>
    <s v="Avery 50"/>
    <x v="3580"/>
    <n v="3"/>
    <n v="17.670000000000002"/>
    <x v="4"/>
    <x v="3"/>
  </r>
  <r>
    <n v="45423"/>
    <x v="269"/>
    <x v="22"/>
    <x v="0"/>
    <x v="3"/>
    <s v="Acco Flexible ACCOHIDE Square Ring Data Binder, Dark Blue, 11 1/2&quot; X 14&quot; 7/8&quot;"/>
    <x v="4512"/>
    <n v="2"/>
    <n v="9.44"/>
    <x v="4"/>
    <x v="3"/>
  </r>
  <r>
    <n v="45423"/>
    <x v="488"/>
    <x v="0"/>
    <x v="0"/>
    <x v="4"/>
    <s v="Newell 348"/>
    <x v="607"/>
    <n v="2"/>
    <n v="0.59"/>
    <x v="4"/>
    <x v="3"/>
  </r>
  <r>
    <n v="45423"/>
    <x v="488"/>
    <x v="0"/>
    <x v="0"/>
    <x v="2"/>
    <s v="Safco Commercial Shelving"/>
    <x v="4513"/>
    <n v="2"/>
    <n v="-14.88"/>
    <x v="4"/>
    <x v="3"/>
  </r>
  <r>
    <n v="45423"/>
    <x v="488"/>
    <x v="0"/>
    <x v="0"/>
    <x v="0"/>
    <s v="Xerox 1927"/>
    <x v="966"/>
    <n v="2"/>
    <n v="2.14"/>
    <x v="4"/>
    <x v="3"/>
  </r>
  <r>
    <n v="45423"/>
    <x v="488"/>
    <x v="0"/>
    <x v="1"/>
    <x v="8"/>
    <s v="Telescoping Adjustable Floor Lamp"/>
    <x v="436"/>
    <n v="1"/>
    <n v="-7"/>
    <x v="4"/>
    <x v="3"/>
  </r>
  <r>
    <n v="45423"/>
    <x v="477"/>
    <x v="12"/>
    <x v="1"/>
    <x v="11"/>
    <s v="Bestar Classic Bookcase"/>
    <x v="4514"/>
    <n v="7"/>
    <n v="-356.96"/>
    <x v="4"/>
    <x v="3"/>
  </r>
  <r>
    <n v="45423"/>
    <x v="456"/>
    <x v="20"/>
    <x v="0"/>
    <x v="4"/>
    <s v="Panasonic KP-4ABK Battery-Operated Pencil Sharpener"/>
    <x v="56"/>
    <n v="3"/>
    <n v="12.74"/>
    <x v="4"/>
    <x v="3"/>
  </r>
  <r>
    <n v="45424"/>
    <x v="296"/>
    <x v="0"/>
    <x v="0"/>
    <x v="2"/>
    <s v="Fellowes Bankers Box Stor/Drawer Steel Plus"/>
    <x v="4515"/>
    <n v="5"/>
    <n v="-15.99"/>
    <x v="4"/>
    <x v="3"/>
  </r>
  <r>
    <n v="45424"/>
    <x v="296"/>
    <x v="0"/>
    <x v="0"/>
    <x v="3"/>
    <s v="Wilson Jones Elliptical Ring 3 1/2&quot; Capacity Binders, 800 sheets"/>
    <x v="85"/>
    <n v="4"/>
    <n v="-53.07"/>
    <x v="4"/>
    <x v="3"/>
  </r>
  <r>
    <n v="45424"/>
    <x v="74"/>
    <x v="32"/>
    <x v="0"/>
    <x v="0"/>
    <s v="TOPS Carbonless Receipt Book, Four 2-3/4 x 7-1/4 Money Receipts per Page"/>
    <x v="4516"/>
    <n v="5"/>
    <n v="42.05"/>
    <x v="4"/>
    <x v="3"/>
  </r>
  <r>
    <n v="45424"/>
    <x v="425"/>
    <x v="10"/>
    <x v="0"/>
    <x v="4"/>
    <s v="Newell 347"/>
    <x v="1207"/>
    <n v="3"/>
    <n v="1.1599999999999999"/>
    <x v="4"/>
    <x v="3"/>
  </r>
  <r>
    <n v="45424"/>
    <x v="345"/>
    <x v="3"/>
    <x v="0"/>
    <x v="14"/>
    <s v="Compact Automatic Electric Letter Opener"/>
    <x v="106"/>
    <n v="2"/>
    <n v="4.7699999999999996"/>
    <x v="4"/>
    <x v="3"/>
  </r>
  <r>
    <n v="45424"/>
    <x v="345"/>
    <x v="3"/>
    <x v="0"/>
    <x v="12"/>
    <s v="Hoover Commercial Soft Guard Upright Vacuum And Disposable Filtration Bags"/>
    <x v="4517"/>
    <n v="1"/>
    <n v="2.1"/>
    <x v="4"/>
    <x v="3"/>
  </r>
  <r>
    <n v="45424"/>
    <x v="345"/>
    <x v="3"/>
    <x v="1"/>
    <x v="13"/>
    <s v="Lesro Sheffield Collection Coffee Table, End Table, Center Table, Corner Table"/>
    <x v="4518"/>
    <n v="5"/>
    <n v="-10.71"/>
    <x v="4"/>
    <x v="3"/>
  </r>
  <r>
    <n v="45424"/>
    <x v="345"/>
    <x v="3"/>
    <x v="0"/>
    <x v="3"/>
    <s v="DXL Angle-View Binders with Locking Rings, Black"/>
    <x v="4519"/>
    <n v="4"/>
    <n v="6.47"/>
    <x v="4"/>
    <x v="3"/>
  </r>
  <r>
    <n v="45424"/>
    <x v="657"/>
    <x v="10"/>
    <x v="0"/>
    <x v="1"/>
    <s v="Avery 501"/>
    <x v="1408"/>
    <n v="2"/>
    <n v="1.99"/>
    <x v="4"/>
    <x v="3"/>
  </r>
  <r>
    <n v="45424"/>
    <x v="273"/>
    <x v="23"/>
    <x v="1"/>
    <x v="8"/>
    <s v="DAX Cubicle Frames, 8-1/2 x 11"/>
    <x v="4520"/>
    <n v="5"/>
    <n v="15.43"/>
    <x v="4"/>
    <x v="3"/>
  </r>
  <r>
    <n v="45424"/>
    <x v="273"/>
    <x v="23"/>
    <x v="0"/>
    <x v="1"/>
    <s v="Smead Alpha-Z Color-Coded Second Alphabetical Labels and Starter Set"/>
    <x v="1059"/>
    <n v="2"/>
    <n v="2.96"/>
    <x v="4"/>
    <x v="3"/>
  </r>
  <r>
    <n v="45424"/>
    <x v="273"/>
    <x v="23"/>
    <x v="0"/>
    <x v="14"/>
    <s v="Acme Titanium Bonded Scissors"/>
    <x v="4521"/>
    <n v="2"/>
    <n v="4.42"/>
    <x v="4"/>
    <x v="3"/>
  </r>
  <r>
    <n v="45424"/>
    <x v="273"/>
    <x v="23"/>
    <x v="2"/>
    <x v="9"/>
    <s v="Maxell Pro 80 Minute CD-R, 10/Pack"/>
    <x v="4522"/>
    <n v="5"/>
    <n v="34.96"/>
    <x v="4"/>
    <x v="3"/>
  </r>
  <r>
    <n v="45425"/>
    <x v="237"/>
    <x v="3"/>
    <x v="0"/>
    <x v="1"/>
    <s v="Self-Adhesive Address Labels for Typewriters by Universal"/>
    <x v="875"/>
    <n v="8"/>
    <n v="27.49"/>
    <x v="4"/>
    <x v="3"/>
  </r>
  <r>
    <n v="45425"/>
    <x v="291"/>
    <x v="18"/>
    <x v="0"/>
    <x v="10"/>
    <s v="Tyvek Side-Opening Peel &amp; Seel Expanding Envelopes"/>
    <x v="81"/>
    <n v="2"/>
    <n v="81.430000000000007"/>
    <x v="4"/>
    <x v="3"/>
  </r>
  <r>
    <n v="45425"/>
    <x v="291"/>
    <x v="18"/>
    <x v="0"/>
    <x v="3"/>
    <s v="Ibico Hi-Tech Manual Binding System"/>
    <x v="4523"/>
    <n v="3"/>
    <n v="411.74"/>
    <x v="4"/>
    <x v="3"/>
  </r>
  <r>
    <n v="45425"/>
    <x v="291"/>
    <x v="18"/>
    <x v="2"/>
    <x v="6"/>
    <s v="Plantronics Calisto P620-M USB Wireless Speakerphone System"/>
    <x v="165"/>
    <n v="3"/>
    <n v="158.75"/>
    <x v="4"/>
    <x v="3"/>
  </r>
  <r>
    <n v="45425"/>
    <x v="291"/>
    <x v="18"/>
    <x v="0"/>
    <x v="2"/>
    <s v="Tennsco 6- and 18-Compartment Lockers"/>
    <x v="4524"/>
    <n v="2"/>
    <n v="95.46"/>
    <x v="4"/>
    <x v="3"/>
  </r>
  <r>
    <n v="45425"/>
    <x v="291"/>
    <x v="18"/>
    <x v="0"/>
    <x v="0"/>
    <s v="Hammermill CopyPlus Copy Paper (20Lb. and 84 Bright)"/>
    <x v="98"/>
    <n v="3"/>
    <n v="7.32"/>
    <x v="4"/>
    <x v="3"/>
  </r>
  <r>
    <n v="45425"/>
    <x v="249"/>
    <x v="7"/>
    <x v="0"/>
    <x v="3"/>
    <s v="GBC Twin Loop Wire Binding Elements"/>
    <x v="4525"/>
    <n v="9"/>
    <n v="149.76"/>
    <x v="4"/>
    <x v="3"/>
  </r>
  <r>
    <n v="45425"/>
    <x v="136"/>
    <x v="15"/>
    <x v="0"/>
    <x v="12"/>
    <s v="Fellowes Basic Home/Office Series Surge Protectors"/>
    <x v="1983"/>
    <n v="2"/>
    <n v="2.34"/>
    <x v="4"/>
    <x v="3"/>
  </r>
  <r>
    <n v="45425"/>
    <x v="772"/>
    <x v="2"/>
    <x v="1"/>
    <x v="5"/>
    <s v="Office Star - Mesh Screen back chair with Vinyl seat"/>
    <x v="4122"/>
    <n v="5"/>
    <n v="-124.43"/>
    <x v="4"/>
    <x v="3"/>
  </r>
  <r>
    <n v="45426"/>
    <x v="137"/>
    <x v="3"/>
    <x v="1"/>
    <x v="8"/>
    <s v="Eldon Stackable Tray, Side-Load, Legal, Smoke"/>
    <x v="645"/>
    <n v="2"/>
    <n v="6.22"/>
    <x v="4"/>
    <x v="3"/>
  </r>
  <r>
    <n v="45426"/>
    <x v="137"/>
    <x v="3"/>
    <x v="2"/>
    <x v="9"/>
    <s v="Razer Tiamat Over Ear 7.1 Surround Sound PC Gaming Headset"/>
    <x v="2588"/>
    <n v="7"/>
    <n v="601.97"/>
    <x v="4"/>
    <x v="3"/>
  </r>
  <r>
    <n v="45426"/>
    <x v="67"/>
    <x v="29"/>
    <x v="0"/>
    <x v="10"/>
    <s v="Fashion Color Clasp Envelopes"/>
    <x v="4526"/>
    <n v="9"/>
    <n v="23.86"/>
    <x v="4"/>
    <x v="3"/>
  </r>
  <r>
    <n v="45426"/>
    <x v="596"/>
    <x v="20"/>
    <x v="2"/>
    <x v="6"/>
    <s v="Google Nexus 5"/>
    <x v="4527"/>
    <n v="3"/>
    <n v="134.99"/>
    <x v="4"/>
    <x v="3"/>
  </r>
  <r>
    <n v="45426"/>
    <x v="596"/>
    <x v="20"/>
    <x v="0"/>
    <x v="2"/>
    <s v="X-Rack File for Hanging Folders"/>
    <x v="1264"/>
    <n v="2"/>
    <n v="5.87"/>
    <x v="4"/>
    <x v="3"/>
  </r>
  <r>
    <n v="45426"/>
    <x v="127"/>
    <x v="22"/>
    <x v="0"/>
    <x v="0"/>
    <s v="Xerox 1917"/>
    <x v="4528"/>
    <n v="9"/>
    <n v="206.89"/>
    <x v="4"/>
    <x v="3"/>
  </r>
  <r>
    <n v="45426"/>
    <x v="127"/>
    <x v="22"/>
    <x v="0"/>
    <x v="14"/>
    <s v="Martin-Yale Premier Letter Opener"/>
    <x v="4529"/>
    <n v="5"/>
    <n v="1.93"/>
    <x v="4"/>
    <x v="3"/>
  </r>
  <r>
    <n v="45426"/>
    <x v="217"/>
    <x v="0"/>
    <x v="1"/>
    <x v="5"/>
    <s v="Global Commerce Series Low-Back Swivel/Tilt Chairs"/>
    <x v="4291"/>
    <n v="5"/>
    <n v="-12.85"/>
    <x v="4"/>
    <x v="3"/>
  </r>
  <r>
    <n v="45426"/>
    <x v="217"/>
    <x v="0"/>
    <x v="0"/>
    <x v="4"/>
    <s v="Newell 309"/>
    <x v="2505"/>
    <n v="5"/>
    <n v="5.78"/>
    <x v="4"/>
    <x v="3"/>
  </r>
  <r>
    <n v="45426"/>
    <x v="217"/>
    <x v="0"/>
    <x v="0"/>
    <x v="0"/>
    <s v="Xerox 1936"/>
    <x v="1839"/>
    <n v="3"/>
    <n v="16.18"/>
    <x v="4"/>
    <x v="3"/>
  </r>
  <r>
    <n v="45426"/>
    <x v="217"/>
    <x v="0"/>
    <x v="2"/>
    <x v="6"/>
    <s v="PayAnywhere Card Reader"/>
    <x v="539"/>
    <n v="1"/>
    <n v="0.7"/>
    <x v="4"/>
    <x v="3"/>
  </r>
  <r>
    <n v="45426"/>
    <x v="217"/>
    <x v="0"/>
    <x v="0"/>
    <x v="0"/>
    <s v="Xerox 1937"/>
    <x v="3384"/>
    <n v="2"/>
    <n v="26.9"/>
    <x v="4"/>
    <x v="3"/>
  </r>
  <r>
    <n v="45426"/>
    <x v="8"/>
    <x v="36"/>
    <x v="0"/>
    <x v="4"/>
    <s v="OIC #2 Pencils, Medium Soft"/>
    <x v="572"/>
    <n v="2"/>
    <n v="1.0900000000000001"/>
    <x v="4"/>
    <x v="3"/>
  </r>
  <r>
    <n v="45426"/>
    <x v="8"/>
    <x v="36"/>
    <x v="0"/>
    <x v="4"/>
    <s v="Prang Colored Pencils"/>
    <x v="2742"/>
    <n v="5"/>
    <n v="6.62"/>
    <x v="4"/>
    <x v="3"/>
  </r>
  <r>
    <n v="45426"/>
    <x v="8"/>
    <x v="36"/>
    <x v="0"/>
    <x v="4"/>
    <s v="Eberhard Faber 3 1/2&quot; Golf Pencils"/>
    <x v="4530"/>
    <n v="5"/>
    <n v="9.3000000000000007"/>
    <x v="4"/>
    <x v="3"/>
  </r>
  <r>
    <n v="45426"/>
    <x v="8"/>
    <x v="36"/>
    <x v="2"/>
    <x v="9"/>
    <s v="Belkin F8E887 USB Wired Ergonomic Keyboard"/>
    <x v="1236"/>
    <n v="3"/>
    <n v="18.89"/>
    <x v="4"/>
    <x v="3"/>
  </r>
  <r>
    <n v="45426"/>
    <x v="8"/>
    <x v="36"/>
    <x v="1"/>
    <x v="5"/>
    <s v="Office Star - Contemporary Task Swivel chair with Loop Arms, Charcoal"/>
    <x v="3905"/>
    <n v="2"/>
    <n v="23.58"/>
    <x v="4"/>
    <x v="3"/>
  </r>
  <r>
    <n v="45426"/>
    <x v="8"/>
    <x v="36"/>
    <x v="0"/>
    <x v="1"/>
    <s v="Avery 505"/>
    <x v="4531"/>
    <n v="5"/>
    <n v="37"/>
    <x v="4"/>
    <x v="3"/>
  </r>
  <r>
    <n v="45426"/>
    <x v="0"/>
    <x v="10"/>
    <x v="0"/>
    <x v="3"/>
    <s v="Premium Transparent Presentation Covers, No Pattern/Clear, 8 1/2&quot; x 11&quot;"/>
    <x v="4532"/>
    <n v="5"/>
    <n v="-46.54"/>
    <x v="4"/>
    <x v="3"/>
  </r>
  <r>
    <n v="45426"/>
    <x v="0"/>
    <x v="10"/>
    <x v="0"/>
    <x v="1"/>
    <s v="Avery 502"/>
    <x v="466"/>
    <n v="2"/>
    <n v="1.76"/>
    <x v="4"/>
    <x v="3"/>
  </r>
  <r>
    <n v="45426"/>
    <x v="0"/>
    <x v="10"/>
    <x v="0"/>
    <x v="0"/>
    <s v="Xerox 19"/>
    <x v="2061"/>
    <n v="1"/>
    <n v="7.75"/>
    <x v="4"/>
    <x v="3"/>
  </r>
  <r>
    <n v="45427"/>
    <x v="409"/>
    <x v="12"/>
    <x v="2"/>
    <x v="6"/>
    <s v="Logitech B530 USBÂ HeadsetÂ -Â headsetÂ - Full size, Binaural"/>
    <x v="4533"/>
    <n v="1"/>
    <n v="2.59"/>
    <x v="4"/>
    <x v="3"/>
  </r>
  <r>
    <n v="45427"/>
    <x v="409"/>
    <x v="12"/>
    <x v="0"/>
    <x v="3"/>
    <s v="Avery Durable Slant Ring Binders"/>
    <x v="2307"/>
    <n v="2"/>
    <n v="-3.17"/>
    <x v="4"/>
    <x v="3"/>
  </r>
  <r>
    <n v="45427"/>
    <x v="409"/>
    <x v="12"/>
    <x v="0"/>
    <x v="0"/>
    <s v="Universal Ultra Bright White Copier/Laser Paper, 8 1/2&quot; x 11&quot;, Ream"/>
    <x v="143"/>
    <n v="3"/>
    <n v="5.64"/>
    <x v="4"/>
    <x v="3"/>
  </r>
  <r>
    <n v="45427"/>
    <x v="80"/>
    <x v="22"/>
    <x v="1"/>
    <x v="8"/>
    <s v="24-Hour Round Wall Clock"/>
    <x v="418"/>
    <n v="2"/>
    <n v="17.18"/>
    <x v="4"/>
    <x v="3"/>
  </r>
  <r>
    <n v="45427"/>
    <x v="80"/>
    <x v="22"/>
    <x v="1"/>
    <x v="5"/>
    <s v="SAFCO Optional Arm Kit for Workspace Cribbage Stacking Chair"/>
    <x v="4534"/>
    <n v="2"/>
    <n v="4.26"/>
    <x v="4"/>
    <x v="3"/>
  </r>
  <r>
    <n v="45427"/>
    <x v="80"/>
    <x v="22"/>
    <x v="1"/>
    <x v="5"/>
    <s v="SAFCO Arco Folding Chair"/>
    <x v="4535"/>
    <n v="1"/>
    <n v="24.86"/>
    <x v="4"/>
    <x v="3"/>
  </r>
  <r>
    <n v="45427"/>
    <x v="448"/>
    <x v="1"/>
    <x v="0"/>
    <x v="0"/>
    <s v="Xerox 1880"/>
    <x v="2221"/>
    <n v="2"/>
    <n v="19.14"/>
    <x v="4"/>
    <x v="3"/>
  </r>
  <r>
    <n v="45427"/>
    <x v="448"/>
    <x v="1"/>
    <x v="2"/>
    <x v="6"/>
    <s v="QVS USB Car Charger 2-Port 2.1Amp for iPod/iPhone/iPad/iPad 2/iPad 3"/>
    <x v="997"/>
    <n v="2"/>
    <n v="3.48"/>
    <x v="4"/>
    <x v="3"/>
  </r>
  <r>
    <n v="45428"/>
    <x v="522"/>
    <x v="10"/>
    <x v="0"/>
    <x v="2"/>
    <s v="SAFCO Commercial Wire Shelving, Black"/>
    <x v="1909"/>
    <n v="2"/>
    <n v="-55.26"/>
    <x v="4"/>
    <x v="3"/>
  </r>
  <r>
    <n v="45430"/>
    <x v="248"/>
    <x v="2"/>
    <x v="2"/>
    <x v="9"/>
    <s v="KeyTronicÂ KT800P2 -Â KeyboardÂ - Black"/>
    <x v="4536"/>
    <n v="3"/>
    <n v="-0.9"/>
    <x v="4"/>
    <x v="3"/>
  </r>
  <r>
    <n v="45430"/>
    <x v="18"/>
    <x v="20"/>
    <x v="1"/>
    <x v="8"/>
    <s v="Master Caster Door Stop, Large Neon Orange"/>
    <x v="93"/>
    <n v="2"/>
    <n v="6.26"/>
    <x v="4"/>
    <x v="3"/>
  </r>
  <r>
    <n v="45430"/>
    <x v="18"/>
    <x v="20"/>
    <x v="0"/>
    <x v="3"/>
    <s v="Acco Pressboard Covers with Storage Hooks, 9 1/2&quot; x 11&quot;, Executive Red"/>
    <x v="3603"/>
    <n v="1"/>
    <n v="1.03"/>
    <x v="4"/>
    <x v="3"/>
  </r>
  <r>
    <n v="45430"/>
    <x v="113"/>
    <x v="0"/>
    <x v="0"/>
    <x v="3"/>
    <s v="Acco Pressboard Covers with Storage Hooks, 14 7/8&quot; x 11&quot;, Light Blue"/>
    <x v="4537"/>
    <n v="7"/>
    <n v="-10.65"/>
    <x v="4"/>
    <x v="3"/>
  </r>
  <r>
    <n v="45430"/>
    <x v="113"/>
    <x v="0"/>
    <x v="0"/>
    <x v="3"/>
    <s v="Avery Framed View Binder, EZD Ring (Locking), Navy, 1 1/2&quot;"/>
    <x v="4538"/>
    <n v="1"/>
    <n v="-3.29"/>
    <x v="4"/>
    <x v="3"/>
  </r>
  <r>
    <n v="45430"/>
    <x v="113"/>
    <x v="0"/>
    <x v="0"/>
    <x v="2"/>
    <s v="Plastic Stacking Crates &amp; Casters"/>
    <x v="3719"/>
    <n v="2"/>
    <n v="0.67"/>
    <x v="4"/>
    <x v="3"/>
  </r>
  <r>
    <n v="45430"/>
    <x v="735"/>
    <x v="4"/>
    <x v="0"/>
    <x v="12"/>
    <s v="Acco Six-Outlet Power Strip, 4' Cord Length"/>
    <x v="4539"/>
    <n v="2"/>
    <n v="4.4800000000000004"/>
    <x v="4"/>
    <x v="3"/>
  </r>
  <r>
    <n v="45430"/>
    <x v="735"/>
    <x v="4"/>
    <x v="1"/>
    <x v="11"/>
    <s v="Hon 4-Shelf Metal Bookcases"/>
    <x v="2874"/>
    <n v="3"/>
    <n v="75.739999999999995"/>
    <x v="4"/>
    <x v="3"/>
  </r>
  <r>
    <n v="45430"/>
    <x v="735"/>
    <x v="4"/>
    <x v="2"/>
    <x v="6"/>
    <s v="QVS USB Car Charger 2-Port 2.1Amp for iPod/iPhone/iPad/iPad 2/iPad 3"/>
    <x v="4540"/>
    <n v="5"/>
    <n v="15.64"/>
    <x v="4"/>
    <x v="3"/>
  </r>
  <r>
    <n v="45430"/>
    <x v="735"/>
    <x v="4"/>
    <x v="0"/>
    <x v="3"/>
    <s v="Poly Designer Cover &amp; Back"/>
    <x v="3635"/>
    <n v="6"/>
    <n v="54.69"/>
    <x v="4"/>
    <x v="3"/>
  </r>
  <r>
    <n v="45430"/>
    <x v="735"/>
    <x v="4"/>
    <x v="2"/>
    <x v="6"/>
    <s v="Apple EarPods with Remote and Mic"/>
    <x v="1081"/>
    <n v="2"/>
    <n v="15.67"/>
    <x v="4"/>
    <x v="3"/>
  </r>
  <r>
    <n v="45430"/>
    <x v="579"/>
    <x v="11"/>
    <x v="2"/>
    <x v="6"/>
    <s v="Aastra 6757i CT Wireless VoIP phone"/>
    <x v="2599"/>
    <n v="2"/>
    <n v="38.78"/>
    <x v="4"/>
    <x v="3"/>
  </r>
  <r>
    <n v="45430"/>
    <x v="367"/>
    <x v="24"/>
    <x v="0"/>
    <x v="12"/>
    <s v="Avanti 1.7 Cu. Ft. Refrigerator"/>
    <x v="3432"/>
    <n v="7"/>
    <n v="197.92"/>
    <x v="4"/>
    <x v="3"/>
  </r>
  <r>
    <n v="45430"/>
    <x v="367"/>
    <x v="24"/>
    <x v="2"/>
    <x v="6"/>
    <s v="Motorola HK250 Universal Bluetooth Headset"/>
    <x v="3860"/>
    <n v="5"/>
    <n v="2.2999999999999998"/>
    <x v="4"/>
    <x v="3"/>
  </r>
  <r>
    <n v="45430"/>
    <x v="367"/>
    <x v="24"/>
    <x v="0"/>
    <x v="3"/>
    <s v="Universal Recycled Hanging Pressboard Report Binders, Letter Size"/>
    <x v="179"/>
    <n v="7"/>
    <n v="20.73"/>
    <x v="4"/>
    <x v="3"/>
  </r>
  <r>
    <n v="45430"/>
    <x v="688"/>
    <x v="1"/>
    <x v="1"/>
    <x v="8"/>
    <s v="Flat Face Poster Frame"/>
    <x v="3219"/>
    <n v="3"/>
    <n v="-10.17"/>
    <x v="4"/>
    <x v="3"/>
  </r>
  <r>
    <n v="45430"/>
    <x v="688"/>
    <x v="1"/>
    <x v="1"/>
    <x v="8"/>
    <s v="C-Line Cubicle Keepers Polyproplyene Holder With Velcro Backings"/>
    <x v="4541"/>
    <n v="1"/>
    <n v="-0.99"/>
    <x v="4"/>
    <x v="3"/>
  </r>
  <r>
    <n v="45431"/>
    <x v="372"/>
    <x v="22"/>
    <x v="0"/>
    <x v="12"/>
    <s v="Belkin Premiere Surge Master II 8-outlet surge protector"/>
    <x v="4542"/>
    <n v="2"/>
    <n v="28.18"/>
    <x v="4"/>
    <x v="3"/>
  </r>
  <r>
    <n v="45431"/>
    <x v="138"/>
    <x v="20"/>
    <x v="0"/>
    <x v="12"/>
    <s v="Bionaire Personal Warm Mist Humidifier/Vaporizer"/>
    <x v="4543"/>
    <n v="6"/>
    <n v="109.72"/>
    <x v="4"/>
    <x v="3"/>
  </r>
  <r>
    <n v="45431"/>
    <x v="138"/>
    <x v="20"/>
    <x v="2"/>
    <x v="6"/>
    <s v="Nortel Meridian M3904 Professional Digital phone"/>
    <x v="2235"/>
    <n v="2"/>
    <n v="89.31"/>
    <x v="4"/>
    <x v="3"/>
  </r>
  <r>
    <n v="45431"/>
    <x v="138"/>
    <x v="20"/>
    <x v="2"/>
    <x v="9"/>
    <s v="Logitech Wireless Performance Mouse MX for PC and Mac"/>
    <x v="306"/>
    <n v="3"/>
    <n v="113.99"/>
    <x v="4"/>
    <x v="3"/>
  </r>
  <r>
    <n v="45431"/>
    <x v="59"/>
    <x v="4"/>
    <x v="2"/>
    <x v="9"/>
    <s v="Kingston Digital DataTraveler 32GB USB 2.0"/>
    <x v="409"/>
    <n v="4"/>
    <n v="4.07"/>
    <x v="4"/>
    <x v="3"/>
  </r>
  <r>
    <n v="45431"/>
    <x v="59"/>
    <x v="4"/>
    <x v="2"/>
    <x v="6"/>
    <s v="Nokia Lumia 925"/>
    <x v="883"/>
    <n v="3"/>
    <n v="98.27"/>
    <x v="4"/>
    <x v="3"/>
  </r>
  <r>
    <n v="45431"/>
    <x v="59"/>
    <x v="4"/>
    <x v="1"/>
    <x v="11"/>
    <s v="O'Sullivan 2-Door Barrister Bookcase in Odessa Pine"/>
    <x v="1137"/>
    <n v="9"/>
    <n v="374.63"/>
    <x v="4"/>
    <x v="3"/>
  </r>
  <r>
    <n v="45431"/>
    <x v="59"/>
    <x v="4"/>
    <x v="0"/>
    <x v="0"/>
    <s v="Xerox 1945"/>
    <x v="4317"/>
    <n v="7"/>
    <n v="140.6"/>
    <x v="4"/>
    <x v="3"/>
  </r>
  <r>
    <n v="45431"/>
    <x v="288"/>
    <x v="3"/>
    <x v="1"/>
    <x v="5"/>
    <s v="Situations Contoured Folding Chairs, 4/Set"/>
    <x v="2781"/>
    <n v="12"/>
    <n v="42.59"/>
    <x v="4"/>
    <x v="3"/>
  </r>
  <r>
    <n v="45431"/>
    <x v="288"/>
    <x v="3"/>
    <x v="0"/>
    <x v="4"/>
    <s v="Newell 310"/>
    <x v="567"/>
    <n v="2"/>
    <n v="1.02"/>
    <x v="4"/>
    <x v="3"/>
  </r>
  <r>
    <n v="45431"/>
    <x v="288"/>
    <x v="3"/>
    <x v="0"/>
    <x v="4"/>
    <s v="Newell 314"/>
    <x v="614"/>
    <n v="1"/>
    <n v="1.4"/>
    <x v="4"/>
    <x v="3"/>
  </r>
  <r>
    <n v="45431"/>
    <x v="288"/>
    <x v="3"/>
    <x v="2"/>
    <x v="9"/>
    <s v="SanDisk Cruzer 64 GB USB Flash Drive"/>
    <x v="4544"/>
    <n v="1"/>
    <n v="10.9"/>
    <x v="4"/>
    <x v="3"/>
  </r>
  <r>
    <n v="45431"/>
    <x v="405"/>
    <x v="4"/>
    <x v="0"/>
    <x v="0"/>
    <s v="Tops White Computer Printout Paper"/>
    <x v="1633"/>
    <n v="4"/>
    <n v="91.95"/>
    <x v="4"/>
    <x v="3"/>
  </r>
  <r>
    <n v="45431"/>
    <x v="225"/>
    <x v="1"/>
    <x v="0"/>
    <x v="0"/>
    <s v="Things To Do Today Spiral Book"/>
    <x v="4545"/>
    <n v="6"/>
    <n v="13.78"/>
    <x v="4"/>
    <x v="3"/>
  </r>
  <r>
    <n v="45431"/>
    <x v="80"/>
    <x v="0"/>
    <x v="2"/>
    <x v="6"/>
    <s v="Jabra Supreme Plus Driver EditionÂ Headset"/>
    <x v="4546"/>
    <n v="1"/>
    <n v="9.6"/>
    <x v="4"/>
    <x v="3"/>
  </r>
  <r>
    <n v="45431"/>
    <x v="80"/>
    <x v="0"/>
    <x v="0"/>
    <x v="1"/>
    <s v="Avery 491"/>
    <x v="3740"/>
    <n v="4"/>
    <n v="4.3"/>
    <x v="4"/>
    <x v="3"/>
  </r>
  <r>
    <n v="45431"/>
    <x v="512"/>
    <x v="15"/>
    <x v="1"/>
    <x v="5"/>
    <s v="Office Star - Mesh Screen back chair with Vinyl seat"/>
    <x v="231"/>
    <n v="3"/>
    <n v="-35.36"/>
    <x v="4"/>
    <x v="3"/>
  </r>
  <r>
    <n v="45431"/>
    <x v="512"/>
    <x v="15"/>
    <x v="0"/>
    <x v="0"/>
    <s v="Xerox 1949"/>
    <x v="1483"/>
    <n v="7"/>
    <n v="10.11"/>
    <x v="4"/>
    <x v="3"/>
  </r>
  <r>
    <n v="45431"/>
    <x v="52"/>
    <x v="3"/>
    <x v="0"/>
    <x v="3"/>
    <s v="GBC Twin Loop Wire Binding Elements"/>
    <x v="4547"/>
    <n v="5"/>
    <n v="49.92"/>
    <x v="4"/>
    <x v="3"/>
  </r>
  <r>
    <n v="45431"/>
    <x v="37"/>
    <x v="33"/>
    <x v="0"/>
    <x v="3"/>
    <s v="Wilson Jones Four-Pocket Poly Binders"/>
    <x v="212"/>
    <n v="4"/>
    <n v="12.82"/>
    <x v="4"/>
    <x v="3"/>
  </r>
  <r>
    <n v="45432"/>
    <x v="115"/>
    <x v="47"/>
    <x v="0"/>
    <x v="4"/>
    <s v="Boston 1645 Deluxe Heavier-Duty Electric Pencil Sharpener"/>
    <x v="4548"/>
    <n v="3"/>
    <n v="35.619999999999997"/>
    <x v="4"/>
    <x v="3"/>
  </r>
  <r>
    <n v="45432"/>
    <x v="115"/>
    <x v="47"/>
    <x v="0"/>
    <x v="4"/>
    <s v="BIC Brite Liner Highlighters, Chisel Tip"/>
    <x v="499"/>
    <n v="4"/>
    <n v="8.2899999999999991"/>
    <x v="4"/>
    <x v="3"/>
  </r>
  <r>
    <n v="45432"/>
    <x v="115"/>
    <x v="47"/>
    <x v="0"/>
    <x v="2"/>
    <s v="Fellowes High-Stak Drawer Files"/>
    <x v="3519"/>
    <n v="4"/>
    <n v="162.09"/>
    <x v="4"/>
    <x v="3"/>
  </r>
  <r>
    <n v="45432"/>
    <x v="115"/>
    <x v="47"/>
    <x v="0"/>
    <x v="7"/>
    <s v="Staples"/>
    <x v="217"/>
    <n v="3"/>
    <n v="3.48"/>
    <x v="4"/>
    <x v="3"/>
  </r>
  <r>
    <n v="45432"/>
    <x v="115"/>
    <x v="47"/>
    <x v="0"/>
    <x v="4"/>
    <s v="Binney &amp; Smith inkTank Desk Highlighter, Chisel Tip, Yellow, 12/Box"/>
    <x v="4549"/>
    <n v="10"/>
    <n v="7.1"/>
    <x v="4"/>
    <x v="3"/>
  </r>
  <r>
    <n v="45432"/>
    <x v="684"/>
    <x v="3"/>
    <x v="1"/>
    <x v="5"/>
    <s v="Global Geo Office Task Chair, Gray"/>
    <x v="4550"/>
    <n v="8"/>
    <n v="-97.18"/>
    <x v="4"/>
    <x v="3"/>
  </r>
  <r>
    <n v="45432"/>
    <x v="684"/>
    <x v="3"/>
    <x v="1"/>
    <x v="8"/>
    <s v="G.E. Halogen Desk Lamp Bulbs"/>
    <x v="3029"/>
    <n v="1"/>
    <n v="3.35"/>
    <x v="4"/>
    <x v="3"/>
  </r>
  <r>
    <n v="45432"/>
    <x v="684"/>
    <x v="3"/>
    <x v="2"/>
    <x v="15"/>
    <s v="Okidata B400 Printer"/>
    <x v="4551"/>
    <n v="1"/>
    <n v="38.61"/>
    <x v="4"/>
    <x v="3"/>
  </r>
  <r>
    <n v="45432"/>
    <x v="444"/>
    <x v="14"/>
    <x v="0"/>
    <x v="3"/>
    <s v="Square Ring Data Binders, Rigid 75 Pt. Covers, 11&quot; x 14-7/8&quot;"/>
    <x v="2838"/>
    <n v="2"/>
    <n v="19.809999999999999"/>
    <x v="4"/>
    <x v="3"/>
  </r>
  <r>
    <n v="45432"/>
    <x v="247"/>
    <x v="17"/>
    <x v="0"/>
    <x v="3"/>
    <s v="Wilson Jones Impact Binders"/>
    <x v="832"/>
    <n v="2"/>
    <n v="3"/>
    <x v="4"/>
    <x v="3"/>
  </r>
  <r>
    <n v="45432"/>
    <x v="247"/>
    <x v="17"/>
    <x v="2"/>
    <x v="6"/>
    <s v="Motorola L703CM"/>
    <x v="4552"/>
    <n v="9"/>
    <n v="70.2"/>
    <x v="4"/>
    <x v="3"/>
  </r>
  <r>
    <n v="45432"/>
    <x v="247"/>
    <x v="17"/>
    <x v="0"/>
    <x v="12"/>
    <s v="Fellowes Basic Home/Office Series Surge Protectors"/>
    <x v="4553"/>
    <n v="5"/>
    <n v="18.82"/>
    <x v="4"/>
    <x v="3"/>
  </r>
  <r>
    <n v="45433"/>
    <x v="130"/>
    <x v="20"/>
    <x v="1"/>
    <x v="8"/>
    <s v="Luxo Professional Magnifying Clamp-On Fluorescent Lamps"/>
    <x v="4554"/>
    <n v="5"/>
    <n v="72.81"/>
    <x v="4"/>
    <x v="3"/>
  </r>
  <r>
    <n v="45433"/>
    <x v="130"/>
    <x v="20"/>
    <x v="0"/>
    <x v="4"/>
    <s v="Bulldog Table or Wall-Mount Pencil Sharpener"/>
    <x v="4555"/>
    <n v="3"/>
    <n v="5.21"/>
    <x v="4"/>
    <x v="3"/>
  </r>
  <r>
    <n v="45434"/>
    <x v="224"/>
    <x v="1"/>
    <x v="1"/>
    <x v="5"/>
    <s v="High-Back Leather Manager's Chair"/>
    <x v="1673"/>
    <n v="2"/>
    <n v="-54.6"/>
    <x v="4"/>
    <x v="3"/>
  </r>
  <r>
    <n v="45434"/>
    <x v="224"/>
    <x v="1"/>
    <x v="0"/>
    <x v="3"/>
    <s v="Avery Durable Slant Ring Binders, No Labels"/>
    <x v="4556"/>
    <n v="2"/>
    <n v="-2.63"/>
    <x v="4"/>
    <x v="3"/>
  </r>
  <r>
    <n v="45434"/>
    <x v="224"/>
    <x v="1"/>
    <x v="0"/>
    <x v="14"/>
    <s v="Acme Forged Steel Scissors with Black Enamel Handles"/>
    <x v="362"/>
    <n v="3"/>
    <n v="2.5099999999999998"/>
    <x v="4"/>
    <x v="3"/>
  </r>
  <r>
    <n v="45434"/>
    <x v="281"/>
    <x v="3"/>
    <x v="2"/>
    <x v="9"/>
    <s v="Maxell 74 Minute CDR, 10/Pack"/>
    <x v="961"/>
    <n v="7"/>
    <n v="25.33"/>
    <x v="4"/>
    <x v="3"/>
  </r>
  <r>
    <n v="45434"/>
    <x v="556"/>
    <x v="3"/>
    <x v="0"/>
    <x v="4"/>
    <s v="SANFORD Major Accent Highlighters"/>
    <x v="4557"/>
    <n v="7"/>
    <n v="18.829999999999998"/>
    <x v="4"/>
    <x v="3"/>
  </r>
  <r>
    <n v="45434"/>
    <x v="58"/>
    <x v="3"/>
    <x v="0"/>
    <x v="4"/>
    <s v="Newell 350"/>
    <x v="1026"/>
    <n v="3"/>
    <n v="2.85"/>
    <x v="4"/>
    <x v="3"/>
  </r>
  <r>
    <n v="45434"/>
    <x v="58"/>
    <x v="3"/>
    <x v="0"/>
    <x v="4"/>
    <s v="Newell 333"/>
    <x v="2573"/>
    <n v="1"/>
    <n v="0.72"/>
    <x v="4"/>
    <x v="3"/>
  </r>
  <r>
    <n v="45435"/>
    <x v="6"/>
    <x v="3"/>
    <x v="1"/>
    <x v="13"/>
    <s v="Lesro Sheffield Collection Coffee Table, End Table, Center Table, Corner Table"/>
    <x v="4558"/>
    <n v="3"/>
    <n v="-6.42"/>
    <x v="4"/>
    <x v="3"/>
  </r>
  <r>
    <n v="45435"/>
    <x v="318"/>
    <x v="0"/>
    <x v="0"/>
    <x v="7"/>
    <s v="OIC Thumb-Tacks"/>
    <x v="4559"/>
    <n v="2"/>
    <n v="0.62"/>
    <x v="4"/>
    <x v="3"/>
  </r>
  <r>
    <n v="45435"/>
    <x v="318"/>
    <x v="0"/>
    <x v="0"/>
    <x v="12"/>
    <s v="Acco 6 Outlet Guardian Premium Plus Surge Suppressor"/>
    <x v="4560"/>
    <n v="5"/>
    <n v="-46.72"/>
    <x v="4"/>
    <x v="3"/>
  </r>
  <r>
    <n v="45435"/>
    <x v="318"/>
    <x v="0"/>
    <x v="0"/>
    <x v="2"/>
    <s v="Tennsco Commercial Shelving"/>
    <x v="4561"/>
    <n v="3"/>
    <n v="-11.59"/>
    <x v="4"/>
    <x v="3"/>
  </r>
  <r>
    <n v="45435"/>
    <x v="318"/>
    <x v="0"/>
    <x v="0"/>
    <x v="3"/>
    <s v="Storex Dura Pro Binders"/>
    <x v="3965"/>
    <n v="1"/>
    <n v="-1.96"/>
    <x v="4"/>
    <x v="3"/>
  </r>
  <r>
    <n v="45437"/>
    <x v="772"/>
    <x v="4"/>
    <x v="0"/>
    <x v="3"/>
    <s v="Recycled Easel Ring Binders"/>
    <x v="2063"/>
    <n v="2"/>
    <n v="13.43"/>
    <x v="4"/>
    <x v="3"/>
  </r>
  <r>
    <n v="45437"/>
    <x v="335"/>
    <x v="20"/>
    <x v="0"/>
    <x v="3"/>
    <s v="GBC DocuBind P100 Manual Binding Machine"/>
    <x v="4562"/>
    <n v="5"/>
    <n v="207.48"/>
    <x v="4"/>
    <x v="3"/>
  </r>
  <r>
    <n v="45437"/>
    <x v="335"/>
    <x v="20"/>
    <x v="2"/>
    <x v="9"/>
    <s v="ImationÂ 8gb Micro Traveldrive Usb 2.0Â Flash Drive"/>
    <x v="3256"/>
    <n v="8"/>
    <n v="13.2"/>
    <x v="4"/>
    <x v="3"/>
  </r>
  <r>
    <n v="45437"/>
    <x v="335"/>
    <x v="20"/>
    <x v="0"/>
    <x v="7"/>
    <s v="Acco Hot Clips Clips to Go"/>
    <x v="4563"/>
    <n v="1"/>
    <n v="1.48"/>
    <x v="4"/>
    <x v="3"/>
  </r>
  <r>
    <n v="45437"/>
    <x v="335"/>
    <x v="20"/>
    <x v="1"/>
    <x v="8"/>
    <s v="Eldon 200 Class Desk Accessories"/>
    <x v="125"/>
    <n v="3"/>
    <n v="6.03"/>
    <x v="4"/>
    <x v="3"/>
  </r>
  <r>
    <n v="45437"/>
    <x v="506"/>
    <x v="0"/>
    <x v="0"/>
    <x v="2"/>
    <s v="Iris 3-Drawer Stacking Bin, Black"/>
    <x v="4564"/>
    <n v="3"/>
    <n v="-11.28"/>
    <x v="4"/>
    <x v="3"/>
  </r>
  <r>
    <n v="45438"/>
    <x v="566"/>
    <x v="5"/>
    <x v="0"/>
    <x v="12"/>
    <s v="Belkin 8-Outlet Premiere SurgeMaster II Surge Protectors"/>
    <x v="4565"/>
    <n v="3"/>
    <n v="62.53"/>
    <x v="4"/>
    <x v="3"/>
  </r>
  <r>
    <n v="45438"/>
    <x v="566"/>
    <x v="5"/>
    <x v="0"/>
    <x v="14"/>
    <s v="Martin-Yale Premier Letter Opener"/>
    <x v="2858"/>
    <n v="2"/>
    <n v="0.77"/>
    <x v="4"/>
    <x v="3"/>
  </r>
  <r>
    <n v="45438"/>
    <x v="240"/>
    <x v="6"/>
    <x v="2"/>
    <x v="9"/>
    <s v="Verbatim Slim CD and DVD Storage Cases, 50/Pack"/>
    <x v="2955"/>
    <n v="2"/>
    <n v="6.92"/>
    <x v="4"/>
    <x v="3"/>
  </r>
  <r>
    <n v="45438"/>
    <x v="101"/>
    <x v="3"/>
    <x v="0"/>
    <x v="0"/>
    <s v="Xerox 201"/>
    <x v="115"/>
    <n v="2"/>
    <n v="6.22"/>
    <x v="4"/>
    <x v="3"/>
  </r>
  <r>
    <n v="45439"/>
    <x v="233"/>
    <x v="5"/>
    <x v="0"/>
    <x v="3"/>
    <s v="Binding Machine Supplies"/>
    <x v="3427"/>
    <n v="2"/>
    <n v="28"/>
    <x v="4"/>
    <x v="3"/>
  </r>
  <r>
    <n v="45439"/>
    <x v="233"/>
    <x v="5"/>
    <x v="2"/>
    <x v="6"/>
    <s v="Google Nexus 5"/>
    <x v="4527"/>
    <n v="3"/>
    <n v="134.99"/>
    <x v="4"/>
    <x v="3"/>
  </r>
  <r>
    <n v="45439"/>
    <x v="281"/>
    <x v="15"/>
    <x v="0"/>
    <x v="0"/>
    <s v="Xerox 2"/>
    <x v="499"/>
    <n v="5"/>
    <n v="9.07"/>
    <x v="4"/>
    <x v="3"/>
  </r>
  <r>
    <n v="45439"/>
    <x v="132"/>
    <x v="22"/>
    <x v="2"/>
    <x v="9"/>
    <s v="Logitech Desktop MK120 Mouse and keyboard Combo"/>
    <x v="3832"/>
    <n v="6"/>
    <n v="9.82"/>
    <x v="4"/>
    <x v="3"/>
  </r>
  <r>
    <n v="45439"/>
    <x v="132"/>
    <x v="22"/>
    <x v="0"/>
    <x v="4"/>
    <s v="Staples in misc. colors"/>
    <x v="2316"/>
    <n v="3"/>
    <n v="7.86"/>
    <x v="4"/>
    <x v="3"/>
  </r>
  <r>
    <n v="45439"/>
    <x v="229"/>
    <x v="34"/>
    <x v="1"/>
    <x v="8"/>
    <s v="Eldon 400 Class Desk Accessories, Black Carbon"/>
    <x v="555"/>
    <n v="4"/>
    <n v="14.7"/>
    <x v="4"/>
    <x v="3"/>
  </r>
  <r>
    <n v="45439"/>
    <x v="229"/>
    <x v="34"/>
    <x v="0"/>
    <x v="2"/>
    <s v="Fellowes Stor/Drawer Steel Plus Storage Drawers"/>
    <x v="4566"/>
    <n v="5"/>
    <n v="28.63"/>
    <x v="4"/>
    <x v="3"/>
  </r>
  <r>
    <n v="45439"/>
    <x v="229"/>
    <x v="34"/>
    <x v="2"/>
    <x v="6"/>
    <s v="Nokia Lumia 925"/>
    <x v="250"/>
    <n v="3"/>
    <n v="22.68"/>
    <x v="4"/>
    <x v="3"/>
  </r>
  <r>
    <n v="45439"/>
    <x v="416"/>
    <x v="39"/>
    <x v="1"/>
    <x v="8"/>
    <s v="Electrix Architect's Clamp-On Swing Arm Lamp, Black"/>
    <x v="4567"/>
    <n v="5"/>
    <n v="138.41999999999999"/>
    <x v="4"/>
    <x v="3"/>
  </r>
  <r>
    <n v="45439"/>
    <x v="620"/>
    <x v="25"/>
    <x v="2"/>
    <x v="9"/>
    <s v="Sony 8GB Class 10 Micro SDHC R40 Memory Card"/>
    <x v="4568"/>
    <n v="3"/>
    <n v="0.34"/>
    <x v="4"/>
    <x v="3"/>
  </r>
  <r>
    <n v="45439"/>
    <x v="620"/>
    <x v="25"/>
    <x v="0"/>
    <x v="3"/>
    <s v="Fellowes Twister Kit, Gray/Clear, 3/pkg"/>
    <x v="4569"/>
    <n v="5"/>
    <n v="-10.050000000000001"/>
    <x v="4"/>
    <x v="3"/>
  </r>
  <r>
    <n v="45440"/>
    <x v="99"/>
    <x v="9"/>
    <x v="1"/>
    <x v="5"/>
    <s v="Novimex Swivel Fabric Task Chair"/>
    <x v="2143"/>
    <n v="2"/>
    <n v="33.22"/>
    <x v="4"/>
    <x v="3"/>
  </r>
  <r>
    <n v="45440"/>
    <x v="657"/>
    <x v="0"/>
    <x v="2"/>
    <x v="6"/>
    <s v="Spigen Samsung Galaxy S5 Case Wallet"/>
    <x v="4570"/>
    <n v="4"/>
    <n v="4.08"/>
    <x v="4"/>
    <x v="3"/>
  </r>
  <r>
    <n v="45440"/>
    <x v="604"/>
    <x v="38"/>
    <x v="1"/>
    <x v="8"/>
    <s v="Advantus Employee of the Month Certificate Frame, 11 x 13-1/2"/>
    <x v="4571"/>
    <n v="8"/>
    <n v="101.45"/>
    <x v="4"/>
    <x v="3"/>
  </r>
  <r>
    <n v="45440"/>
    <x v="495"/>
    <x v="1"/>
    <x v="1"/>
    <x v="5"/>
    <s v="Global Task Chair, Black"/>
    <x v="4572"/>
    <n v="3"/>
    <n v="-29.01"/>
    <x v="4"/>
    <x v="3"/>
  </r>
  <r>
    <n v="45440"/>
    <x v="495"/>
    <x v="1"/>
    <x v="0"/>
    <x v="3"/>
    <s v="Storex Dura Pro Binders"/>
    <x v="2028"/>
    <n v="3"/>
    <n v="-6.24"/>
    <x v="4"/>
    <x v="3"/>
  </r>
  <r>
    <n v="45440"/>
    <x v="507"/>
    <x v="12"/>
    <x v="2"/>
    <x v="6"/>
    <s v="Panasonic KX TS208W Corded phone"/>
    <x v="4573"/>
    <n v="5"/>
    <n v="19.600000000000001"/>
    <x v="4"/>
    <x v="3"/>
  </r>
  <r>
    <n v="45440"/>
    <x v="507"/>
    <x v="12"/>
    <x v="0"/>
    <x v="0"/>
    <s v="Xerox 230"/>
    <x v="143"/>
    <n v="3"/>
    <n v="5.44"/>
    <x v="4"/>
    <x v="3"/>
  </r>
  <r>
    <n v="45440"/>
    <x v="507"/>
    <x v="12"/>
    <x v="2"/>
    <x v="9"/>
    <s v="LogitechÂ Gaming G510s - Keyboard"/>
    <x v="4574"/>
    <n v="4"/>
    <n v="54.39"/>
    <x v="4"/>
    <x v="3"/>
  </r>
  <r>
    <n v="45440"/>
    <x v="548"/>
    <x v="36"/>
    <x v="1"/>
    <x v="8"/>
    <s v="DAX Wood Document Frame"/>
    <x v="391"/>
    <n v="2"/>
    <n v="9.89"/>
    <x v="4"/>
    <x v="3"/>
  </r>
  <r>
    <n v="45440"/>
    <x v="548"/>
    <x v="36"/>
    <x v="0"/>
    <x v="12"/>
    <s v="Fellowes 8 Outlet Superior Workstation Surge Protector"/>
    <x v="4575"/>
    <n v="3"/>
    <n v="36.29"/>
    <x v="4"/>
    <x v="3"/>
  </r>
  <r>
    <n v="45440"/>
    <x v="450"/>
    <x v="10"/>
    <x v="0"/>
    <x v="0"/>
    <s v="HP Office Recycled Paper (20Lb. and 87 Bright)"/>
    <x v="4440"/>
    <n v="3"/>
    <n v="5.03"/>
    <x v="4"/>
    <x v="3"/>
  </r>
  <r>
    <n v="45440"/>
    <x v="450"/>
    <x v="10"/>
    <x v="1"/>
    <x v="11"/>
    <s v="Bush Westfield Collection Bookcases, Medium Cherry Finish"/>
    <x v="4576"/>
    <n v="4"/>
    <n v="-64.94"/>
    <x v="4"/>
    <x v="3"/>
  </r>
  <r>
    <n v="45441"/>
    <x v="606"/>
    <x v="0"/>
    <x v="0"/>
    <x v="0"/>
    <s v="Xerox 1930"/>
    <x v="499"/>
    <n v="5"/>
    <n v="9.4"/>
    <x v="4"/>
    <x v="3"/>
  </r>
  <r>
    <n v="45441"/>
    <x v="606"/>
    <x v="0"/>
    <x v="0"/>
    <x v="2"/>
    <s v="File Shuttle I and Handi-File"/>
    <x v="1471"/>
    <n v="3"/>
    <n v="4.67"/>
    <x v="4"/>
    <x v="3"/>
  </r>
  <r>
    <n v="45441"/>
    <x v="742"/>
    <x v="0"/>
    <x v="1"/>
    <x v="8"/>
    <s v="Eldon Executive Woodline II Cherry Finish Desk Accessories"/>
    <x v="4577"/>
    <n v="4"/>
    <n v="-52.34"/>
    <x v="4"/>
    <x v="3"/>
  </r>
  <r>
    <n v="45441"/>
    <x v="618"/>
    <x v="40"/>
    <x v="0"/>
    <x v="7"/>
    <s v="Plymouth Boxed Rubber Bands by Plymouth"/>
    <x v="4578"/>
    <n v="5"/>
    <n v="1.18"/>
    <x v="4"/>
    <x v="3"/>
  </r>
  <r>
    <n v="45441"/>
    <x v="505"/>
    <x v="18"/>
    <x v="0"/>
    <x v="3"/>
    <s v="Satellite Sectional Post Binders"/>
    <x v="4579"/>
    <n v="1"/>
    <n v="19.97"/>
    <x v="4"/>
    <x v="3"/>
  </r>
  <r>
    <n v="45441"/>
    <x v="505"/>
    <x v="18"/>
    <x v="1"/>
    <x v="8"/>
    <s v="Eldon Wave Desk Accessories"/>
    <x v="274"/>
    <n v="3"/>
    <n v="2.62"/>
    <x v="4"/>
    <x v="3"/>
  </r>
  <r>
    <n v="45441"/>
    <x v="505"/>
    <x v="18"/>
    <x v="0"/>
    <x v="12"/>
    <s v="Hoover Commercial Lightweight Upright Vacuum with E-Z Empty Dirt Cup"/>
    <x v="4337"/>
    <n v="2"/>
    <n v="120.94"/>
    <x v="4"/>
    <x v="3"/>
  </r>
  <r>
    <n v="45441"/>
    <x v="505"/>
    <x v="18"/>
    <x v="0"/>
    <x v="0"/>
    <s v="Adams Telephone Message Book w/Frequently-Called Numbers Space, 400 Messages per Book"/>
    <x v="166"/>
    <n v="1"/>
    <n v="3.99"/>
    <x v="4"/>
    <x v="3"/>
  </r>
  <r>
    <n v="45442"/>
    <x v="664"/>
    <x v="8"/>
    <x v="1"/>
    <x v="11"/>
    <s v="Sauder Camden County Barrister Bookcase, Planked Cherry Finish"/>
    <x v="3544"/>
    <n v="2"/>
    <n v="33.869999999999997"/>
    <x v="4"/>
    <x v="3"/>
  </r>
  <r>
    <n v="45442"/>
    <x v="664"/>
    <x v="8"/>
    <x v="0"/>
    <x v="3"/>
    <s v="Avery Binder Labels"/>
    <x v="4580"/>
    <n v="1"/>
    <n v="1.87"/>
    <x v="4"/>
    <x v="3"/>
  </r>
  <r>
    <n v="45442"/>
    <x v="664"/>
    <x v="8"/>
    <x v="1"/>
    <x v="8"/>
    <s v="Acrylic Self-Standing Desk Frames"/>
    <x v="4581"/>
    <n v="3"/>
    <n v="3.04"/>
    <x v="4"/>
    <x v="3"/>
  </r>
  <r>
    <n v="45442"/>
    <x v="588"/>
    <x v="11"/>
    <x v="2"/>
    <x v="6"/>
    <s v="LG G3"/>
    <x v="4086"/>
    <n v="1"/>
    <n v="17.64"/>
    <x v="4"/>
    <x v="3"/>
  </r>
  <r>
    <n v="45442"/>
    <x v="588"/>
    <x v="11"/>
    <x v="2"/>
    <x v="9"/>
    <s v="SanDisk Ultra 32 GB MicroSDHC Class 10 Memory Card"/>
    <x v="2583"/>
    <n v="2"/>
    <n v="-3.09"/>
    <x v="4"/>
    <x v="3"/>
  </r>
  <r>
    <n v="45442"/>
    <x v="588"/>
    <x v="11"/>
    <x v="1"/>
    <x v="8"/>
    <s v="Tensor Brushed Steel Torchiere Floor Lamp"/>
    <x v="4582"/>
    <n v="1"/>
    <n v="-0.34"/>
    <x v="4"/>
    <x v="3"/>
  </r>
  <r>
    <n v="45442"/>
    <x v="436"/>
    <x v="3"/>
    <x v="0"/>
    <x v="0"/>
    <s v="Rediform S.O.S. 1-Up Phone Message Bk, 4-1/4x3-1/16 Bk, 1 Form/Pg, 40 Messages/Bk, 3/Pk"/>
    <x v="3555"/>
    <n v="4"/>
    <n v="18.010000000000002"/>
    <x v="4"/>
    <x v="3"/>
  </r>
  <r>
    <n v="45442"/>
    <x v="73"/>
    <x v="0"/>
    <x v="1"/>
    <x v="11"/>
    <s v="Atlantic Metals Mobile 5-Shelf Bookcases, Custom Colors"/>
    <x v="4583"/>
    <n v="1"/>
    <n v="-6.02"/>
    <x v="4"/>
    <x v="3"/>
  </r>
  <r>
    <n v="45442"/>
    <x v="75"/>
    <x v="3"/>
    <x v="0"/>
    <x v="4"/>
    <s v="Dixon My First Ticonderoga Pencil, #2"/>
    <x v="4112"/>
    <n v="6"/>
    <n v="10.18"/>
    <x v="4"/>
    <x v="3"/>
  </r>
  <r>
    <n v="45444"/>
    <x v="323"/>
    <x v="10"/>
    <x v="0"/>
    <x v="12"/>
    <s v="Eureka Sanitaire  Multi-Pro Heavy-Duty Upright, Disposable Bags"/>
    <x v="1649"/>
    <n v="5"/>
    <n v="1.31"/>
    <x v="5"/>
    <x v="3"/>
  </r>
  <r>
    <n v="45444"/>
    <x v="681"/>
    <x v="10"/>
    <x v="0"/>
    <x v="3"/>
    <s v="Cardinal HOLDit! Binder Insert Strips,Extra Strips"/>
    <x v="2290"/>
    <n v="2"/>
    <n v="-2.66"/>
    <x v="5"/>
    <x v="3"/>
  </r>
  <r>
    <n v="45444"/>
    <x v="681"/>
    <x v="10"/>
    <x v="0"/>
    <x v="0"/>
    <s v="Xerox 1924"/>
    <x v="4584"/>
    <n v="6"/>
    <n v="10.06"/>
    <x v="5"/>
    <x v="3"/>
  </r>
  <r>
    <n v="45444"/>
    <x v="681"/>
    <x v="10"/>
    <x v="2"/>
    <x v="6"/>
    <s v="Panasonic KX-TG6844B Expandable Digital Cordless Telephone"/>
    <x v="1940"/>
    <n v="4"/>
    <n v="-34.31"/>
    <x v="5"/>
    <x v="3"/>
  </r>
  <r>
    <n v="45444"/>
    <x v="755"/>
    <x v="40"/>
    <x v="0"/>
    <x v="3"/>
    <s v="GBC Standard Recycled Report Covers, Clear Plastic Sheets"/>
    <x v="4585"/>
    <n v="5"/>
    <n v="25.87"/>
    <x v="5"/>
    <x v="3"/>
  </r>
  <r>
    <n v="45444"/>
    <x v="220"/>
    <x v="2"/>
    <x v="0"/>
    <x v="2"/>
    <s v="Tennsco Stur-D-Stor Boltless Shelving, 5 Shelves, 24&quot; Deep, Sand"/>
    <x v="4586"/>
    <n v="3"/>
    <n v="-77.13"/>
    <x v="5"/>
    <x v="3"/>
  </r>
  <r>
    <n v="45444"/>
    <x v="698"/>
    <x v="18"/>
    <x v="1"/>
    <x v="5"/>
    <s v="Hon 4070 Series Pagoda Round Back Stacking Chairs"/>
    <x v="4587"/>
    <n v="6"/>
    <n v="539.25"/>
    <x v="5"/>
    <x v="3"/>
  </r>
  <r>
    <n v="45444"/>
    <x v="698"/>
    <x v="18"/>
    <x v="0"/>
    <x v="12"/>
    <s v="Honeywell Enviracaire Portable HEPA Air Cleaner for 17' x 22' Room"/>
    <x v="4588"/>
    <n v="8"/>
    <n v="793.72"/>
    <x v="5"/>
    <x v="3"/>
  </r>
  <r>
    <n v="45444"/>
    <x v="698"/>
    <x v="18"/>
    <x v="2"/>
    <x v="9"/>
    <s v="MaxellÂ LTO Ultrium - 800 GB"/>
    <x v="2750"/>
    <n v="3"/>
    <n v="15.95"/>
    <x v="5"/>
    <x v="3"/>
  </r>
  <r>
    <n v="45444"/>
    <x v="698"/>
    <x v="18"/>
    <x v="2"/>
    <x v="9"/>
    <s v="LogitechÂ MX Performance Wireless Mouse"/>
    <x v="4589"/>
    <n v="1"/>
    <n v="14.76"/>
    <x v="5"/>
    <x v="3"/>
  </r>
  <r>
    <n v="45444"/>
    <x v="698"/>
    <x v="18"/>
    <x v="0"/>
    <x v="3"/>
    <s v="Cardinal Slant-D Ring Binders"/>
    <x v="3934"/>
    <n v="2"/>
    <n v="8.69"/>
    <x v="5"/>
    <x v="3"/>
  </r>
  <r>
    <n v="45445"/>
    <x v="314"/>
    <x v="10"/>
    <x v="2"/>
    <x v="6"/>
    <s v="Cush Cases Heavy Duty Rugged Cover Case for Samsung Galaxy S5 - Purple"/>
    <x v="668"/>
    <n v="1"/>
    <n v="-0.64"/>
    <x v="5"/>
    <x v="3"/>
  </r>
  <r>
    <n v="45445"/>
    <x v="314"/>
    <x v="10"/>
    <x v="0"/>
    <x v="2"/>
    <s v="Advantus Rolling Storage Box"/>
    <x v="4590"/>
    <n v="2"/>
    <n v="2.4"/>
    <x v="5"/>
    <x v="3"/>
  </r>
  <r>
    <n v="45445"/>
    <x v="445"/>
    <x v="12"/>
    <x v="0"/>
    <x v="0"/>
    <s v="Xerox 4200 Series MultiUse Premium Copy Paper (20Lb. and 84 Bright)"/>
    <x v="2156"/>
    <n v="6"/>
    <n v="7.92"/>
    <x v="5"/>
    <x v="3"/>
  </r>
  <r>
    <n v="45445"/>
    <x v="445"/>
    <x v="12"/>
    <x v="0"/>
    <x v="10"/>
    <s v="Manila Recycled Extra-Heavyweight Clasp Envelopes, 6&quot; x 9&quot;"/>
    <x v="56"/>
    <n v="5"/>
    <n v="15.92"/>
    <x v="5"/>
    <x v="3"/>
  </r>
  <r>
    <n v="45445"/>
    <x v="178"/>
    <x v="25"/>
    <x v="0"/>
    <x v="0"/>
    <s v="Things To Do Today Spiral Book"/>
    <x v="2156"/>
    <n v="4"/>
    <n v="9.19"/>
    <x v="5"/>
    <x v="3"/>
  </r>
  <r>
    <n v="45445"/>
    <x v="628"/>
    <x v="0"/>
    <x v="0"/>
    <x v="0"/>
    <s v="Xerox 1977"/>
    <x v="1048"/>
    <n v="2"/>
    <n v="3.74"/>
    <x v="5"/>
    <x v="3"/>
  </r>
  <r>
    <n v="45446"/>
    <x v="252"/>
    <x v="15"/>
    <x v="1"/>
    <x v="8"/>
    <s v="Eldon 200 Class Desk Accessories, Burgundy"/>
    <x v="1395"/>
    <n v="7"/>
    <n v="9.67"/>
    <x v="5"/>
    <x v="3"/>
  </r>
  <r>
    <n v="45446"/>
    <x v="186"/>
    <x v="22"/>
    <x v="2"/>
    <x v="9"/>
    <s v="Plantronics Audio 995 Wireless Stereo Headset"/>
    <x v="4591"/>
    <n v="10"/>
    <n v="362.84"/>
    <x v="5"/>
    <x v="3"/>
  </r>
  <r>
    <n v="45446"/>
    <x v="531"/>
    <x v="3"/>
    <x v="2"/>
    <x v="9"/>
    <s v="Kingston Digital DataTraveler 16GB USB 2.0"/>
    <x v="2839"/>
    <n v="5"/>
    <n v="8.5"/>
    <x v="5"/>
    <x v="3"/>
  </r>
  <r>
    <n v="45446"/>
    <x v="531"/>
    <x v="3"/>
    <x v="0"/>
    <x v="0"/>
    <s v="Xerox 1947"/>
    <x v="687"/>
    <n v="2"/>
    <n v="5.38"/>
    <x v="5"/>
    <x v="3"/>
  </r>
  <r>
    <n v="45446"/>
    <x v="531"/>
    <x v="3"/>
    <x v="0"/>
    <x v="3"/>
    <s v="UniKeep View Case Binders"/>
    <x v="823"/>
    <n v="1"/>
    <n v="1.27"/>
    <x v="5"/>
    <x v="3"/>
  </r>
  <r>
    <n v="45446"/>
    <x v="245"/>
    <x v="16"/>
    <x v="0"/>
    <x v="3"/>
    <s v="Wilson Jones Standard D-Ring Binders"/>
    <x v="4592"/>
    <n v="3"/>
    <n v="-3.49"/>
    <x v="5"/>
    <x v="3"/>
  </r>
  <r>
    <n v="45446"/>
    <x v="245"/>
    <x v="16"/>
    <x v="0"/>
    <x v="12"/>
    <s v="Bravo II Megaboss 12-Amp Hard Body Upright, Replacement Belts, 2 Belts per Pack"/>
    <x v="4593"/>
    <n v="2"/>
    <n v="0.59"/>
    <x v="5"/>
    <x v="3"/>
  </r>
  <r>
    <n v="45446"/>
    <x v="245"/>
    <x v="16"/>
    <x v="2"/>
    <x v="9"/>
    <s v="LogitechÂ P710e Mobile Speakerphone"/>
    <x v="4594"/>
    <n v="1"/>
    <n v="-2.57"/>
    <x v="5"/>
    <x v="3"/>
  </r>
  <r>
    <n v="45446"/>
    <x v="245"/>
    <x v="16"/>
    <x v="0"/>
    <x v="0"/>
    <s v="Xerox 206"/>
    <x v="143"/>
    <n v="3"/>
    <n v="5.44"/>
    <x v="5"/>
    <x v="3"/>
  </r>
  <r>
    <n v="45446"/>
    <x v="245"/>
    <x v="16"/>
    <x v="2"/>
    <x v="6"/>
    <s v="VTech DS6151"/>
    <x v="1353"/>
    <n v="5"/>
    <n v="50.4"/>
    <x v="5"/>
    <x v="3"/>
  </r>
  <r>
    <n v="45446"/>
    <x v="245"/>
    <x v="16"/>
    <x v="0"/>
    <x v="12"/>
    <s v="Eureka Sanitaire  Multi-Pro Heavy-Duty Upright, Disposable Bags"/>
    <x v="4595"/>
    <n v="7"/>
    <n v="1.84"/>
    <x v="5"/>
    <x v="3"/>
  </r>
  <r>
    <n v="45446"/>
    <x v="245"/>
    <x v="16"/>
    <x v="1"/>
    <x v="11"/>
    <s v="Bush Mission Pointe Library"/>
    <x v="1520"/>
    <n v="2"/>
    <n v="0"/>
    <x v="5"/>
    <x v="3"/>
  </r>
  <r>
    <n v="45446"/>
    <x v="245"/>
    <x v="16"/>
    <x v="2"/>
    <x v="9"/>
    <s v="WD My Passport Ultra 1TB Portable External Hard Drive"/>
    <x v="4596"/>
    <n v="2"/>
    <n v="-4.1399999999999997"/>
    <x v="5"/>
    <x v="3"/>
  </r>
  <r>
    <n v="45446"/>
    <x v="549"/>
    <x v="20"/>
    <x v="1"/>
    <x v="13"/>
    <s v="Chromcraft 48&quot; x 96&quot; Racetrack Double Pedestal Table"/>
    <x v="4597"/>
    <n v="2"/>
    <n v="-115.43"/>
    <x v="5"/>
    <x v="3"/>
  </r>
  <r>
    <n v="45446"/>
    <x v="549"/>
    <x v="20"/>
    <x v="2"/>
    <x v="15"/>
    <s v="Hewlett-Packard 300S Scientific Calculator"/>
    <x v="4598"/>
    <n v="6"/>
    <n v="36.18"/>
    <x v="5"/>
    <x v="3"/>
  </r>
  <r>
    <n v="45446"/>
    <x v="549"/>
    <x v="20"/>
    <x v="0"/>
    <x v="0"/>
    <s v="Xerox 188"/>
    <x v="413"/>
    <n v="4"/>
    <n v="22.23"/>
    <x v="5"/>
    <x v="3"/>
  </r>
  <r>
    <n v="45446"/>
    <x v="690"/>
    <x v="22"/>
    <x v="0"/>
    <x v="2"/>
    <s v="Eldon Gobal File Keepers"/>
    <x v="4599"/>
    <n v="9"/>
    <n v="5.45"/>
    <x v="5"/>
    <x v="3"/>
  </r>
  <r>
    <n v="45447"/>
    <x v="754"/>
    <x v="25"/>
    <x v="1"/>
    <x v="8"/>
    <s v="Telescoping Adjustable Floor Lamp"/>
    <x v="665"/>
    <n v="2"/>
    <n v="2"/>
    <x v="5"/>
    <x v="3"/>
  </r>
  <r>
    <n v="45447"/>
    <x v="754"/>
    <x v="25"/>
    <x v="2"/>
    <x v="6"/>
    <s v="Innergie mMini Combo Duo USB Travel Charging Kit"/>
    <x v="1553"/>
    <n v="2"/>
    <n v="25.19"/>
    <x v="5"/>
    <x v="3"/>
  </r>
  <r>
    <n v="45447"/>
    <x v="284"/>
    <x v="33"/>
    <x v="0"/>
    <x v="0"/>
    <s v="Ampad Phone Message Book, Recycled, 400 Message Capacity, 5 Â¾Â” x 11Â”"/>
    <x v="3416"/>
    <n v="2"/>
    <n v="5.62"/>
    <x v="5"/>
    <x v="3"/>
  </r>
  <r>
    <n v="45447"/>
    <x v="189"/>
    <x v="28"/>
    <x v="0"/>
    <x v="4"/>
    <s v="Newell 346"/>
    <x v="406"/>
    <n v="3"/>
    <n v="2.5099999999999998"/>
    <x v="5"/>
    <x v="3"/>
  </r>
  <r>
    <n v="45447"/>
    <x v="783"/>
    <x v="0"/>
    <x v="0"/>
    <x v="3"/>
    <s v="Presstex Flexible Ring Binders"/>
    <x v="1380"/>
    <n v="7"/>
    <n v="-9.56"/>
    <x v="5"/>
    <x v="3"/>
  </r>
  <r>
    <n v="45447"/>
    <x v="200"/>
    <x v="13"/>
    <x v="0"/>
    <x v="3"/>
    <s v="GBC VeloBind Cover Sets"/>
    <x v="4600"/>
    <n v="7"/>
    <n v="54.04"/>
    <x v="5"/>
    <x v="3"/>
  </r>
  <r>
    <n v="45447"/>
    <x v="200"/>
    <x v="13"/>
    <x v="0"/>
    <x v="3"/>
    <s v="Insertable Tab Indexes For Data Binders"/>
    <x v="1694"/>
    <n v="3"/>
    <n v="4.3899999999999997"/>
    <x v="5"/>
    <x v="3"/>
  </r>
  <r>
    <n v="45447"/>
    <x v="313"/>
    <x v="0"/>
    <x v="1"/>
    <x v="8"/>
    <s v="Nu-Dell Executive Frame"/>
    <x v="3082"/>
    <n v="6"/>
    <n v="-17.440000000000001"/>
    <x v="5"/>
    <x v="3"/>
  </r>
  <r>
    <n v="45448"/>
    <x v="579"/>
    <x v="0"/>
    <x v="2"/>
    <x v="6"/>
    <s v="LG G3"/>
    <x v="4375"/>
    <n v="3"/>
    <n v="52.92"/>
    <x v="5"/>
    <x v="3"/>
  </r>
  <r>
    <n v="45448"/>
    <x v="270"/>
    <x v="16"/>
    <x v="0"/>
    <x v="0"/>
    <s v="Xerox 227"/>
    <x v="1315"/>
    <n v="4"/>
    <n v="7.26"/>
    <x v="5"/>
    <x v="3"/>
  </r>
  <r>
    <n v="45449"/>
    <x v="292"/>
    <x v="3"/>
    <x v="1"/>
    <x v="8"/>
    <s v="Eldon 300 Class Desk Accessories, Black"/>
    <x v="2584"/>
    <n v="1"/>
    <n v="2.1800000000000002"/>
    <x v="5"/>
    <x v="3"/>
  </r>
  <r>
    <n v="45449"/>
    <x v="292"/>
    <x v="3"/>
    <x v="0"/>
    <x v="2"/>
    <s v="Sterilite Show Offs Storage Containers"/>
    <x v="2183"/>
    <n v="5"/>
    <n v="0"/>
    <x v="5"/>
    <x v="3"/>
  </r>
  <r>
    <n v="45451"/>
    <x v="112"/>
    <x v="0"/>
    <x v="0"/>
    <x v="12"/>
    <s v="Eureka Disposable Bags for Sanitaire Vibra Groomer I Upright Vac"/>
    <x v="4601"/>
    <n v="2"/>
    <n v="-4.47"/>
    <x v="5"/>
    <x v="3"/>
  </r>
  <r>
    <n v="45451"/>
    <x v="495"/>
    <x v="0"/>
    <x v="0"/>
    <x v="14"/>
    <s v="Acme Tagit Stainless Steel Antibacterial Scissors"/>
    <x v="4602"/>
    <n v="3"/>
    <n v="2.08"/>
    <x v="5"/>
    <x v="3"/>
  </r>
  <r>
    <n v="45451"/>
    <x v="495"/>
    <x v="0"/>
    <x v="0"/>
    <x v="0"/>
    <s v="Easy-staple paper"/>
    <x v="2016"/>
    <n v="3"/>
    <n v="28.71"/>
    <x v="5"/>
    <x v="3"/>
  </r>
  <r>
    <n v="45451"/>
    <x v="495"/>
    <x v="0"/>
    <x v="2"/>
    <x v="6"/>
    <s v="ClearOne Communications CHAT 70 OCÂ Speaker Phone"/>
    <x v="4603"/>
    <n v="3"/>
    <n v="28.62"/>
    <x v="5"/>
    <x v="3"/>
  </r>
  <r>
    <n v="45451"/>
    <x v="395"/>
    <x v="37"/>
    <x v="0"/>
    <x v="3"/>
    <s v="Wilson Jones Impact Binders"/>
    <x v="4604"/>
    <n v="2"/>
    <n v="5.08"/>
    <x v="5"/>
    <x v="3"/>
  </r>
  <r>
    <n v="45451"/>
    <x v="346"/>
    <x v="1"/>
    <x v="0"/>
    <x v="3"/>
    <s v="GBC Twin Loop Wire Binding Elements, 9/16&quot; Spine, Black"/>
    <x v="393"/>
    <n v="4"/>
    <n v="-18.87"/>
    <x v="5"/>
    <x v="3"/>
  </r>
  <r>
    <n v="45451"/>
    <x v="473"/>
    <x v="3"/>
    <x v="1"/>
    <x v="11"/>
    <s v="Riverside Palais Royal Lawyers Bookcase, Royale Cherry Finish"/>
    <x v="4605"/>
    <n v="2"/>
    <n v="140.96"/>
    <x v="5"/>
    <x v="3"/>
  </r>
  <r>
    <n v="45451"/>
    <x v="473"/>
    <x v="3"/>
    <x v="2"/>
    <x v="6"/>
    <s v="Shocksock Galaxy S4 Armband"/>
    <x v="1765"/>
    <n v="2"/>
    <n v="-3.5"/>
    <x v="5"/>
    <x v="3"/>
  </r>
  <r>
    <n v="45451"/>
    <x v="251"/>
    <x v="12"/>
    <x v="2"/>
    <x v="9"/>
    <s v="Memorex Micro Travel Drive 16 GB"/>
    <x v="4606"/>
    <n v="7"/>
    <n v="12.31"/>
    <x v="5"/>
    <x v="3"/>
  </r>
  <r>
    <n v="45451"/>
    <x v="251"/>
    <x v="12"/>
    <x v="0"/>
    <x v="2"/>
    <s v="Rogers Deluxe File Chest"/>
    <x v="1395"/>
    <n v="2"/>
    <n v="-8.35"/>
    <x v="5"/>
    <x v="3"/>
  </r>
  <r>
    <n v="45451"/>
    <x v="251"/>
    <x v="12"/>
    <x v="0"/>
    <x v="3"/>
    <s v="GBC VeloBinder Electric Binding Machine"/>
    <x v="2465"/>
    <n v="2"/>
    <n v="-48.39"/>
    <x v="5"/>
    <x v="3"/>
  </r>
  <r>
    <n v="45452"/>
    <x v="690"/>
    <x v="1"/>
    <x v="1"/>
    <x v="8"/>
    <s v="12-1/2 Diameter Round Wall Clock"/>
    <x v="837"/>
    <n v="3"/>
    <n v="-14.39"/>
    <x v="5"/>
    <x v="3"/>
  </r>
  <r>
    <n v="45452"/>
    <x v="690"/>
    <x v="1"/>
    <x v="1"/>
    <x v="13"/>
    <s v="Chromcraft Bull-Nose Wood Round Conference Table Top, Wood Base"/>
    <x v="4607"/>
    <n v="1"/>
    <n v="-71.89"/>
    <x v="5"/>
    <x v="3"/>
  </r>
  <r>
    <n v="45452"/>
    <x v="690"/>
    <x v="1"/>
    <x v="0"/>
    <x v="0"/>
    <s v="Adams Telephone Message Book W/Dividers/Space For Phone Numbers, 5 1/4&quot;X8 1/2&quot;, 200/Messages"/>
    <x v="4608"/>
    <n v="8"/>
    <n v="11.36"/>
    <x v="5"/>
    <x v="3"/>
  </r>
  <r>
    <n v="45452"/>
    <x v="479"/>
    <x v="0"/>
    <x v="0"/>
    <x v="2"/>
    <s v="Standard Rollaway File with Lock"/>
    <x v="3917"/>
    <n v="5"/>
    <n v="54.06"/>
    <x v="5"/>
    <x v="3"/>
  </r>
  <r>
    <n v="45452"/>
    <x v="643"/>
    <x v="6"/>
    <x v="0"/>
    <x v="0"/>
    <s v="Easy-staple paper"/>
    <x v="644"/>
    <n v="4"/>
    <n v="23.09"/>
    <x v="5"/>
    <x v="3"/>
  </r>
  <r>
    <n v="45453"/>
    <x v="428"/>
    <x v="3"/>
    <x v="0"/>
    <x v="1"/>
    <s v="Alphabetical Labels for Top Tab Filing"/>
    <x v="271"/>
    <n v="2"/>
    <n v="14.8"/>
    <x v="5"/>
    <x v="3"/>
  </r>
  <r>
    <n v="45453"/>
    <x v="428"/>
    <x v="3"/>
    <x v="1"/>
    <x v="11"/>
    <s v="O'Sullivan Living Dimensions 2-Shelf Bookcases"/>
    <x v="4609"/>
    <n v="5"/>
    <n v="-30.25"/>
    <x v="5"/>
    <x v="3"/>
  </r>
  <r>
    <n v="45453"/>
    <x v="428"/>
    <x v="3"/>
    <x v="2"/>
    <x v="6"/>
    <s v="iHome FM Clock Radio with Lightning Dock"/>
    <x v="1418"/>
    <n v="5"/>
    <n v="17.5"/>
    <x v="5"/>
    <x v="3"/>
  </r>
  <r>
    <n v="45453"/>
    <x v="573"/>
    <x v="14"/>
    <x v="2"/>
    <x v="9"/>
    <s v="ImationÂ 16GB Mini TravelDrive USB 2.0Â Flash Drive"/>
    <x v="3230"/>
    <n v="4"/>
    <n v="54.33"/>
    <x v="5"/>
    <x v="3"/>
  </r>
  <r>
    <n v="45453"/>
    <x v="346"/>
    <x v="3"/>
    <x v="0"/>
    <x v="4"/>
    <s v="Newell 351"/>
    <x v="747"/>
    <n v="5"/>
    <n v="4.76"/>
    <x v="5"/>
    <x v="3"/>
  </r>
  <r>
    <n v="45453"/>
    <x v="319"/>
    <x v="2"/>
    <x v="0"/>
    <x v="0"/>
    <s v="REDIFORM Incoming/Outgoing Call Register, 11&quot; X 8 1/2&quot;, 100 Messages"/>
    <x v="1797"/>
    <n v="6"/>
    <n v="15.01"/>
    <x v="5"/>
    <x v="3"/>
  </r>
  <r>
    <n v="45453"/>
    <x v="37"/>
    <x v="16"/>
    <x v="0"/>
    <x v="2"/>
    <s v="24 Capacity Maxi Data Binder Racks, Pearl"/>
    <x v="4610"/>
    <n v="8"/>
    <n v="84.22"/>
    <x v="5"/>
    <x v="3"/>
  </r>
  <r>
    <n v="45453"/>
    <x v="49"/>
    <x v="20"/>
    <x v="0"/>
    <x v="4"/>
    <s v="Prang Dustless Chalk Sticks"/>
    <x v="2214"/>
    <n v="5"/>
    <n v="4.2"/>
    <x v="5"/>
    <x v="3"/>
  </r>
  <r>
    <n v="45453"/>
    <x v="649"/>
    <x v="22"/>
    <x v="2"/>
    <x v="6"/>
    <s v="Logitech B530 USBÂ HeadsetÂ -Â headsetÂ - Full size, Binaural"/>
    <x v="1219"/>
    <n v="3"/>
    <n v="7.77"/>
    <x v="5"/>
    <x v="3"/>
  </r>
  <r>
    <n v="45453"/>
    <x v="649"/>
    <x v="22"/>
    <x v="0"/>
    <x v="1"/>
    <s v="Avery 512"/>
    <x v="825"/>
    <n v="4"/>
    <n v="5.43"/>
    <x v="5"/>
    <x v="3"/>
  </r>
  <r>
    <n v="45453"/>
    <x v="649"/>
    <x v="22"/>
    <x v="0"/>
    <x v="2"/>
    <s v="Personal File Boxes with Fold-Down Carry Handle"/>
    <x v="3478"/>
    <n v="1"/>
    <n v="3.9"/>
    <x v="5"/>
    <x v="3"/>
  </r>
  <r>
    <n v="45453"/>
    <x v="434"/>
    <x v="3"/>
    <x v="0"/>
    <x v="4"/>
    <s v="Sanford EarthWrite Recycled Pencils, Medium Soft, #2"/>
    <x v="2742"/>
    <n v="7"/>
    <n v="4.12"/>
    <x v="5"/>
    <x v="3"/>
  </r>
  <r>
    <n v="45453"/>
    <x v="22"/>
    <x v="20"/>
    <x v="0"/>
    <x v="7"/>
    <s v="Plymouth Boxed Rubber Bands by Plymouth"/>
    <x v="4611"/>
    <n v="3"/>
    <n v="0.71"/>
    <x v="5"/>
    <x v="3"/>
  </r>
  <r>
    <n v="45454"/>
    <x v="265"/>
    <x v="3"/>
    <x v="0"/>
    <x v="0"/>
    <s v="White Dual Perf Computer Printout Paper, 2700 Sheets, 1 Part, Heavyweight, 20 lbs., 14 7/8 x 11"/>
    <x v="222"/>
    <n v="3"/>
    <n v="60.26"/>
    <x v="5"/>
    <x v="3"/>
  </r>
  <r>
    <n v="45454"/>
    <x v="288"/>
    <x v="12"/>
    <x v="1"/>
    <x v="5"/>
    <s v="Global Leather Executive Chair"/>
    <x v="4612"/>
    <n v="1"/>
    <n v="35.1"/>
    <x v="5"/>
    <x v="3"/>
  </r>
  <r>
    <n v="45454"/>
    <x v="288"/>
    <x v="12"/>
    <x v="0"/>
    <x v="2"/>
    <s v="Sortfiler Multipurpose Personal File Organizer, Black"/>
    <x v="4613"/>
    <n v="4"/>
    <n v="7.7"/>
    <x v="5"/>
    <x v="3"/>
  </r>
  <r>
    <n v="45454"/>
    <x v="288"/>
    <x v="12"/>
    <x v="0"/>
    <x v="4"/>
    <s v="Boston 16801 Nautilus Battery Pencil Sharpener"/>
    <x v="3136"/>
    <n v="5"/>
    <n v="6.6"/>
    <x v="5"/>
    <x v="3"/>
  </r>
  <r>
    <n v="45454"/>
    <x v="288"/>
    <x v="12"/>
    <x v="0"/>
    <x v="4"/>
    <s v="Newell 319"/>
    <x v="3807"/>
    <n v="1"/>
    <n v="1.98"/>
    <x v="5"/>
    <x v="3"/>
  </r>
  <r>
    <n v="45454"/>
    <x v="288"/>
    <x v="12"/>
    <x v="0"/>
    <x v="2"/>
    <s v="Fellowes Officeware Wire Shelving"/>
    <x v="4614"/>
    <n v="3"/>
    <n v="-48.51"/>
    <x v="5"/>
    <x v="3"/>
  </r>
  <r>
    <n v="45454"/>
    <x v="61"/>
    <x v="33"/>
    <x v="0"/>
    <x v="4"/>
    <s v="OIC #2 Pencils, Medium Soft"/>
    <x v="572"/>
    <n v="2"/>
    <n v="1.0900000000000001"/>
    <x v="5"/>
    <x v="3"/>
  </r>
  <r>
    <n v="45454"/>
    <x v="23"/>
    <x v="22"/>
    <x v="0"/>
    <x v="0"/>
    <s v="Xerox 1939"/>
    <x v="1956"/>
    <n v="2"/>
    <n v="18.21"/>
    <x v="5"/>
    <x v="3"/>
  </r>
  <r>
    <n v="45454"/>
    <x v="23"/>
    <x v="22"/>
    <x v="0"/>
    <x v="3"/>
    <s v="Acco Pressboard Covers with Storage Hooks, 14 7/8&quot; x 11&quot;, Dark Blue"/>
    <x v="368"/>
    <n v="6"/>
    <n v="6.63"/>
    <x v="5"/>
    <x v="3"/>
  </r>
  <r>
    <n v="45454"/>
    <x v="23"/>
    <x v="22"/>
    <x v="2"/>
    <x v="15"/>
    <s v="Cisco Desktop Collaboration Experience DX650 IP Video Phone"/>
    <x v="4615"/>
    <n v="5"/>
    <n v="130.21"/>
    <x v="5"/>
    <x v="3"/>
  </r>
  <r>
    <n v="45454"/>
    <x v="23"/>
    <x v="22"/>
    <x v="0"/>
    <x v="2"/>
    <s v="Belkin 19&quot; Vented Equipment Shelf, Black"/>
    <x v="4616"/>
    <n v="2"/>
    <n v="1.03"/>
    <x v="5"/>
    <x v="3"/>
  </r>
  <r>
    <n v="45454"/>
    <x v="23"/>
    <x v="22"/>
    <x v="1"/>
    <x v="11"/>
    <s v="O'Sullivan 3-Shelf Heavy-Duty Bookcases"/>
    <x v="4617"/>
    <n v="3"/>
    <n v="41.86"/>
    <x v="5"/>
    <x v="3"/>
  </r>
  <r>
    <n v="45454"/>
    <x v="368"/>
    <x v="3"/>
    <x v="0"/>
    <x v="12"/>
    <s v="Kensington 6 Outlet Guardian Standard Surge Protector"/>
    <x v="2437"/>
    <n v="3"/>
    <n v="16.59"/>
    <x v="5"/>
    <x v="3"/>
  </r>
  <r>
    <n v="45454"/>
    <x v="456"/>
    <x v="25"/>
    <x v="0"/>
    <x v="3"/>
    <s v="Acco Pressboard Covers with Storage Hooks, 14 7/8&quot; x 11&quot;, Executive Red"/>
    <x v="4618"/>
    <n v="4"/>
    <n v="-3.81"/>
    <x v="5"/>
    <x v="3"/>
  </r>
  <r>
    <n v="45455"/>
    <x v="5"/>
    <x v="4"/>
    <x v="0"/>
    <x v="3"/>
    <s v="Ibico Plastic Spiral Binding Combs"/>
    <x v="4619"/>
    <n v="3"/>
    <n v="41.95"/>
    <x v="5"/>
    <x v="3"/>
  </r>
  <r>
    <n v="45455"/>
    <x v="5"/>
    <x v="4"/>
    <x v="1"/>
    <x v="13"/>
    <s v="Iceberg OfficeWorks 42&quot; Round Tables"/>
    <x v="4620"/>
    <n v="3"/>
    <n v="67.94"/>
    <x v="5"/>
    <x v="3"/>
  </r>
  <r>
    <n v="45455"/>
    <x v="242"/>
    <x v="20"/>
    <x v="0"/>
    <x v="0"/>
    <s v="TOPS Voice Message Log Book, Flash Format"/>
    <x v="4105"/>
    <n v="4"/>
    <n v="9.33"/>
    <x v="5"/>
    <x v="3"/>
  </r>
  <r>
    <n v="45455"/>
    <x v="242"/>
    <x v="20"/>
    <x v="0"/>
    <x v="3"/>
    <s v="Angle-D Ring Binders"/>
    <x v="957"/>
    <n v="3"/>
    <n v="4.2699999999999996"/>
    <x v="5"/>
    <x v="3"/>
  </r>
  <r>
    <n v="45455"/>
    <x v="242"/>
    <x v="20"/>
    <x v="0"/>
    <x v="4"/>
    <s v="Boston 1730 StandUp Electric Pencil Sharpener"/>
    <x v="1904"/>
    <n v="3"/>
    <n v="16.68"/>
    <x v="5"/>
    <x v="3"/>
  </r>
  <r>
    <n v="45455"/>
    <x v="242"/>
    <x v="20"/>
    <x v="1"/>
    <x v="5"/>
    <s v="Safco Contoured Stacking Chairs"/>
    <x v="4621"/>
    <n v="4"/>
    <n v="143.04"/>
    <x v="5"/>
    <x v="3"/>
  </r>
  <r>
    <n v="45455"/>
    <x v="164"/>
    <x v="16"/>
    <x v="1"/>
    <x v="8"/>
    <s v="Dana Swing-Arm Lamps"/>
    <x v="272"/>
    <n v="2"/>
    <n v="1.07"/>
    <x v="5"/>
    <x v="3"/>
  </r>
  <r>
    <n v="45455"/>
    <x v="459"/>
    <x v="10"/>
    <x v="2"/>
    <x v="9"/>
    <s v="Microsoft Sculpt Comfort Mouse"/>
    <x v="935"/>
    <n v="2"/>
    <n v="19.18"/>
    <x v="5"/>
    <x v="3"/>
  </r>
  <r>
    <n v="45455"/>
    <x v="417"/>
    <x v="22"/>
    <x v="2"/>
    <x v="6"/>
    <s v="OtterBox Defender Series Case - Samsung Galaxy S4"/>
    <x v="1553"/>
    <n v="3"/>
    <n v="9"/>
    <x v="5"/>
    <x v="3"/>
  </r>
  <r>
    <n v="45455"/>
    <x v="417"/>
    <x v="22"/>
    <x v="0"/>
    <x v="0"/>
    <s v="Xerox 203"/>
    <x v="5"/>
    <n v="3"/>
    <n v="9.33"/>
    <x v="5"/>
    <x v="3"/>
  </r>
  <r>
    <n v="45455"/>
    <x v="350"/>
    <x v="1"/>
    <x v="1"/>
    <x v="8"/>
    <s v="Eldon Expressions Wood Desk Accessories, Oak"/>
    <x v="1939"/>
    <n v="3"/>
    <n v="-6.86"/>
    <x v="5"/>
    <x v="3"/>
  </r>
  <r>
    <n v="45456"/>
    <x v="26"/>
    <x v="1"/>
    <x v="0"/>
    <x v="2"/>
    <s v="Belkin 19&quot; Vented Equipment Shelf, Black"/>
    <x v="4622"/>
    <n v="4"/>
    <n v="-39.119999999999997"/>
    <x v="5"/>
    <x v="3"/>
  </r>
  <r>
    <n v="45456"/>
    <x v="26"/>
    <x v="1"/>
    <x v="1"/>
    <x v="5"/>
    <s v="Global Super Steno Chair"/>
    <x v="4623"/>
    <n v="7"/>
    <n v="-87.34"/>
    <x v="5"/>
    <x v="3"/>
  </r>
  <r>
    <n v="45456"/>
    <x v="26"/>
    <x v="1"/>
    <x v="2"/>
    <x v="6"/>
    <s v="OtterBox Defender Series Case - Samsung Galaxy S4"/>
    <x v="972"/>
    <n v="2"/>
    <n v="6"/>
    <x v="5"/>
    <x v="3"/>
  </r>
  <r>
    <n v="45456"/>
    <x v="194"/>
    <x v="6"/>
    <x v="0"/>
    <x v="4"/>
    <s v="Boston 1799 Powerhouse Electric Pencil Sharpener"/>
    <x v="4624"/>
    <n v="7"/>
    <n v="50.92"/>
    <x v="5"/>
    <x v="3"/>
  </r>
  <r>
    <n v="45456"/>
    <x v="581"/>
    <x v="22"/>
    <x v="1"/>
    <x v="5"/>
    <s v="Global Wood Trimmed Manager's Task Chair, Khaki"/>
    <x v="4625"/>
    <n v="4"/>
    <n v="-25.47"/>
    <x v="5"/>
    <x v="3"/>
  </r>
  <r>
    <n v="45458"/>
    <x v="786"/>
    <x v="3"/>
    <x v="2"/>
    <x v="6"/>
    <s v="Anker 36W 4-Port USB Wall Charger Travel Power Adapter for iPhone 5s 5c 5"/>
    <x v="972"/>
    <n v="3"/>
    <n v="4.8"/>
    <x v="5"/>
    <x v="3"/>
  </r>
  <r>
    <n v="45458"/>
    <x v="210"/>
    <x v="1"/>
    <x v="0"/>
    <x v="4"/>
    <s v="Newell 331"/>
    <x v="1789"/>
    <n v="5"/>
    <n v="1.71"/>
    <x v="5"/>
    <x v="3"/>
  </r>
  <r>
    <n v="45458"/>
    <x v="723"/>
    <x v="3"/>
    <x v="0"/>
    <x v="4"/>
    <s v="Dixon Prang Watercolor Pencils, 10-Color Set with Brush"/>
    <x v="4626"/>
    <n v="1"/>
    <n v="1.75"/>
    <x v="5"/>
    <x v="3"/>
  </r>
  <r>
    <n v="45458"/>
    <x v="222"/>
    <x v="28"/>
    <x v="0"/>
    <x v="1"/>
    <s v="Avery 490"/>
    <x v="255"/>
    <n v="3"/>
    <n v="22.2"/>
    <x v="5"/>
    <x v="3"/>
  </r>
  <r>
    <n v="45458"/>
    <x v="222"/>
    <x v="28"/>
    <x v="0"/>
    <x v="2"/>
    <s v="Tenex Personal Self-Stacking Standard File Box, Black/Gray"/>
    <x v="4627"/>
    <n v="5"/>
    <n v="22.83"/>
    <x v="5"/>
    <x v="3"/>
  </r>
  <r>
    <n v="45458"/>
    <x v="222"/>
    <x v="28"/>
    <x v="0"/>
    <x v="0"/>
    <s v="Xerox 1992"/>
    <x v="150"/>
    <n v="3"/>
    <n v="8.7899999999999991"/>
    <x v="5"/>
    <x v="3"/>
  </r>
  <r>
    <n v="45458"/>
    <x v="94"/>
    <x v="3"/>
    <x v="2"/>
    <x v="6"/>
    <s v="Panasonic KX T7736-B Digital phone"/>
    <x v="1446"/>
    <n v="1"/>
    <n v="7.5"/>
    <x v="5"/>
    <x v="3"/>
  </r>
  <r>
    <n v="45458"/>
    <x v="93"/>
    <x v="15"/>
    <x v="2"/>
    <x v="6"/>
    <s v="HTC One"/>
    <x v="868"/>
    <n v="3"/>
    <n v="27"/>
    <x v="5"/>
    <x v="3"/>
  </r>
  <r>
    <n v="45458"/>
    <x v="93"/>
    <x v="15"/>
    <x v="1"/>
    <x v="8"/>
    <s v="Staple-based wall hangings"/>
    <x v="4628"/>
    <n v="4"/>
    <n v="9.35"/>
    <x v="5"/>
    <x v="3"/>
  </r>
  <r>
    <n v="45458"/>
    <x v="93"/>
    <x v="15"/>
    <x v="1"/>
    <x v="13"/>
    <s v="Barricks 18&quot; x 48&quot; Non-Folding Utility Table with Bottom Storage Shelf"/>
    <x v="4629"/>
    <n v="2"/>
    <n v="-28.22"/>
    <x v="5"/>
    <x v="3"/>
  </r>
  <r>
    <n v="45458"/>
    <x v="93"/>
    <x v="15"/>
    <x v="2"/>
    <x v="6"/>
    <s v="Samsung Galaxy S III - 16GB - pebble blue (T-Mobile)"/>
    <x v="4630"/>
    <n v="8"/>
    <n v="223.99"/>
    <x v="5"/>
    <x v="3"/>
  </r>
  <r>
    <n v="45458"/>
    <x v="93"/>
    <x v="15"/>
    <x v="0"/>
    <x v="12"/>
    <s v="Staple holder"/>
    <x v="4631"/>
    <n v="8"/>
    <n v="6.7"/>
    <x v="5"/>
    <x v="3"/>
  </r>
  <r>
    <n v="45458"/>
    <x v="93"/>
    <x v="15"/>
    <x v="0"/>
    <x v="2"/>
    <s v="Hot File 7-Pocket, Floor Stand"/>
    <x v="176"/>
    <n v="1"/>
    <n v="17.850000000000001"/>
    <x v="5"/>
    <x v="3"/>
  </r>
  <r>
    <n v="45458"/>
    <x v="93"/>
    <x v="15"/>
    <x v="0"/>
    <x v="0"/>
    <s v="Xerox 1955"/>
    <x v="802"/>
    <n v="5"/>
    <n v="29.69"/>
    <x v="5"/>
    <x v="3"/>
  </r>
  <r>
    <n v="45458"/>
    <x v="364"/>
    <x v="25"/>
    <x v="1"/>
    <x v="5"/>
    <s v="Global Executive Mid-Back Manager's Chair"/>
    <x v="648"/>
    <n v="3"/>
    <n v="52.38"/>
    <x v="5"/>
    <x v="3"/>
  </r>
  <r>
    <n v="45458"/>
    <x v="364"/>
    <x v="25"/>
    <x v="1"/>
    <x v="11"/>
    <s v="O'Sullivan 2-Shelf Heavy-Duty Bookcases"/>
    <x v="4632"/>
    <n v="2"/>
    <n v="-3.89"/>
    <x v="5"/>
    <x v="3"/>
  </r>
  <r>
    <n v="45459"/>
    <x v="595"/>
    <x v="25"/>
    <x v="0"/>
    <x v="4"/>
    <s v="Quartet Omega Colored Chalk, 12/Pack"/>
    <x v="1473"/>
    <n v="3"/>
    <n v="4.7300000000000004"/>
    <x v="5"/>
    <x v="3"/>
  </r>
  <r>
    <n v="45459"/>
    <x v="264"/>
    <x v="5"/>
    <x v="1"/>
    <x v="5"/>
    <s v="Global Airflow Leather Mesh Back Chair, Black"/>
    <x v="2143"/>
    <n v="2"/>
    <n v="90.59"/>
    <x v="5"/>
    <x v="3"/>
  </r>
  <r>
    <n v="45459"/>
    <x v="264"/>
    <x v="5"/>
    <x v="0"/>
    <x v="12"/>
    <s v="Fellowes Smart Surge Ten-Outlet Protector, Platinum"/>
    <x v="4633"/>
    <n v="3"/>
    <n v="50.58"/>
    <x v="5"/>
    <x v="3"/>
  </r>
  <r>
    <n v="45459"/>
    <x v="264"/>
    <x v="5"/>
    <x v="2"/>
    <x v="6"/>
    <s v="Pyle PMP37LED"/>
    <x v="1611"/>
    <n v="2"/>
    <n v="51.83"/>
    <x v="5"/>
    <x v="3"/>
  </r>
  <r>
    <n v="45459"/>
    <x v="264"/>
    <x v="5"/>
    <x v="2"/>
    <x v="6"/>
    <s v="Clarity 53712"/>
    <x v="4634"/>
    <n v="1"/>
    <n v="17.16"/>
    <x v="5"/>
    <x v="3"/>
  </r>
  <r>
    <n v="45459"/>
    <x v="350"/>
    <x v="3"/>
    <x v="1"/>
    <x v="5"/>
    <s v="Hon Multipurpose Stacking Arm Chairs"/>
    <x v="427"/>
    <n v="7"/>
    <n v="90.97"/>
    <x v="5"/>
    <x v="3"/>
  </r>
  <r>
    <n v="45459"/>
    <x v="350"/>
    <x v="3"/>
    <x v="0"/>
    <x v="0"/>
    <s v="Wirebound Message Books, Four 2 3/4&quot; x 5&quot; Forms per Page, 600 Sets per Book"/>
    <x v="2414"/>
    <n v="2"/>
    <n v="8.7100000000000009"/>
    <x v="5"/>
    <x v="3"/>
  </r>
  <r>
    <n v="45459"/>
    <x v="314"/>
    <x v="31"/>
    <x v="0"/>
    <x v="14"/>
    <s v="Acme Elite Stainless Steel Scissors"/>
    <x v="65"/>
    <n v="2"/>
    <n v="4.34"/>
    <x v="5"/>
    <x v="3"/>
  </r>
  <r>
    <n v="45459"/>
    <x v="314"/>
    <x v="31"/>
    <x v="0"/>
    <x v="0"/>
    <s v="Xerox 215"/>
    <x v="5"/>
    <n v="3"/>
    <n v="9.33"/>
    <x v="5"/>
    <x v="3"/>
  </r>
  <r>
    <n v="45459"/>
    <x v="314"/>
    <x v="31"/>
    <x v="0"/>
    <x v="0"/>
    <s v="Xerox 1885"/>
    <x v="3647"/>
    <n v="4"/>
    <n v="92.24"/>
    <x v="5"/>
    <x v="3"/>
  </r>
  <r>
    <n v="45459"/>
    <x v="521"/>
    <x v="1"/>
    <x v="0"/>
    <x v="3"/>
    <s v="Storex DuraTech Recycled Plastic Frosted Binders"/>
    <x v="62"/>
    <n v="7"/>
    <n v="-8.9"/>
    <x v="5"/>
    <x v="3"/>
  </r>
  <r>
    <n v="45459"/>
    <x v="349"/>
    <x v="10"/>
    <x v="2"/>
    <x v="9"/>
    <s v="Logitech Wireless Performance Mouse MX for PC and Mac"/>
    <x v="1698"/>
    <n v="6"/>
    <n v="107.99"/>
    <x v="5"/>
    <x v="3"/>
  </r>
  <r>
    <n v="45459"/>
    <x v="349"/>
    <x v="10"/>
    <x v="0"/>
    <x v="4"/>
    <s v="Newell 330"/>
    <x v="635"/>
    <n v="5"/>
    <n v="1.79"/>
    <x v="5"/>
    <x v="3"/>
  </r>
  <r>
    <n v="45460"/>
    <x v="375"/>
    <x v="3"/>
    <x v="0"/>
    <x v="3"/>
    <s v="Trimflex Flexible Post Binders"/>
    <x v="2868"/>
    <n v="3"/>
    <n v="17.96"/>
    <x v="5"/>
    <x v="3"/>
  </r>
  <r>
    <n v="45460"/>
    <x v="413"/>
    <x v="22"/>
    <x v="1"/>
    <x v="8"/>
    <s v="Howard Miller 13-3/4&quot; Diameter Brushed Chrome Round Wall Clock"/>
    <x v="4635"/>
    <n v="3"/>
    <n v="46.58"/>
    <x v="5"/>
    <x v="3"/>
  </r>
  <r>
    <n v="45460"/>
    <x v="413"/>
    <x v="22"/>
    <x v="0"/>
    <x v="2"/>
    <s v="Project Tote Personal File"/>
    <x v="4193"/>
    <n v="1"/>
    <n v="4.07"/>
    <x v="5"/>
    <x v="3"/>
  </r>
  <r>
    <n v="45460"/>
    <x v="465"/>
    <x v="1"/>
    <x v="0"/>
    <x v="0"/>
    <s v="Rediform Wirebound &quot;Phone Memo&quot; Message Book, 11 x 5-3/4"/>
    <x v="2003"/>
    <n v="2"/>
    <n v="4.43"/>
    <x v="5"/>
    <x v="3"/>
  </r>
  <r>
    <n v="45460"/>
    <x v="465"/>
    <x v="1"/>
    <x v="0"/>
    <x v="3"/>
    <s v="Avery Durable Binders"/>
    <x v="2256"/>
    <n v="4"/>
    <n v="-3.57"/>
    <x v="5"/>
    <x v="3"/>
  </r>
  <r>
    <n v="45460"/>
    <x v="465"/>
    <x v="1"/>
    <x v="0"/>
    <x v="3"/>
    <s v="Fellowes Binding Cases"/>
    <x v="4636"/>
    <n v="4"/>
    <n v="-16.38"/>
    <x v="5"/>
    <x v="3"/>
  </r>
  <r>
    <n v="45460"/>
    <x v="371"/>
    <x v="26"/>
    <x v="0"/>
    <x v="2"/>
    <s v="Carina Media Storage Towers in Natural &amp; Black"/>
    <x v="1190"/>
    <n v="3"/>
    <n v="-32.93"/>
    <x v="5"/>
    <x v="3"/>
  </r>
  <r>
    <n v="45460"/>
    <x v="50"/>
    <x v="20"/>
    <x v="2"/>
    <x v="15"/>
    <s v="Hewlett-Packard Desktjet 6988DT Refurbished Printer"/>
    <x v="4637"/>
    <n v="5"/>
    <n v="1668.21"/>
    <x v="5"/>
    <x v="3"/>
  </r>
  <r>
    <n v="45460"/>
    <x v="50"/>
    <x v="20"/>
    <x v="2"/>
    <x v="9"/>
    <s v="Kingston Digital DataTraveler 64GB USB 2.0"/>
    <x v="4638"/>
    <n v="3"/>
    <n v="8.11"/>
    <x v="5"/>
    <x v="3"/>
  </r>
  <r>
    <n v="45461"/>
    <x v="583"/>
    <x v="3"/>
    <x v="1"/>
    <x v="11"/>
    <s v="Bush Andora Bookcase, Maple/Graphite Gray Finish"/>
    <x v="4639"/>
    <n v="9"/>
    <n v="75.59"/>
    <x v="5"/>
    <x v="3"/>
  </r>
  <r>
    <n v="45461"/>
    <x v="583"/>
    <x v="3"/>
    <x v="0"/>
    <x v="0"/>
    <s v="Xerox 1930"/>
    <x v="2167"/>
    <n v="6"/>
    <n v="19.05"/>
    <x v="5"/>
    <x v="3"/>
  </r>
  <r>
    <n v="45461"/>
    <x v="646"/>
    <x v="0"/>
    <x v="0"/>
    <x v="0"/>
    <s v="Xerox 1925"/>
    <x v="230"/>
    <n v="3"/>
    <n v="23.24"/>
    <x v="5"/>
    <x v="3"/>
  </r>
  <r>
    <n v="45462"/>
    <x v="444"/>
    <x v="20"/>
    <x v="0"/>
    <x v="0"/>
    <s v="Xerox 1943"/>
    <x v="148"/>
    <n v="2"/>
    <n v="45.98"/>
    <x v="5"/>
    <x v="3"/>
  </r>
  <r>
    <n v="45462"/>
    <x v="444"/>
    <x v="20"/>
    <x v="2"/>
    <x v="9"/>
    <s v="Sony 16GB Class 10 Micro SDHC R40 Memory Card"/>
    <x v="4640"/>
    <n v="8"/>
    <n v="10.31"/>
    <x v="5"/>
    <x v="3"/>
  </r>
  <r>
    <n v="45462"/>
    <x v="251"/>
    <x v="0"/>
    <x v="0"/>
    <x v="14"/>
    <s v="Fiskars Spring-Action Scissors"/>
    <x v="4641"/>
    <n v="1"/>
    <n v="0.84"/>
    <x v="5"/>
    <x v="3"/>
  </r>
  <r>
    <n v="45462"/>
    <x v="251"/>
    <x v="0"/>
    <x v="0"/>
    <x v="2"/>
    <s v="Safco Industrial Wire Shelving"/>
    <x v="2186"/>
    <n v="2"/>
    <n v="-32.64"/>
    <x v="5"/>
    <x v="3"/>
  </r>
  <r>
    <n v="45462"/>
    <x v="456"/>
    <x v="0"/>
    <x v="0"/>
    <x v="12"/>
    <s v="Holmes Visible Mist Ultrasonic Humidifier with 2.3-Gallon Output per Day, Replacement Filter"/>
    <x v="4642"/>
    <n v="1"/>
    <n v="-5.21"/>
    <x v="5"/>
    <x v="3"/>
  </r>
  <r>
    <n v="45462"/>
    <x v="456"/>
    <x v="0"/>
    <x v="0"/>
    <x v="12"/>
    <s v="Hoover Replacement Belt for Commercial Guardsman Heavy-Duty Upright Vacuum"/>
    <x v="4643"/>
    <n v="1"/>
    <n v="-1.1100000000000001"/>
    <x v="5"/>
    <x v="3"/>
  </r>
  <r>
    <n v="45462"/>
    <x v="456"/>
    <x v="0"/>
    <x v="0"/>
    <x v="0"/>
    <s v="Xerox 1982"/>
    <x v="4644"/>
    <n v="8"/>
    <n v="47.51"/>
    <x v="5"/>
    <x v="3"/>
  </r>
  <r>
    <n v="45462"/>
    <x v="121"/>
    <x v="10"/>
    <x v="1"/>
    <x v="5"/>
    <s v="Global Ergonomic Managers Chair"/>
    <x v="4645"/>
    <n v="6"/>
    <n v="-43.44"/>
    <x v="5"/>
    <x v="3"/>
  </r>
  <r>
    <n v="45462"/>
    <x v="121"/>
    <x v="10"/>
    <x v="1"/>
    <x v="8"/>
    <s v="Contemporary Wood/Metal Frame"/>
    <x v="4646"/>
    <n v="3"/>
    <n v="7.27"/>
    <x v="5"/>
    <x v="3"/>
  </r>
  <r>
    <n v="45462"/>
    <x v="121"/>
    <x v="10"/>
    <x v="2"/>
    <x v="9"/>
    <s v="Memorex 25GB 6X Branded Blu-Ray Recordable Disc, 15/Pack"/>
    <x v="3552"/>
    <n v="9"/>
    <n v="1.53"/>
    <x v="5"/>
    <x v="3"/>
  </r>
  <r>
    <n v="45462"/>
    <x v="35"/>
    <x v="0"/>
    <x v="0"/>
    <x v="3"/>
    <s v="GBC Plasticlear Binding Covers"/>
    <x v="4037"/>
    <n v="3"/>
    <n v="-11.02"/>
    <x v="5"/>
    <x v="3"/>
  </r>
  <r>
    <n v="45462"/>
    <x v="35"/>
    <x v="0"/>
    <x v="1"/>
    <x v="13"/>
    <s v="Chromcraft Bull-Nose Wood Round Conference Table Top, Wood Base"/>
    <x v="4647"/>
    <n v="3"/>
    <n v="-84.96"/>
    <x v="5"/>
    <x v="3"/>
  </r>
  <r>
    <n v="45462"/>
    <x v="763"/>
    <x v="20"/>
    <x v="0"/>
    <x v="2"/>
    <s v="Space Solutions Commercial Steel Shelving"/>
    <x v="261"/>
    <n v="2"/>
    <n v="6.47"/>
    <x v="5"/>
    <x v="3"/>
  </r>
  <r>
    <n v="45462"/>
    <x v="763"/>
    <x v="20"/>
    <x v="0"/>
    <x v="3"/>
    <s v="Wilson Jones Turn Tabs Binder Tool for Ring Binders"/>
    <x v="3787"/>
    <n v="3"/>
    <n v="3.76"/>
    <x v="5"/>
    <x v="3"/>
  </r>
  <r>
    <n v="45462"/>
    <x v="208"/>
    <x v="3"/>
    <x v="1"/>
    <x v="8"/>
    <s v="DAX Copper Panel Document Frame, 5 x 7 Size"/>
    <x v="4648"/>
    <n v="4"/>
    <n v="21.13"/>
    <x v="5"/>
    <x v="3"/>
  </r>
  <r>
    <n v="45462"/>
    <x v="208"/>
    <x v="3"/>
    <x v="0"/>
    <x v="0"/>
    <s v="Xerox 1907"/>
    <x v="396"/>
    <n v="2"/>
    <n v="11.54"/>
    <x v="5"/>
    <x v="3"/>
  </r>
  <r>
    <n v="45463"/>
    <x v="546"/>
    <x v="23"/>
    <x v="2"/>
    <x v="9"/>
    <s v="Razer Kraken PRO Over Ear PC and Music Headset"/>
    <x v="104"/>
    <n v="3"/>
    <n v="71.989999999999995"/>
    <x v="5"/>
    <x v="3"/>
  </r>
  <r>
    <n v="45463"/>
    <x v="546"/>
    <x v="23"/>
    <x v="0"/>
    <x v="1"/>
    <s v="Avery 508"/>
    <x v="1445"/>
    <n v="2"/>
    <n v="4.8099999999999996"/>
    <x v="5"/>
    <x v="3"/>
  </r>
  <r>
    <n v="45463"/>
    <x v="617"/>
    <x v="20"/>
    <x v="2"/>
    <x v="9"/>
    <s v="Anker Ultrathin Bluetooth Wireless Keyboard Aluminum Cover with Stand"/>
    <x v="33"/>
    <n v="5"/>
    <n v="15"/>
    <x v="5"/>
    <x v="3"/>
  </r>
  <r>
    <n v="45463"/>
    <x v="617"/>
    <x v="20"/>
    <x v="0"/>
    <x v="3"/>
    <s v="Acco D-Ring Binder w/DublLock"/>
    <x v="2868"/>
    <n v="3"/>
    <n v="18.600000000000001"/>
    <x v="5"/>
    <x v="3"/>
  </r>
  <r>
    <n v="45463"/>
    <x v="43"/>
    <x v="10"/>
    <x v="0"/>
    <x v="0"/>
    <s v="Xerox 203"/>
    <x v="792"/>
    <n v="6"/>
    <n v="10.89"/>
    <x v="5"/>
    <x v="3"/>
  </r>
  <r>
    <n v="45463"/>
    <x v="43"/>
    <x v="10"/>
    <x v="0"/>
    <x v="4"/>
    <s v="Newell 35"/>
    <x v="607"/>
    <n v="2"/>
    <n v="0.59"/>
    <x v="5"/>
    <x v="3"/>
  </r>
  <r>
    <n v="45463"/>
    <x v="137"/>
    <x v="16"/>
    <x v="0"/>
    <x v="2"/>
    <s v="Plastic Stacking Crates &amp; Casters"/>
    <x v="785"/>
    <n v="1"/>
    <n v="0.33"/>
    <x v="5"/>
    <x v="3"/>
  </r>
  <r>
    <n v="45463"/>
    <x v="194"/>
    <x v="6"/>
    <x v="0"/>
    <x v="0"/>
    <s v="Xerox 230"/>
    <x v="331"/>
    <n v="5"/>
    <n v="15.55"/>
    <x v="5"/>
    <x v="3"/>
  </r>
  <r>
    <n v="45463"/>
    <x v="194"/>
    <x v="6"/>
    <x v="2"/>
    <x v="6"/>
    <s v="BlackBerry Q10"/>
    <x v="1353"/>
    <n v="4"/>
    <n v="125.99"/>
    <x v="5"/>
    <x v="3"/>
  </r>
  <r>
    <n v="45464"/>
    <x v="83"/>
    <x v="10"/>
    <x v="1"/>
    <x v="8"/>
    <s v="Stacking Tray, Side-Loading, Legal, Smoke"/>
    <x v="3157"/>
    <n v="5"/>
    <n v="2.46"/>
    <x v="5"/>
    <x v="3"/>
  </r>
  <r>
    <n v="45464"/>
    <x v="83"/>
    <x v="10"/>
    <x v="0"/>
    <x v="3"/>
    <s v="Deluxe Heavy-Duty Vinyl Round Ring Binder"/>
    <x v="4649"/>
    <n v="6"/>
    <n v="-34.380000000000003"/>
    <x v="5"/>
    <x v="3"/>
  </r>
  <r>
    <n v="45464"/>
    <x v="469"/>
    <x v="48"/>
    <x v="0"/>
    <x v="3"/>
    <s v="Ibico Standard Transparent Covers"/>
    <x v="4650"/>
    <n v="5"/>
    <n v="40.380000000000003"/>
    <x v="5"/>
    <x v="3"/>
  </r>
  <r>
    <n v="45464"/>
    <x v="469"/>
    <x v="48"/>
    <x v="0"/>
    <x v="3"/>
    <s v="Zipper Ring Binder Pockets"/>
    <x v="274"/>
    <n v="2"/>
    <n v="3.06"/>
    <x v="5"/>
    <x v="3"/>
  </r>
  <r>
    <n v="45464"/>
    <x v="469"/>
    <x v="48"/>
    <x v="0"/>
    <x v="0"/>
    <s v="Xerox 1908"/>
    <x v="591"/>
    <n v="8"/>
    <n v="219.44"/>
    <x v="5"/>
    <x v="3"/>
  </r>
  <r>
    <n v="45465"/>
    <x v="284"/>
    <x v="16"/>
    <x v="0"/>
    <x v="10"/>
    <s v="#10 White Business Envelopes,4 1/8 x 9 1/2"/>
    <x v="4651"/>
    <n v="3"/>
    <n v="12.69"/>
    <x v="5"/>
    <x v="3"/>
  </r>
  <r>
    <n v="45465"/>
    <x v="485"/>
    <x v="2"/>
    <x v="0"/>
    <x v="3"/>
    <s v="GBC Plasticlear Binding Covers"/>
    <x v="450"/>
    <n v="3"/>
    <n v="-7.58"/>
    <x v="5"/>
    <x v="3"/>
  </r>
  <r>
    <n v="45465"/>
    <x v="485"/>
    <x v="2"/>
    <x v="0"/>
    <x v="3"/>
    <s v="Wilson Jones Century Plastic Molded Ring Binders"/>
    <x v="4652"/>
    <n v="5"/>
    <n v="-23.89"/>
    <x v="5"/>
    <x v="3"/>
  </r>
  <r>
    <n v="45465"/>
    <x v="485"/>
    <x v="2"/>
    <x v="0"/>
    <x v="2"/>
    <s v="Plastic Stacking Crates &amp; Casters"/>
    <x v="3719"/>
    <n v="2"/>
    <n v="0.67"/>
    <x v="5"/>
    <x v="3"/>
  </r>
  <r>
    <n v="45465"/>
    <x v="519"/>
    <x v="1"/>
    <x v="0"/>
    <x v="3"/>
    <s v="Wilson Jones Standard D-Ring Binders"/>
    <x v="3750"/>
    <n v="3"/>
    <n v="-5.01"/>
    <x v="5"/>
    <x v="3"/>
  </r>
  <r>
    <n v="45465"/>
    <x v="81"/>
    <x v="14"/>
    <x v="1"/>
    <x v="5"/>
    <s v="Hon Deluxe Fabric Upholstered Stacking Chairs, Rounded Back"/>
    <x v="4653"/>
    <n v="2"/>
    <n v="146.38999999999999"/>
    <x v="5"/>
    <x v="3"/>
  </r>
  <r>
    <n v="45467"/>
    <x v="337"/>
    <x v="10"/>
    <x v="0"/>
    <x v="0"/>
    <s v="Southworth 25% Cotton Linen-Finish Paper &amp; Envelopes"/>
    <x v="4222"/>
    <n v="3"/>
    <n v="6.8"/>
    <x v="5"/>
    <x v="3"/>
  </r>
  <r>
    <n v="45467"/>
    <x v="740"/>
    <x v="3"/>
    <x v="0"/>
    <x v="4"/>
    <s v="Bulldog Vacuum Base Pencil Sharpener"/>
    <x v="4654"/>
    <n v="8"/>
    <n v="25.9"/>
    <x v="5"/>
    <x v="3"/>
  </r>
  <r>
    <n v="45467"/>
    <x v="62"/>
    <x v="3"/>
    <x v="0"/>
    <x v="4"/>
    <s v="Boston Heavy-Duty Trimline Electric Pencil Sharpeners"/>
    <x v="4655"/>
    <n v="8"/>
    <n v="111.82"/>
    <x v="5"/>
    <x v="3"/>
  </r>
  <r>
    <n v="45467"/>
    <x v="62"/>
    <x v="3"/>
    <x v="0"/>
    <x v="4"/>
    <s v="4009 Highlighters by Sanford"/>
    <x v="4656"/>
    <n v="9"/>
    <n v="11.82"/>
    <x v="5"/>
    <x v="3"/>
  </r>
  <r>
    <n v="45467"/>
    <x v="208"/>
    <x v="20"/>
    <x v="1"/>
    <x v="8"/>
    <s v="Deflect-o RollaMat Studded, Beveled Mat for Medium Pile Carpeting"/>
    <x v="4657"/>
    <n v="3"/>
    <n v="49.8"/>
    <x v="5"/>
    <x v="3"/>
  </r>
  <r>
    <n v="45467"/>
    <x v="208"/>
    <x v="20"/>
    <x v="1"/>
    <x v="5"/>
    <s v="Global Deluxe Office Fabric Chairs"/>
    <x v="917"/>
    <n v="2"/>
    <n v="32.630000000000003"/>
    <x v="5"/>
    <x v="3"/>
  </r>
  <r>
    <n v="45467"/>
    <x v="543"/>
    <x v="1"/>
    <x v="0"/>
    <x v="3"/>
    <s v="Ibico Hi-Tech Manual Binding System"/>
    <x v="4354"/>
    <n v="3"/>
    <n v="-320.24"/>
    <x v="5"/>
    <x v="3"/>
  </r>
  <r>
    <n v="45467"/>
    <x v="543"/>
    <x v="1"/>
    <x v="0"/>
    <x v="0"/>
    <s v="Xerox 1971"/>
    <x v="1207"/>
    <n v="3"/>
    <n v="3.21"/>
    <x v="5"/>
    <x v="3"/>
  </r>
  <r>
    <n v="45467"/>
    <x v="73"/>
    <x v="3"/>
    <x v="0"/>
    <x v="7"/>
    <s v="Acco Banker's Clasps, 5 3/4&quot;-Long"/>
    <x v="633"/>
    <n v="1"/>
    <n v="1.35"/>
    <x v="5"/>
    <x v="3"/>
  </r>
  <r>
    <n v="45467"/>
    <x v="256"/>
    <x v="43"/>
    <x v="0"/>
    <x v="3"/>
    <s v="GBC Prestige Therm-A-Bind Covers"/>
    <x v="4658"/>
    <n v="3"/>
    <n v="48.38"/>
    <x v="5"/>
    <x v="3"/>
  </r>
  <r>
    <n v="45468"/>
    <x v="770"/>
    <x v="11"/>
    <x v="0"/>
    <x v="1"/>
    <s v="Alphabetical Labels for Top Tab Filing"/>
    <x v="4659"/>
    <n v="6"/>
    <n v="26.64"/>
    <x v="5"/>
    <x v="3"/>
  </r>
  <r>
    <n v="45468"/>
    <x v="770"/>
    <x v="11"/>
    <x v="0"/>
    <x v="4"/>
    <s v="Eldon Spacemaker Box, Quick-Snap Lid, Clear"/>
    <x v="373"/>
    <n v="2"/>
    <n v="0.73"/>
    <x v="5"/>
    <x v="3"/>
  </r>
  <r>
    <n v="45468"/>
    <x v="770"/>
    <x v="11"/>
    <x v="0"/>
    <x v="7"/>
    <s v="Plymouth Boxed Rubber Bands by Plymouth"/>
    <x v="4660"/>
    <n v="3"/>
    <n v="-2.12"/>
    <x v="5"/>
    <x v="3"/>
  </r>
  <r>
    <n v="45468"/>
    <x v="481"/>
    <x v="22"/>
    <x v="1"/>
    <x v="13"/>
    <s v="Chromcraft Bull-Nose Wood Round Conference Table Top, Wood Base"/>
    <x v="4661"/>
    <n v="4"/>
    <n v="148.13999999999999"/>
    <x v="5"/>
    <x v="3"/>
  </r>
  <r>
    <n v="45468"/>
    <x v="667"/>
    <x v="1"/>
    <x v="2"/>
    <x v="6"/>
    <s v="Geemarc AmpliPOWER60"/>
    <x v="1289"/>
    <n v="2"/>
    <n v="16.7"/>
    <x v="5"/>
    <x v="3"/>
  </r>
  <r>
    <n v="45468"/>
    <x v="417"/>
    <x v="20"/>
    <x v="1"/>
    <x v="11"/>
    <s v="DMI Eclipse Executive Suite Bookcases"/>
    <x v="4662"/>
    <n v="1"/>
    <n v="-5.01"/>
    <x v="5"/>
    <x v="3"/>
  </r>
  <r>
    <n v="45469"/>
    <x v="635"/>
    <x v="3"/>
    <x v="0"/>
    <x v="2"/>
    <s v="Eldon Shelf Savers Cubes and Bins"/>
    <x v="4663"/>
    <n v="12"/>
    <n v="1.68"/>
    <x v="5"/>
    <x v="3"/>
  </r>
  <r>
    <n v="45469"/>
    <x v="128"/>
    <x v="14"/>
    <x v="0"/>
    <x v="0"/>
    <s v="Ampad Poly Cover Wirebound Steno Book, 6&quot; x 9&quot; Assorted Colors, Gregg Ruled"/>
    <x v="2077"/>
    <n v="1"/>
    <n v="2.04"/>
    <x v="5"/>
    <x v="3"/>
  </r>
  <r>
    <n v="45469"/>
    <x v="128"/>
    <x v="14"/>
    <x v="0"/>
    <x v="4"/>
    <s v="Fluorescent Highlighters by Dixon"/>
    <x v="3024"/>
    <n v="4"/>
    <n v="5.41"/>
    <x v="5"/>
    <x v="3"/>
  </r>
  <r>
    <n v="45469"/>
    <x v="128"/>
    <x v="14"/>
    <x v="2"/>
    <x v="6"/>
    <s v="Nortel Networks T7316 E Nt8 B27"/>
    <x v="4664"/>
    <n v="8"/>
    <n v="135.97999999999999"/>
    <x v="5"/>
    <x v="3"/>
  </r>
  <r>
    <n v="45469"/>
    <x v="674"/>
    <x v="18"/>
    <x v="1"/>
    <x v="8"/>
    <s v="Eldon Antistatic Chair Mats for Low to Medium Pile Carpets"/>
    <x v="4665"/>
    <n v="5"/>
    <n v="31.59"/>
    <x v="5"/>
    <x v="3"/>
  </r>
  <r>
    <n v="45469"/>
    <x v="377"/>
    <x v="26"/>
    <x v="2"/>
    <x v="9"/>
    <s v="Kensington Orbit Wireless Mobile Trackball for PC and Mac"/>
    <x v="3153"/>
    <n v="9"/>
    <n v="64.790000000000006"/>
    <x v="5"/>
    <x v="3"/>
  </r>
  <r>
    <n v="45469"/>
    <x v="236"/>
    <x v="20"/>
    <x v="2"/>
    <x v="6"/>
    <s v="Mophie Juice Pack Helium for iPhone"/>
    <x v="104"/>
    <n v="3"/>
    <n v="67.19"/>
    <x v="5"/>
    <x v="3"/>
  </r>
  <r>
    <n v="45469"/>
    <x v="393"/>
    <x v="2"/>
    <x v="2"/>
    <x v="6"/>
    <s v="Bose SoundLink Bluetooth Speaker"/>
    <x v="4666"/>
    <n v="3"/>
    <n v="41.79"/>
    <x v="5"/>
    <x v="3"/>
  </r>
  <r>
    <n v="45469"/>
    <x v="393"/>
    <x v="2"/>
    <x v="2"/>
    <x v="6"/>
    <s v="Plantronics Voyager Pro HD - Bluetooth Headset"/>
    <x v="4667"/>
    <n v="14"/>
    <n v="72.790000000000006"/>
    <x v="5"/>
    <x v="3"/>
  </r>
  <r>
    <n v="45469"/>
    <x v="696"/>
    <x v="16"/>
    <x v="0"/>
    <x v="1"/>
    <s v="Avery 512"/>
    <x v="4440"/>
    <n v="6"/>
    <n v="4.68"/>
    <x v="5"/>
    <x v="3"/>
  </r>
  <r>
    <n v="45469"/>
    <x v="696"/>
    <x v="16"/>
    <x v="1"/>
    <x v="5"/>
    <s v="Hon Comfortask Task/Swivel Chairs"/>
    <x v="4668"/>
    <n v="3"/>
    <n v="-13.68"/>
    <x v="5"/>
    <x v="3"/>
  </r>
  <r>
    <n v="45469"/>
    <x v="445"/>
    <x v="20"/>
    <x v="0"/>
    <x v="2"/>
    <s v="Safco Industrial Wire Shelving System"/>
    <x v="52"/>
    <n v="3"/>
    <n v="0"/>
    <x v="5"/>
    <x v="3"/>
  </r>
  <r>
    <n v="45469"/>
    <x v="134"/>
    <x v="20"/>
    <x v="0"/>
    <x v="3"/>
    <s v="GBC ProClick Punch Binding System"/>
    <x v="4669"/>
    <n v="2"/>
    <n v="37.11"/>
    <x v="5"/>
    <x v="3"/>
  </r>
  <r>
    <n v="45469"/>
    <x v="134"/>
    <x v="20"/>
    <x v="0"/>
    <x v="14"/>
    <s v="Acme Preferred Stainless Steel Scissors"/>
    <x v="1680"/>
    <n v="5"/>
    <n v="8.24"/>
    <x v="5"/>
    <x v="3"/>
  </r>
  <r>
    <n v="45469"/>
    <x v="134"/>
    <x v="20"/>
    <x v="0"/>
    <x v="2"/>
    <s v="Hot File 7-Pocket, Floor Stand"/>
    <x v="4670"/>
    <n v="4"/>
    <n v="214.16"/>
    <x v="5"/>
    <x v="3"/>
  </r>
  <r>
    <n v="45469"/>
    <x v="134"/>
    <x v="20"/>
    <x v="0"/>
    <x v="0"/>
    <s v="Xerox 1991"/>
    <x v="2936"/>
    <n v="3"/>
    <n v="31.52"/>
    <x v="5"/>
    <x v="3"/>
  </r>
  <r>
    <n v="45470"/>
    <x v="415"/>
    <x v="20"/>
    <x v="1"/>
    <x v="5"/>
    <s v="Situations Contoured Folding Chairs, 4/Set"/>
    <x v="4671"/>
    <n v="3"/>
    <n v="31.94"/>
    <x v="5"/>
    <x v="3"/>
  </r>
  <r>
    <n v="45470"/>
    <x v="217"/>
    <x v="40"/>
    <x v="0"/>
    <x v="0"/>
    <s v="Wirebound Message Books, Four 2 3/4 x 5 White Forms per Page"/>
    <x v="4672"/>
    <n v="3"/>
    <n v="9.23"/>
    <x v="5"/>
    <x v="3"/>
  </r>
  <r>
    <n v="45470"/>
    <x v="203"/>
    <x v="22"/>
    <x v="0"/>
    <x v="0"/>
    <s v="Xerox 1997"/>
    <x v="5"/>
    <n v="3"/>
    <n v="9.33"/>
    <x v="5"/>
    <x v="3"/>
  </r>
  <r>
    <n v="45470"/>
    <x v="203"/>
    <x v="22"/>
    <x v="1"/>
    <x v="8"/>
    <s v="Executive Impressions Supervisor Wall Clock"/>
    <x v="4673"/>
    <n v="3"/>
    <n v="40.42"/>
    <x v="5"/>
    <x v="3"/>
  </r>
  <r>
    <n v="45470"/>
    <x v="203"/>
    <x v="22"/>
    <x v="2"/>
    <x v="9"/>
    <s v="LogitechÂ P710e Mobile Speakerphone"/>
    <x v="3125"/>
    <n v="5"/>
    <n v="244.62"/>
    <x v="5"/>
    <x v="3"/>
  </r>
  <r>
    <n v="45472"/>
    <x v="78"/>
    <x v="3"/>
    <x v="0"/>
    <x v="2"/>
    <s v="Tennsco 16-Compartment Lockers with Coat Rack"/>
    <x v="4674"/>
    <n v="2"/>
    <n v="310.99"/>
    <x v="5"/>
    <x v="3"/>
  </r>
  <r>
    <n v="45472"/>
    <x v="116"/>
    <x v="28"/>
    <x v="0"/>
    <x v="12"/>
    <s v="Belkin 325VA UPS Surge Protector, 6'"/>
    <x v="994"/>
    <n v="3"/>
    <n v="90.74"/>
    <x v="5"/>
    <x v="3"/>
  </r>
  <r>
    <n v="45472"/>
    <x v="116"/>
    <x v="28"/>
    <x v="0"/>
    <x v="3"/>
    <s v="Avery Binding System Hidden Tab Executive Style Index Sets"/>
    <x v="4458"/>
    <n v="2"/>
    <n v="5.77"/>
    <x v="5"/>
    <x v="3"/>
  </r>
  <r>
    <n v="45472"/>
    <x v="189"/>
    <x v="3"/>
    <x v="0"/>
    <x v="3"/>
    <s v="Satellite Sectional Post Binders"/>
    <x v="4675"/>
    <n v="9"/>
    <n v="101.58"/>
    <x v="5"/>
    <x v="3"/>
  </r>
  <r>
    <n v="45472"/>
    <x v="452"/>
    <x v="0"/>
    <x v="0"/>
    <x v="0"/>
    <s v="Xerox 218"/>
    <x v="193"/>
    <n v="1"/>
    <n v="1.81"/>
    <x v="5"/>
    <x v="3"/>
  </r>
  <r>
    <n v="45472"/>
    <x v="494"/>
    <x v="3"/>
    <x v="0"/>
    <x v="3"/>
    <s v="GBC DocuBind TL200 Manual Binding Machine"/>
    <x v="4325"/>
    <n v="5"/>
    <n v="302.37"/>
    <x v="5"/>
    <x v="3"/>
  </r>
  <r>
    <n v="45472"/>
    <x v="494"/>
    <x v="3"/>
    <x v="0"/>
    <x v="2"/>
    <s v="Trav-L-File Heavy-Duty Shuttle II, Black"/>
    <x v="4676"/>
    <n v="3"/>
    <n v="39.21"/>
    <x v="5"/>
    <x v="3"/>
  </r>
  <r>
    <n v="45472"/>
    <x v="494"/>
    <x v="3"/>
    <x v="0"/>
    <x v="4"/>
    <s v="Newell 328"/>
    <x v="2410"/>
    <n v="2"/>
    <n v="3.04"/>
    <x v="5"/>
    <x v="3"/>
  </r>
  <r>
    <n v="45472"/>
    <x v="494"/>
    <x v="3"/>
    <x v="2"/>
    <x v="9"/>
    <s v="Enermax Briskie RF Wireless Keyboard and Mouse Combo"/>
    <x v="113"/>
    <n v="3"/>
    <n v="22.43"/>
    <x v="5"/>
    <x v="3"/>
  </r>
  <r>
    <n v="45472"/>
    <x v="696"/>
    <x v="37"/>
    <x v="1"/>
    <x v="11"/>
    <s v="Hon Metal Bookcases, Putty"/>
    <x v="815"/>
    <n v="9"/>
    <n v="185.26"/>
    <x v="5"/>
    <x v="3"/>
  </r>
  <r>
    <n v="45472"/>
    <x v="696"/>
    <x v="37"/>
    <x v="0"/>
    <x v="14"/>
    <s v="Acme Box Cutter Scissors"/>
    <x v="4677"/>
    <n v="3"/>
    <n v="7.98"/>
    <x v="5"/>
    <x v="3"/>
  </r>
  <r>
    <n v="45472"/>
    <x v="696"/>
    <x v="37"/>
    <x v="1"/>
    <x v="8"/>
    <s v="DAX Executive Solid Wood Document Frame, Desktop or Hang, Mahogany, 5 x 7"/>
    <x v="111"/>
    <n v="2"/>
    <n v="8.5500000000000007"/>
    <x v="5"/>
    <x v="3"/>
  </r>
  <r>
    <n v="45472"/>
    <x v="297"/>
    <x v="0"/>
    <x v="0"/>
    <x v="12"/>
    <s v="Belkin F9G930V10-GRY 9 Outlet Surge"/>
    <x v="1120"/>
    <n v="2"/>
    <n v="-54.55"/>
    <x v="5"/>
    <x v="3"/>
  </r>
  <r>
    <n v="45472"/>
    <x v="297"/>
    <x v="0"/>
    <x v="1"/>
    <x v="13"/>
    <s v="Bevis Round Conference Table Top &amp; Single Column Base"/>
    <x v="4678"/>
    <n v="3"/>
    <n v="-39.51"/>
    <x v="5"/>
    <x v="3"/>
  </r>
  <r>
    <n v="45472"/>
    <x v="297"/>
    <x v="0"/>
    <x v="1"/>
    <x v="11"/>
    <s v="O'Sullivan Plantations 2-Door Library in Landvery Oak"/>
    <x v="4679"/>
    <n v="3"/>
    <n v="-96.47"/>
    <x v="5"/>
    <x v="3"/>
  </r>
  <r>
    <n v="45473"/>
    <x v="665"/>
    <x v="17"/>
    <x v="0"/>
    <x v="3"/>
    <s v="Tuf-Vin Binders"/>
    <x v="4680"/>
    <n v="3"/>
    <n v="25.58"/>
    <x v="5"/>
    <x v="3"/>
  </r>
  <r>
    <n v="45473"/>
    <x v="320"/>
    <x v="20"/>
    <x v="1"/>
    <x v="13"/>
    <s v="Bretford CR4500 Series Slim Rectangular Table"/>
    <x v="2448"/>
    <n v="5"/>
    <n v="-295.98"/>
    <x v="5"/>
    <x v="3"/>
  </r>
  <r>
    <n v="45473"/>
    <x v="565"/>
    <x v="20"/>
    <x v="0"/>
    <x v="2"/>
    <s v="Steel Personal Filing/Posting Tote"/>
    <x v="4681"/>
    <n v="7"/>
    <n v="67.11"/>
    <x v="5"/>
    <x v="3"/>
  </r>
  <r>
    <n v="45473"/>
    <x v="565"/>
    <x v="20"/>
    <x v="1"/>
    <x v="8"/>
    <s v="Executive Impressions 14&quot;"/>
    <x v="4296"/>
    <n v="1"/>
    <n v="9.7799999999999994"/>
    <x v="5"/>
    <x v="3"/>
  </r>
  <r>
    <n v="45473"/>
    <x v="292"/>
    <x v="1"/>
    <x v="2"/>
    <x v="6"/>
    <s v="Samsung Galaxy S4"/>
    <x v="3765"/>
    <n v="2"/>
    <n v="125.2"/>
    <x v="5"/>
    <x v="3"/>
  </r>
  <r>
    <n v="45473"/>
    <x v="292"/>
    <x v="1"/>
    <x v="1"/>
    <x v="5"/>
    <s v="Global Enterprise Series Seating High-Back Swivel/Tilt Chairs"/>
    <x v="4682"/>
    <n v="3"/>
    <n v="-178.85"/>
    <x v="5"/>
    <x v="3"/>
  </r>
  <r>
    <n v="45473"/>
    <x v="292"/>
    <x v="1"/>
    <x v="1"/>
    <x v="8"/>
    <s v="Seth Thomas 13 1/2&quot; Wall Clock"/>
    <x v="4683"/>
    <n v="2"/>
    <n v="-10.31"/>
    <x v="5"/>
    <x v="3"/>
  </r>
  <r>
    <n v="45473"/>
    <x v="762"/>
    <x v="15"/>
    <x v="1"/>
    <x v="8"/>
    <s v="Advantus Panel Wall Certificate Holder - 8.5x11"/>
    <x v="622"/>
    <n v="2"/>
    <n v="5.37"/>
    <x v="5"/>
    <x v="3"/>
  </r>
  <r>
    <n v="45473"/>
    <x v="405"/>
    <x v="3"/>
    <x v="1"/>
    <x v="11"/>
    <s v="Sauder Facets Collection Library, Sky Alder Finish"/>
    <x v="1019"/>
    <n v="3"/>
    <n v="5.13"/>
    <x v="5"/>
    <x v="3"/>
  </r>
  <r>
    <n v="45473"/>
    <x v="426"/>
    <x v="3"/>
    <x v="0"/>
    <x v="0"/>
    <s v="Xerox 1919"/>
    <x v="4029"/>
    <n v="5"/>
    <n v="100.43"/>
    <x v="5"/>
    <x v="3"/>
  </r>
  <r>
    <n v="45473"/>
    <x v="37"/>
    <x v="20"/>
    <x v="0"/>
    <x v="2"/>
    <s v="Dual Level, Single-Width Filing Carts"/>
    <x v="1799"/>
    <n v="7"/>
    <n v="282.20999999999998"/>
    <x v="5"/>
    <x v="3"/>
  </r>
  <r>
    <n v="45474"/>
    <x v="432"/>
    <x v="18"/>
    <x v="0"/>
    <x v="2"/>
    <s v="Carina Mini System Audio Rack, Model AR050B"/>
    <x v="1204"/>
    <n v="4"/>
    <n v="13.32"/>
    <x v="6"/>
    <x v="3"/>
  </r>
  <r>
    <n v="45474"/>
    <x v="432"/>
    <x v="18"/>
    <x v="0"/>
    <x v="3"/>
    <s v="Fellowes PB200 Plastic Comb Binding Machine"/>
    <x v="4684"/>
    <n v="1"/>
    <n v="78.2"/>
    <x v="6"/>
    <x v="3"/>
  </r>
  <r>
    <n v="45474"/>
    <x v="432"/>
    <x v="18"/>
    <x v="0"/>
    <x v="0"/>
    <s v="Xerox 226"/>
    <x v="499"/>
    <n v="4"/>
    <n v="12.44"/>
    <x v="6"/>
    <x v="3"/>
  </r>
  <r>
    <n v="45475"/>
    <x v="303"/>
    <x v="0"/>
    <x v="0"/>
    <x v="0"/>
    <s v="White Dual Perf Computer Printout Paper, 2700 Sheets, 1 Part, Heavyweight, 20 lbs., 14 7/8 x 11"/>
    <x v="4483"/>
    <n v="5"/>
    <n v="59.44"/>
    <x v="6"/>
    <x v="3"/>
  </r>
  <r>
    <n v="45475"/>
    <x v="303"/>
    <x v="0"/>
    <x v="0"/>
    <x v="3"/>
    <s v="Wilson Jones Four-Pocket Poly Binders"/>
    <x v="1804"/>
    <n v="4"/>
    <n v="-8.11"/>
    <x v="6"/>
    <x v="3"/>
  </r>
  <r>
    <n v="45476"/>
    <x v="787"/>
    <x v="4"/>
    <x v="1"/>
    <x v="8"/>
    <s v="Westinghouse Floor Lamp with Metal Mesh Shade, Black"/>
    <x v="664"/>
    <n v="1"/>
    <n v="5.52"/>
    <x v="6"/>
    <x v="3"/>
  </r>
  <r>
    <n v="45476"/>
    <x v="787"/>
    <x v="4"/>
    <x v="2"/>
    <x v="6"/>
    <s v="Pyle PMP37LED"/>
    <x v="341"/>
    <n v="3"/>
    <n v="77.75"/>
    <x v="6"/>
    <x v="3"/>
  </r>
  <r>
    <n v="45476"/>
    <x v="598"/>
    <x v="25"/>
    <x v="0"/>
    <x v="4"/>
    <s v="4009 Highlighters by Sanford"/>
    <x v="3464"/>
    <n v="3"/>
    <n v="1.55"/>
    <x v="6"/>
    <x v="3"/>
  </r>
  <r>
    <n v="45476"/>
    <x v="122"/>
    <x v="0"/>
    <x v="2"/>
    <x v="6"/>
    <s v="netTALK DUO VoIP Telephone Service"/>
    <x v="410"/>
    <n v="4"/>
    <n v="62.99"/>
    <x v="6"/>
    <x v="3"/>
  </r>
  <r>
    <n v="45476"/>
    <x v="136"/>
    <x v="0"/>
    <x v="0"/>
    <x v="0"/>
    <s v="Xerox 1891"/>
    <x v="4685"/>
    <n v="7"/>
    <n v="92.44"/>
    <x v="6"/>
    <x v="3"/>
  </r>
  <r>
    <n v="45476"/>
    <x v="136"/>
    <x v="0"/>
    <x v="2"/>
    <x v="15"/>
    <s v="Hewlett-Packard Deskjet 5550 Printer"/>
    <x v="4686"/>
    <n v="3"/>
    <n v="49.76"/>
    <x v="6"/>
    <x v="3"/>
  </r>
  <r>
    <n v="45476"/>
    <x v="103"/>
    <x v="31"/>
    <x v="1"/>
    <x v="8"/>
    <s v="Tenex Traditional Chairmats for Medium Pile Carpet, Standard Lip, 36&quot; x 48&quot;"/>
    <x v="4687"/>
    <n v="9"/>
    <n v="114.63"/>
    <x v="6"/>
    <x v="3"/>
  </r>
  <r>
    <n v="45476"/>
    <x v="381"/>
    <x v="10"/>
    <x v="0"/>
    <x v="0"/>
    <s v="Message Book, Wirebound, Four 5 1/2&quot; X 4&quot; Forms/Pg., 200 Dupl. Sets/Book"/>
    <x v="119"/>
    <n v="4"/>
    <n v="11.1"/>
    <x v="6"/>
    <x v="3"/>
  </r>
  <r>
    <n v="45476"/>
    <x v="381"/>
    <x v="10"/>
    <x v="1"/>
    <x v="13"/>
    <s v="Bevis Round Conference Table Top, X-Base"/>
    <x v="4688"/>
    <n v="2"/>
    <n v="-103.99"/>
    <x v="6"/>
    <x v="3"/>
  </r>
  <r>
    <n v="45476"/>
    <x v="381"/>
    <x v="10"/>
    <x v="0"/>
    <x v="0"/>
    <s v="Wirebound Four 2-3/4 x 5 Forms per Page, 400 Sets per Book"/>
    <x v="800"/>
    <n v="6"/>
    <n v="11.22"/>
    <x v="6"/>
    <x v="3"/>
  </r>
  <r>
    <n v="45476"/>
    <x v="412"/>
    <x v="22"/>
    <x v="2"/>
    <x v="9"/>
    <s v="Logitech 910-002974 M325 Wireless Mouse for Web Scrolling"/>
    <x v="995"/>
    <n v="2"/>
    <n v="26.39"/>
    <x v="6"/>
    <x v="3"/>
  </r>
  <r>
    <n v="45476"/>
    <x v="412"/>
    <x v="22"/>
    <x v="2"/>
    <x v="15"/>
    <s v="Okidata MB491 Multifunction Printer"/>
    <x v="4689"/>
    <n v="6"/>
    <n v="209.58"/>
    <x v="6"/>
    <x v="3"/>
  </r>
  <r>
    <n v="45476"/>
    <x v="412"/>
    <x v="22"/>
    <x v="2"/>
    <x v="9"/>
    <s v="Plantronics Savi W720 Multi-Device Wireless Headset System"/>
    <x v="1634"/>
    <n v="4"/>
    <n v="742.63"/>
    <x v="6"/>
    <x v="3"/>
  </r>
  <r>
    <n v="45476"/>
    <x v="412"/>
    <x v="22"/>
    <x v="2"/>
    <x v="6"/>
    <s v="Square Credit Card Reader, 4 1/2&quot; x 4 1/2&quot; x 1&quot;, White"/>
    <x v="539"/>
    <n v="1"/>
    <n v="2.7"/>
    <x v="6"/>
    <x v="3"/>
  </r>
  <r>
    <n v="45476"/>
    <x v="365"/>
    <x v="32"/>
    <x v="2"/>
    <x v="9"/>
    <s v="TRENDnet 56K USB 2.0 Phone, Internet and Fax Modem"/>
    <x v="4690"/>
    <n v="10"/>
    <n v="93.2"/>
    <x v="6"/>
    <x v="3"/>
  </r>
  <r>
    <n v="45476"/>
    <x v="365"/>
    <x v="32"/>
    <x v="0"/>
    <x v="0"/>
    <s v="Xerox 1881"/>
    <x v="396"/>
    <n v="2"/>
    <n v="11.54"/>
    <x v="6"/>
    <x v="3"/>
  </r>
  <r>
    <n v="45476"/>
    <x v="337"/>
    <x v="3"/>
    <x v="1"/>
    <x v="8"/>
    <s v="Howard Miller 11-1/2&quot; Diameter Brentwood Wall Clock"/>
    <x v="4691"/>
    <n v="3"/>
    <n v="54.34"/>
    <x v="6"/>
    <x v="3"/>
  </r>
  <r>
    <n v="45476"/>
    <x v="122"/>
    <x v="3"/>
    <x v="0"/>
    <x v="2"/>
    <s v="Rogers Deluxe File Chest"/>
    <x v="692"/>
    <n v="4"/>
    <n v="0.88"/>
    <x v="6"/>
    <x v="3"/>
  </r>
  <r>
    <n v="45476"/>
    <x v="627"/>
    <x v="25"/>
    <x v="2"/>
    <x v="9"/>
    <s v="ImationÂ 8gb Micro Traveldrive Usb 2.0Â Flash Drive"/>
    <x v="2499"/>
    <n v="2"/>
    <n v="-2.7"/>
    <x v="6"/>
    <x v="3"/>
  </r>
  <r>
    <n v="45476"/>
    <x v="578"/>
    <x v="38"/>
    <x v="1"/>
    <x v="8"/>
    <s v="Luxo Professional Combination Clamp-On Lamps"/>
    <x v="744"/>
    <n v="1"/>
    <n v="26.6"/>
    <x v="6"/>
    <x v="3"/>
  </r>
  <r>
    <n v="45478"/>
    <x v="637"/>
    <x v="0"/>
    <x v="1"/>
    <x v="8"/>
    <s v="Deflect-o RollaMat Studded, Beveled Mat for Medium Pile Carpeting"/>
    <x v="4692"/>
    <n v="9"/>
    <n v="-348.63"/>
    <x v="6"/>
    <x v="3"/>
  </r>
  <r>
    <n v="45478"/>
    <x v="637"/>
    <x v="0"/>
    <x v="0"/>
    <x v="3"/>
    <s v="Cardinal HOLDit! Binder Insert Strips,Extra Strips"/>
    <x v="4693"/>
    <n v="9"/>
    <n v="-17.66"/>
    <x v="6"/>
    <x v="3"/>
  </r>
  <r>
    <n v="45478"/>
    <x v="637"/>
    <x v="0"/>
    <x v="0"/>
    <x v="0"/>
    <s v="Xerox 1975"/>
    <x v="143"/>
    <n v="3"/>
    <n v="5.64"/>
    <x v="6"/>
    <x v="3"/>
  </r>
  <r>
    <n v="45478"/>
    <x v="637"/>
    <x v="0"/>
    <x v="0"/>
    <x v="0"/>
    <s v="Xerox 1966"/>
    <x v="792"/>
    <n v="6"/>
    <n v="11.28"/>
    <x v="6"/>
    <x v="3"/>
  </r>
  <r>
    <n v="45478"/>
    <x v="637"/>
    <x v="0"/>
    <x v="0"/>
    <x v="3"/>
    <s v="Tuf-Vin Binders"/>
    <x v="4694"/>
    <n v="1"/>
    <n v="-10.42"/>
    <x v="6"/>
    <x v="3"/>
  </r>
  <r>
    <n v="45478"/>
    <x v="105"/>
    <x v="40"/>
    <x v="2"/>
    <x v="6"/>
    <s v="Anker 36W 4-Port USB Wall Charger Travel Power Adapter for iPhone 5s 5c 5"/>
    <x v="1813"/>
    <n v="4"/>
    <n v="22.39"/>
    <x v="6"/>
    <x v="3"/>
  </r>
  <r>
    <n v="45479"/>
    <x v="470"/>
    <x v="2"/>
    <x v="0"/>
    <x v="3"/>
    <s v="Pressboard Covers with Storage Hooks, 9 1/2&quot; x 11&quot;, Light Blue"/>
    <x v="797"/>
    <n v="2"/>
    <n v="-2.2599999999999998"/>
    <x v="6"/>
    <x v="3"/>
  </r>
  <r>
    <n v="45479"/>
    <x v="470"/>
    <x v="2"/>
    <x v="0"/>
    <x v="0"/>
    <s v="Wirebound Message Books, 5-1/2 x 4 Forms, 2 or 4 Forms per Page"/>
    <x v="4695"/>
    <n v="3"/>
    <n v="5.82"/>
    <x v="6"/>
    <x v="3"/>
  </r>
  <r>
    <n v="45479"/>
    <x v="475"/>
    <x v="16"/>
    <x v="1"/>
    <x v="5"/>
    <s v="Global Comet Stacking Armless Chair"/>
    <x v="4696"/>
    <n v="1"/>
    <n v="23.92"/>
    <x v="6"/>
    <x v="3"/>
  </r>
  <r>
    <n v="45479"/>
    <x v="487"/>
    <x v="3"/>
    <x v="1"/>
    <x v="5"/>
    <s v="Global Task Chair, Black"/>
    <x v="4697"/>
    <n v="3"/>
    <n v="-13.74"/>
    <x v="6"/>
    <x v="3"/>
  </r>
  <r>
    <n v="45480"/>
    <x v="349"/>
    <x v="20"/>
    <x v="0"/>
    <x v="3"/>
    <s v="Wilson Jones Active Use Binders"/>
    <x v="124"/>
    <n v="3"/>
    <n v="6.33"/>
    <x v="6"/>
    <x v="3"/>
  </r>
  <r>
    <n v="45480"/>
    <x v="634"/>
    <x v="43"/>
    <x v="2"/>
    <x v="9"/>
    <s v="Hypercom P1300 Pinpad"/>
    <x v="942"/>
    <n v="4"/>
    <n v="93.24"/>
    <x v="6"/>
    <x v="3"/>
  </r>
  <r>
    <n v="45480"/>
    <x v="556"/>
    <x v="2"/>
    <x v="1"/>
    <x v="11"/>
    <s v="O'Sullivan 3-Shelf Heavy-Duty Bookcases"/>
    <x v="4698"/>
    <n v="3"/>
    <n v="-45.35"/>
    <x v="6"/>
    <x v="3"/>
  </r>
  <r>
    <n v="45480"/>
    <x v="556"/>
    <x v="2"/>
    <x v="0"/>
    <x v="0"/>
    <s v="Xerox 216"/>
    <x v="143"/>
    <n v="3"/>
    <n v="5.44"/>
    <x v="6"/>
    <x v="3"/>
  </r>
  <r>
    <n v="45480"/>
    <x v="556"/>
    <x v="2"/>
    <x v="2"/>
    <x v="6"/>
    <s v="Apple iPhone 5S"/>
    <x v="4699"/>
    <n v="2"/>
    <n v="-114"/>
    <x v="6"/>
    <x v="3"/>
  </r>
  <r>
    <n v="45480"/>
    <x v="556"/>
    <x v="2"/>
    <x v="0"/>
    <x v="2"/>
    <s v="Plastic Stacking Crates &amp; Casters"/>
    <x v="478"/>
    <n v="3"/>
    <n v="1"/>
    <x v="6"/>
    <x v="3"/>
  </r>
  <r>
    <n v="45480"/>
    <x v="556"/>
    <x v="2"/>
    <x v="2"/>
    <x v="9"/>
    <s v="AmazonBasics 3-Button USB Wired Mouse"/>
    <x v="723"/>
    <n v="3"/>
    <n v="4.82"/>
    <x v="6"/>
    <x v="3"/>
  </r>
  <r>
    <n v="45480"/>
    <x v="556"/>
    <x v="2"/>
    <x v="2"/>
    <x v="9"/>
    <s v="Plantronics CS510 - Over-the-Head monaural Wireless Headset System"/>
    <x v="4700"/>
    <n v="2"/>
    <n v="85.79"/>
    <x v="6"/>
    <x v="3"/>
  </r>
  <r>
    <n v="45480"/>
    <x v="372"/>
    <x v="3"/>
    <x v="0"/>
    <x v="7"/>
    <s v="Brites Rubber Bands, 1 1/2 oz. Box"/>
    <x v="62"/>
    <n v="3"/>
    <n v="0.12"/>
    <x v="6"/>
    <x v="3"/>
  </r>
  <r>
    <n v="45481"/>
    <x v="210"/>
    <x v="32"/>
    <x v="0"/>
    <x v="4"/>
    <s v="Binney &amp; Smith inkTank Erasable Desk Highlighter, Chisel Tip, Yellow, 12/Box"/>
    <x v="2026"/>
    <n v="3"/>
    <n v="3.1"/>
    <x v="6"/>
    <x v="3"/>
  </r>
  <r>
    <n v="45481"/>
    <x v="210"/>
    <x v="32"/>
    <x v="0"/>
    <x v="0"/>
    <s v="Easy-staple paper"/>
    <x v="396"/>
    <n v="2"/>
    <n v="11.54"/>
    <x v="6"/>
    <x v="3"/>
  </r>
  <r>
    <n v="45481"/>
    <x v="210"/>
    <x v="32"/>
    <x v="0"/>
    <x v="4"/>
    <s v="BIC Brite Liner Highlighters, Chisel Tip"/>
    <x v="115"/>
    <n v="2"/>
    <n v="4.1500000000000004"/>
    <x v="6"/>
    <x v="3"/>
  </r>
  <r>
    <n v="45481"/>
    <x v="381"/>
    <x v="3"/>
    <x v="1"/>
    <x v="8"/>
    <s v="Deflect-o SuperTray Unbreakable Stackable Tray, Letter, Black"/>
    <x v="2510"/>
    <n v="5"/>
    <n v="62.74"/>
    <x v="6"/>
    <x v="3"/>
  </r>
  <r>
    <n v="45481"/>
    <x v="788"/>
    <x v="22"/>
    <x v="1"/>
    <x v="8"/>
    <s v="GE 48&quot; Fluorescent Tube, Cool White Energy Saver, 34 Watts, 30/Box"/>
    <x v="4701"/>
    <n v="2"/>
    <n v="99.23"/>
    <x v="6"/>
    <x v="3"/>
  </r>
  <r>
    <n v="45481"/>
    <x v="788"/>
    <x v="22"/>
    <x v="0"/>
    <x v="1"/>
    <s v="Dot Matrix Printer Tape Reel Labels, White, 5000/Box"/>
    <x v="4702"/>
    <n v="8"/>
    <n v="385.38"/>
    <x v="6"/>
    <x v="3"/>
  </r>
  <r>
    <n v="45481"/>
    <x v="788"/>
    <x v="22"/>
    <x v="0"/>
    <x v="3"/>
    <s v="GBC White Gloss Covers, Plain Front"/>
    <x v="4703"/>
    <n v="2"/>
    <n v="7.82"/>
    <x v="6"/>
    <x v="3"/>
  </r>
  <r>
    <n v="45481"/>
    <x v="788"/>
    <x v="22"/>
    <x v="2"/>
    <x v="9"/>
    <s v="Micro Innovations USB RF Wireless Keyboard with Mouse"/>
    <x v="2473"/>
    <n v="2"/>
    <n v="10.5"/>
    <x v="6"/>
    <x v="3"/>
  </r>
  <r>
    <n v="45481"/>
    <x v="339"/>
    <x v="3"/>
    <x v="0"/>
    <x v="1"/>
    <s v="Avery 485"/>
    <x v="999"/>
    <n v="6"/>
    <n v="35.33"/>
    <x v="6"/>
    <x v="3"/>
  </r>
  <r>
    <n v="45481"/>
    <x v="58"/>
    <x v="22"/>
    <x v="1"/>
    <x v="8"/>
    <s v="Master Big Foot Doorstop, Beige"/>
    <x v="254"/>
    <n v="3"/>
    <n v="4.91"/>
    <x v="6"/>
    <x v="3"/>
  </r>
  <r>
    <n v="45481"/>
    <x v="58"/>
    <x v="22"/>
    <x v="0"/>
    <x v="3"/>
    <s v="GBC VeloBinder Manual Binding System"/>
    <x v="588"/>
    <n v="3"/>
    <n v="30.23"/>
    <x v="6"/>
    <x v="3"/>
  </r>
  <r>
    <n v="45481"/>
    <x v="58"/>
    <x v="22"/>
    <x v="0"/>
    <x v="4"/>
    <s v="Zebra Zazzle Fluorescent Highlighters"/>
    <x v="459"/>
    <n v="3"/>
    <n v="6.2"/>
    <x v="6"/>
    <x v="3"/>
  </r>
  <r>
    <n v="45481"/>
    <x v="58"/>
    <x v="22"/>
    <x v="0"/>
    <x v="4"/>
    <s v="Crayola Colored Pencils"/>
    <x v="342"/>
    <n v="4"/>
    <n v="4.33"/>
    <x v="6"/>
    <x v="3"/>
  </r>
  <r>
    <n v="45481"/>
    <x v="736"/>
    <x v="7"/>
    <x v="1"/>
    <x v="8"/>
    <s v="36X48 HARDFLOOR CHAIRMAT"/>
    <x v="894"/>
    <n v="4"/>
    <n v="5.87"/>
    <x v="6"/>
    <x v="3"/>
  </r>
  <r>
    <n v="45481"/>
    <x v="736"/>
    <x v="7"/>
    <x v="2"/>
    <x v="9"/>
    <s v="Maxell 4.7GB DVD-R"/>
    <x v="4704"/>
    <n v="5"/>
    <n v="58.18"/>
    <x v="6"/>
    <x v="3"/>
  </r>
  <r>
    <n v="45481"/>
    <x v="736"/>
    <x v="7"/>
    <x v="1"/>
    <x v="8"/>
    <s v="Tensor Track Tree Floor Lamp"/>
    <x v="2447"/>
    <n v="2"/>
    <n v="9.1999999999999993"/>
    <x v="6"/>
    <x v="3"/>
  </r>
  <r>
    <n v="45481"/>
    <x v="736"/>
    <x v="7"/>
    <x v="0"/>
    <x v="4"/>
    <s v="Newell 325"/>
    <x v="2034"/>
    <n v="7"/>
    <n v="8.67"/>
    <x v="6"/>
    <x v="3"/>
  </r>
  <r>
    <n v="45481"/>
    <x v="736"/>
    <x v="7"/>
    <x v="0"/>
    <x v="4"/>
    <s v="Hunt Boston Vacuum Mount KS Pencil Sharpener"/>
    <x v="383"/>
    <n v="5"/>
    <n v="45.49"/>
    <x v="6"/>
    <x v="3"/>
  </r>
  <r>
    <n v="45481"/>
    <x v="376"/>
    <x v="22"/>
    <x v="0"/>
    <x v="0"/>
    <s v="Easy-staple paper"/>
    <x v="1853"/>
    <n v="2"/>
    <n v="24.27"/>
    <x v="6"/>
    <x v="3"/>
  </r>
  <r>
    <n v="45482"/>
    <x v="210"/>
    <x v="11"/>
    <x v="0"/>
    <x v="3"/>
    <s v="Wilson Jones Easy Flow II Sheet Lifters"/>
    <x v="108"/>
    <n v="2"/>
    <n v="-0.79"/>
    <x v="6"/>
    <x v="3"/>
  </r>
  <r>
    <n v="45482"/>
    <x v="270"/>
    <x v="1"/>
    <x v="0"/>
    <x v="4"/>
    <s v="Quartet Alpha White Chalk, 12/Pack"/>
    <x v="4705"/>
    <n v="5"/>
    <n v="2.98"/>
    <x v="6"/>
    <x v="3"/>
  </r>
  <r>
    <n v="45482"/>
    <x v="270"/>
    <x v="1"/>
    <x v="0"/>
    <x v="12"/>
    <s v="Belkin F9S820V06 8 Outlet Surge"/>
    <x v="4706"/>
    <n v="9"/>
    <n v="-146.16"/>
    <x v="6"/>
    <x v="3"/>
  </r>
  <r>
    <n v="45482"/>
    <x v="209"/>
    <x v="1"/>
    <x v="0"/>
    <x v="2"/>
    <s v="Recycled Steel Personal File for Hanging File Folders"/>
    <x v="2090"/>
    <n v="5"/>
    <n v="14.31"/>
    <x v="6"/>
    <x v="3"/>
  </r>
  <r>
    <n v="45482"/>
    <x v="88"/>
    <x v="18"/>
    <x v="1"/>
    <x v="8"/>
    <s v="Eldon Antistatic Chair Mats for Low to Medium Pile Carpets"/>
    <x v="4665"/>
    <n v="5"/>
    <n v="31.59"/>
    <x v="6"/>
    <x v="3"/>
  </r>
  <r>
    <n v="45482"/>
    <x v="509"/>
    <x v="37"/>
    <x v="0"/>
    <x v="0"/>
    <s v="Xerox 1914"/>
    <x v="2029"/>
    <n v="5"/>
    <n v="134.65"/>
    <x v="6"/>
    <x v="3"/>
  </r>
  <r>
    <n v="45482"/>
    <x v="509"/>
    <x v="37"/>
    <x v="0"/>
    <x v="2"/>
    <s v="Tennsco Industrial Shelving"/>
    <x v="1633"/>
    <n v="4"/>
    <n v="3.91"/>
    <x v="6"/>
    <x v="3"/>
  </r>
  <r>
    <n v="45482"/>
    <x v="509"/>
    <x v="37"/>
    <x v="2"/>
    <x v="6"/>
    <s v="Digium D40 VoIP phone"/>
    <x v="1181"/>
    <n v="2"/>
    <n v="74.81"/>
    <x v="6"/>
    <x v="3"/>
  </r>
  <r>
    <n v="45482"/>
    <x v="509"/>
    <x v="37"/>
    <x v="0"/>
    <x v="4"/>
    <s v="Prismacolor Color Pencil Set"/>
    <x v="2677"/>
    <n v="6"/>
    <n v="48.81"/>
    <x v="6"/>
    <x v="3"/>
  </r>
  <r>
    <n v="45483"/>
    <x v="652"/>
    <x v="4"/>
    <x v="1"/>
    <x v="8"/>
    <s v="Eldon 200 Class Desk Accessories, Smoke"/>
    <x v="125"/>
    <n v="3"/>
    <n v="7.91"/>
    <x v="6"/>
    <x v="3"/>
  </r>
  <r>
    <n v="45483"/>
    <x v="215"/>
    <x v="1"/>
    <x v="0"/>
    <x v="2"/>
    <s v="Fellowes Mobile File Cart, Black"/>
    <x v="4707"/>
    <n v="6"/>
    <n v="26.12"/>
    <x v="6"/>
    <x v="3"/>
  </r>
  <r>
    <n v="45483"/>
    <x v="97"/>
    <x v="4"/>
    <x v="0"/>
    <x v="12"/>
    <s v="Belkin 7-Outlet SurgeMaster Home Series"/>
    <x v="4708"/>
    <n v="3"/>
    <n v="10.9"/>
    <x v="6"/>
    <x v="3"/>
  </r>
  <r>
    <n v="45484"/>
    <x v="549"/>
    <x v="3"/>
    <x v="0"/>
    <x v="1"/>
    <s v="Avery 482"/>
    <x v="3035"/>
    <n v="3"/>
    <n v="4.07"/>
    <x v="6"/>
    <x v="3"/>
  </r>
  <r>
    <n v="45484"/>
    <x v="448"/>
    <x v="20"/>
    <x v="2"/>
    <x v="9"/>
    <s v="SanDisk Ultra 32 GB MicroSDHC Class 10 Memory Card"/>
    <x v="4709"/>
    <n v="6"/>
    <n v="17.239999999999998"/>
    <x v="6"/>
    <x v="3"/>
  </r>
  <r>
    <n v="45484"/>
    <x v="262"/>
    <x v="30"/>
    <x v="0"/>
    <x v="4"/>
    <s v="Staples in misc. colors"/>
    <x v="4710"/>
    <n v="4"/>
    <n v="11.82"/>
    <x v="6"/>
    <x v="3"/>
  </r>
  <r>
    <n v="45484"/>
    <x v="119"/>
    <x v="3"/>
    <x v="2"/>
    <x v="9"/>
    <s v="LogitechÂ P710e Mobile Speakerphone"/>
    <x v="3125"/>
    <n v="5"/>
    <n v="244.62"/>
    <x v="6"/>
    <x v="3"/>
  </r>
  <r>
    <n v="45484"/>
    <x v="119"/>
    <x v="3"/>
    <x v="0"/>
    <x v="12"/>
    <s v="Fellowes 8 Outlet Superior Workstation Surge Protector w/o Phone/Fax/Modem Protection"/>
    <x v="4711"/>
    <n v="5"/>
    <n v="43.71"/>
    <x v="6"/>
    <x v="3"/>
  </r>
  <r>
    <n v="45484"/>
    <x v="324"/>
    <x v="3"/>
    <x v="2"/>
    <x v="6"/>
    <s v="Belkin iPhone and iPad Lightning Cable"/>
    <x v="4712"/>
    <n v="6"/>
    <n v="5.4"/>
    <x v="6"/>
    <x v="3"/>
  </r>
  <r>
    <n v="45484"/>
    <x v="324"/>
    <x v="3"/>
    <x v="0"/>
    <x v="3"/>
    <s v="Acco Four Pocket Poly Ring Binder with Label Holder, Smoke, 1&quot;"/>
    <x v="2576"/>
    <n v="5"/>
    <n v="9.31"/>
    <x v="6"/>
    <x v="3"/>
  </r>
  <r>
    <n v="45485"/>
    <x v="178"/>
    <x v="10"/>
    <x v="0"/>
    <x v="0"/>
    <s v="Wirebound Message Books, Four 2 3/4 x 5 Forms per Page, 200 Sets per Book"/>
    <x v="4713"/>
    <n v="1"/>
    <n v="1.19"/>
    <x v="6"/>
    <x v="3"/>
  </r>
  <r>
    <n v="45486"/>
    <x v="294"/>
    <x v="2"/>
    <x v="2"/>
    <x v="6"/>
    <s v="Cisco SPA508G"/>
    <x v="4714"/>
    <n v="1"/>
    <n v="-7.26"/>
    <x v="6"/>
    <x v="3"/>
  </r>
  <r>
    <n v="45486"/>
    <x v="294"/>
    <x v="2"/>
    <x v="1"/>
    <x v="8"/>
    <s v="Nu-Dell Executive Frame"/>
    <x v="4715"/>
    <n v="9"/>
    <n v="19.34"/>
    <x v="6"/>
    <x v="3"/>
  </r>
  <r>
    <n v="45486"/>
    <x v="390"/>
    <x v="42"/>
    <x v="0"/>
    <x v="2"/>
    <s v="Standard Rollaway File with Lock"/>
    <x v="2856"/>
    <n v="2"/>
    <n v="93.7"/>
    <x v="6"/>
    <x v="3"/>
  </r>
  <r>
    <n v="45486"/>
    <x v="390"/>
    <x v="42"/>
    <x v="0"/>
    <x v="0"/>
    <s v="Strathmore Photo Mount Cards"/>
    <x v="4716"/>
    <n v="2"/>
    <n v="6.24"/>
    <x v="6"/>
    <x v="3"/>
  </r>
  <r>
    <n v="45487"/>
    <x v="460"/>
    <x v="3"/>
    <x v="0"/>
    <x v="3"/>
    <s v="Acco Suede Grain Vinyl Round Ring Binder"/>
    <x v="192"/>
    <n v="2"/>
    <n v="1.45"/>
    <x v="6"/>
    <x v="3"/>
  </r>
  <r>
    <n v="45487"/>
    <x v="460"/>
    <x v="3"/>
    <x v="1"/>
    <x v="8"/>
    <s v="Deflect-o RollaMat Studded, Beveled Mat for Medium Pile Carpeting"/>
    <x v="4657"/>
    <n v="3"/>
    <n v="49.8"/>
    <x v="6"/>
    <x v="3"/>
  </r>
  <r>
    <n v="45487"/>
    <x v="460"/>
    <x v="3"/>
    <x v="0"/>
    <x v="7"/>
    <s v="OIC Binder Clips, Mini, 1/4&quot; Capacity, Black"/>
    <x v="2095"/>
    <n v="4"/>
    <n v="2.33"/>
    <x v="6"/>
    <x v="3"/>
  </r>
  <r>
    <n v="45487"/>
    <x v="460"/>
    <x v="3"/>
    <x v="0"/>
    <x v="4"/>
    <s v="BOSTON Model 1800 Electric Pencil Sharpeners, Putty/Woodgrain"/>
    <x v="4717"/>
    <n v="4"/>
    <n v="20.86"/>
    <x v="6"/>
    <x v="3"/>
  </r>
  <r>
    <n v="45487"/>
    <x v="460"/>
    <x v="3"/>
    <x v="1"/>
    <x v="8"/>
    <s v="Eldon 200 Class Desk Accessories, Burgundy"/>
    <x v="125"/>
    <n v="3"/>
    <n v="7.91"/>
    <x v="6"/>
    <x v="3"/>
  </r>
  <r>
    <n v="45487"/>
    <x v="460"/>
    <x v="3"/>
    <x v="2"/>
    <x v="9"/>
    <s v="Sony Micro Vault Click 8 GB USB 2.0 Flash Drive"/>
    <x v="4718"/>
    <n v="3"/>
    <n v="19.739999999999998"/>
    <x v="6"/>
    <x v="3"/>
  </r>
  <r>
    <n v="45487"/>
    <x v="460"/>
    <x v="3"/>
    <x v="2"/>
    <x v="6"/>
    <s v="GE 30524EE4"/>
    <x v="4375"/>
    <n v="3"/>
    <n v="52.92"/>
    <x v="6"/>
    <x v="3"/>
  </r>
  <r>
    <n v="45487"/>
    <x v="154"/>
    <x v="10"/>
    <x v="0"/>
    <x v="0"/>
    <s v="Xerox 1950"/>
    <x v="3521"/>
    <n v="2"/>
    <n v="3.35"/>
    <x v="6"/>
    <x v="3"/>
  </r>
  <r>
    <n v="45487"/>
    <x v="154"/>
    <x v="10"/>
    <x v="2"/>
    <x v="6"/>
    <s v="Samsung Galaxy S III - 16GB - pebble blue (T-Mobile)"/>
    <x v="4719"/>
    <n v="9"/>
    <n v="-377.99"/>
    <x v="6"/>
    <x v="3"/>
  </r>
  <r>
    <n v="45487"/>
    <x v="154"/>
    <x v="10"/>
    <x v="0"/>
    <x v="2"/>
    <s v="Tenex File Box, Personal Filing Tote with Lid, Black"/>
    <x v="4720"/>
    <n v="5"/>
    <n v="4.6500000000000004"/>
    <x v="6"/>
    <x v="3"/>
  </r>
  <r>
    <n v="45487"/>
    <x v="154"/>
    <x v="10"/>
    <x v="1"/>
    <x v="8"/>
    <s v="GE 48&quot; Fluorescent Tube, Cool White Energy Saver, 34 Watts, 30/Box"/>
    <x v="4137"/>
    <n v="5"/>
    <n v="148.85"/>
    <x v="6"/>
    <x v="3"/>
  </r>
  <r>
    <n v="45487"/>
    <x v="154"/>
    <x v="10"/>
    <x v="0"/>
    <x v="2"/>
    <s v="SAFCO Mobile Desk Side File, Wire Frame"/>
    <x v="4721"/>
    <n v="7"/>
    <n v="17.96"/>
    <x v="6"/>
    <x v="3"/>
  </r>
  <r>
    <n v="45487"/>
    <x v="154"/>
    <x v="10"/>
    <x v="0"/>
    <x v="4"/>
    <s v="Crayola Colored Pencils"/>
    <x v="342"/>
    <n v="5"/>
    <n v="2.13"/>
    <x v="6"/>
    <x v="3"/>
  </r>
  <r>
    <n v="45488"/>
    <x v="226"/>
    <x v="7"/>
    <x v="0"/>
    <x v="3"/>
    <s v="GBC Standard Plastic Binding Systems Combs"/>
    <x v="3327"/>
    <n v="3"/>
    <n v="13.01"/>
    <x v="6"/>
    <x v="3"/>
  </r>
  <r>
    <n v="45488"/>
    <x v="226"/>
    <x v="7"/>
    <x v="1"/>
    <x v="13"/>
    <s v="Hon 2111 Invitation Series Straight Table"/>
    <x v="4722"/>
    <n v="3"/>
    <n v="-48.78"/>
    <x v="6"/>
    <x v="3"/>
  </r>
  <r>
    <n v="45488"/>
    <x v="147"/>
    <x v="20"/>
    <x v="0"/>
    <x v="4"/>
    <s v="Newell 349"/>
    <x v="239"/>
    <n v="2"/>
    <n v="1.9"/>
    <x v="6"/>
    <x v="3"/>
  </r>
  <r>
    <n v="45488"/>
    <x v="147"/>
    <x v="20"/>
    <x v="0"/>
    <x v="1"/>
    <s v="Avery 509"/>
    <x v="337"/>
    <n v="3"/>
    <n v="3.6"/>
    <x v="6"/>
    <x v="3"/>
  </r>
  <r>
    <n v="45488"/>
    <x v="147"/>
    <x v="20"/>
    <x v="2"/>
    <x v="9"/>
    <s v="Sony 32GB Class 10 Micro SDHC R40 Memory Card"/>
    <x v="634"/>
    <n v="2"/>
    <n v="8.8000000000000007"/>
    <x v="6"/>
    <x v="3"/>
  </r>
  <r>
    <n v="45488"/>
    <x v="147"/>
    <x v="20"/>
    <x v="1"/>
    <x v="5"/>
    <s v="Hon Mobius Operator's Chair"/>
    <x v="4723"/>
    <n v="6"/>
    <n v="88.55"/>
    <x v="6"/>
    <x v="3"/>
  </r>
  <r>
    <n v="45488"/>
    <x v="147"/>
    <x v="20"/>
    <x v="0"/>
    <x v="0"/>
    <s v="Spiral Phone Message Books with Labels by Adams"/>
    <x v="307"/>
    <n v="2"/>
    <n v="4.3899999999999997"/>
    <x v="6"/>
    <x v="3"/>
  </r>
  <r>
    <n v="45488"/>
    <x v="332"/>
    <x v="6"/>
    <x v="0"/>
    <x v="12"/>
    <s v="Belkin 8 Outlet SurgeMaster II Gold Surge Protector"/>
    <x v="1468"/>
    <n v="3"/>
    <n v="50.38"/>
    <x v="6"/>
    <x v="3"/>
  </r>
  <r>
    <n v="45488"/>
    <x v="332"/>
    <x v="6"/>
    <x v="1"/>
    <x v="13"/>
    <s v="Hon 5100 Series Wood Tables"/>
    <x v="4724"/>
    <n v="3"/>
    <n v="157.13"/>
    <x v="6"/>
    <x v="3"/>
  </r>
  <r>
    <n v="45488"/>
    <x v="332"/>
    <x v="6"/>
    <x v="0"/>
    <x v="0"/>
    <s v="Xerox 1999"/>
    <x v="115"/>
    <n v="2"/>
    <n v="6.22"/>
    <x v="6"/>
    <x v="3"/>
  </r>
  <r>
    <n v="45489"/>
    <x v="394"/>
    <x v="2"/>
    <x v="1"/>
    <x v="5"/>
    <s v="Global Deluxe Stacking Chair, Gray"/>
    <x v="4725"/>
    <n v="2"/>
    <n v="-1.02"/>
    <x v="6"/>
    <x v="3"/>
  </r>
  <r>
    <n v="45489"/>
    <x v="139"/>
    <x v="1"/>
    <x v="0"/>
    <x v="4"/>
    <s v="Crayola Anti Dust Chalk, 12/Pack"/>
    <x v="3681"/>
    <n v="2"/>
    <n v="0.91"/>
    <x v="6"/>
    <x v="3"/>
  </r>
  <r>
    <n v="45489"/>
    <x v="40"/>
    <x v="25"/>
    <x v="1"/>
    <x v="5"/>
    <s v="Global Fabric Manager's Chair, Dark Gray"/>
    <x v="1554"/>
    <n v="3"/>
    <n v="15.15"/>
    <x v="6"/>
    <x v="3"/>
  </r>
  <r>
    <n v="45490"/>
    <x v="661"/>
    <x v="16"/>
    <x v="1"/>
    <x v="8"/>
    <s v="C-Line Magnetic Cubicle Keepers, Clear Polypropylene"/>
    <x v="2423"/>
    <n v="2"/>
    <n v="2.17"/>
    <x v="6"/>
    <x v="3"/>
  </r>
  <r>
    <n v="45490"/>
    <x v="734"/>
    <x v="20"/>
    <x v="2"/>
    <x v="6"/>
    <s v="Avaya 5420 Digital phone"/>
    <x v="2121"/>
    <n v="2"/>
    <n v="67.5"/>
    <x v="6"/>
    <x v="3"/>
  </r>
  <r>
    <n v="45490"/>
    <x v="734"/>
    <x v="20"/>
    <x v="0"/>
    <x v="0"/>
    <s v="Southworth 25% Cotton Premium Laser Paper and Envelopes"/>
    <x v="3344"/>
    <n v="5"/>
    <n v="47.95"/>
    <x v="6"/>
    <x v="3"/>
  </r>
  <r>
    <n v="45490"/>
    <x v="734"/>
    <x v="20"/>
    <x v="1"/>
    <x v="8"/>
    <s v="DAX Solid Wood Frames"/>
    <x v="4726"/>
    <n v="4"/>
    <n v="14.46"/>
    <x v="6"/>
    <x v="3"/>
  </r>
  <r>
    <n v="45490"/>
    <x v="314"/>
    <x v="3"/>
    <x v="2"/>
    <x v="16"/>
    <s v="Brother DCP1000 Digital 3 in 1 Multifunction Machine"/>
    <x v="386"/>
    <n v="2"/>
    <n v="90"/>
    <x v="6"/>
    <x v="3"/>
  </r>
  <r>
    <n v="45490"/>
    <x v="202"/>
    <x v="3"/>
    <x v="0"/>
    <x v="0"/>
    <s v="Xerox 221"/>
    <x v="331"/>
    <n v="5"/>
    <n v="15.55"/>
    <x v="6"/>
    <x v="3"/>
  </r>
  <r>
    <n v="45490"/>
    <x v="202"/>
    <x v="3"/>
    <x v="0"/>
    <x v="10"/>
    <s v="Peel &amp; Seel Recycled Catalog Envelopes, Brown"/>
    <x v="4727"/>
    <n v="5"/>
    <n v="28.95"/>
    <x v="6"/>
    <x v="3"/>
  </r>
  <r>
    <n v="45490"/>
    <x v="202"/>
    <x v="3"/>
    <x v="0"/>
    <x v="2"/>
    <s v="Sterilite Show Offs Storage Containers"/>
    <x v="75"/>
    <n v="2"/>
    <n v="0"/>
    <x v="6"/>
    <x v="3"/>
  </r>
  <r>
    <n v="45490"/>
    <x v="202"/>
    <x v="3"/>
    <x v="1"/>
    <x v="11"/>
    <s v="Atlantic Metals Mobile 4-Shelf Bookcases, Custom Colors"/>
    <x v="4728"/>
    <n v="5"/>
    <n v="210.74"/>
    <x v="6"/>
    <x v="3"/>
  </r>
  <r>
    <n v="45491"/>
    <x v="505"/>
    <x v="12"/>
    <x v="1"/>
    <x v="13"/>
    <s v="Chromcraft 48&quot; x 96&quot; Racetrack Double Pedestal Table"/>
    <x v="4729"/>
    <n v="5"/>
    <n v="-448.9"/>
    <x v="6"/>
    <x v="3"/>
  </r>
  <r>
    <n v="45491"/>
    <x v="505"/>
    <x v="12"/>
    <x v="1"/>
    <x v="5"/>
    <s v="Global Fabric Manager's Chair, Dark Gray"/>
    <x v="1718"/>
    <n v="2"/>
    <n v="10.1"/>
    <x v="6"/>
    <x v="3"/>
  </r>
  <r>
    <n v="45491"/>
    <x v="505"/>
    <x v="12"/>
    <x v="0"/>
    <x v="0"/>
    <s v="Riverleaf Stik-Withit Designer Note Cubes"/>
    <x v="4730"/>
    <n v="2"/>
    <n v="5.23"/>
    <x v="6"/>
    <x v="3"/>
  </r>
  <r>
    <n v="45491"/>
    <x v="505"/>
    <x v="12"/>
    <x v="0"/>
    <x v="3"/>
    <s v="Acco Expandable Hanging Binders"/>
    <x v="1994"/>
    <n v="4"/>
    <n v="-6.12"/>
    <x v="6"/>
    <x v="3"/>
  </r>
  <r>
    <n v="45491"/>
    <x v="505"/>
    <x v="12"/>
    <x v="1"/>
    <x v="5"/>
    <s v="High-Back Leather Manager's Chair"/>
    <x v="1917"/>
    <n v="3"/>
    <n v="-42.9"/>
    <x v="6"/>
    <x v="3"/>
  </r>
  <r>
    <n v="45491"/>
    <x v="9"/>
    <x v="2"/>
    <x v="2"/>
    <x v="16"/>
    <s v="Canon PC-428 Personal Copier"/>
    <x v="4731"/>
    <n v="5"/>
    <n v="70"/>
    <x v="6"/>
    <x v="3"/>
  </r>
  <r>
    <n v="45491"/>
    <x v="9"/>
    <x v="2"/>
    <x v="1"/>
    <x v="5"/>
    <s v="Situations Contoured Folding Chairs, 4/Set"/>
    <x v="3630"/>
    <n v="4"/>
    <n v="-14.2"/>
    <x v="6"/>
    <x v="3"/>
  </r>
  <r>
    <n v="45491"/>
    <x v="9"/>
    <x v="2"/>
    <x v="0"/>
    <x v="14"/>
    <s v="Acme Kleencut Forged Steel Scissors"/>
    <x v="814"/>
    <n v="2"/>
    <n v="1.1499999999999999"/>
    <x v="6"/>
    <x v="3"/>
  </r>
  <r>
    <n v="45493"/>
    <x v="246"/>
    <x v="1"/>
    <x v="0"/>
    <x v="2"/>
    <s v="Trav-L-File Heavy-Duty Shuttle II, Black"/>
    <x v="4732"/>
    <n v="2"/>
    <n v="8.7100000000000009"/>
    <x v="6"/>
    <x v="3"/>
  </r>
  <r>
    <n v="45493"/>
    <x v="246"/>
    <x v="1"/>
    <x v="1"/>
    <x v="8"/>
    <s v="Contract Clock, 14&quot;, Brown"/>
    <x v="4733"/>
    <n v="1"/>
    <n v="-5.71"/>
    <x v="6"/>
    <x v="3"/>
  </r>
  <r>
    <n v="45493"/>
    <x v="551"/>
    <x v="19"/>
    <x v="0"/>
    <x v="1"/>
    <s v="Avery 486"/>
    <x v="471"/>
    <n v="2"/>
    <n v="6.87"/>
    <x v="6"/>
    <x v="3"/>
  </r>
  <r>
    <n v="45493"/>
    <x v="551"/>
    <x v="19"/>
    <x v="0"/>
    <x v="12"/>
    <s v="1.7 Cubic Foot Compact &quot;Cube&quot; Office Refrigerators"/>
    <x v="4734"/>
    <n v="2"/>
    <n v="112.41"/>
    <x v="6"/>
    <x v="3"/>
  </r>
  <r>
    <n v="45493"/>
    <x v="551"/>
    <x v="19"/>
    <x v="0"/>
    <x v="3"/>
    <s v="Avery Printable Repositionable Plastic Tabs"/>
    <x v="4735"/>
    <n v="5"/>
    <n v="20.21"/>
    <x v="6"/>
    <x v="3"/>
  </r>
  <r>
    <n v="45493"/>
    <x v="551"/>
    <x v="19"/>
    <x v="1"/>
    <x v="5"/>
    <s v="Novimex Fabric Task Chair"/>
    <x v="978"/>
    <n v="3"/>
    <n v="27.44"/>
    <x v="6"/>
    <x v="3"/>
  </r>
  <r>
    <n v="45493"/>
    <x v="551"/>
    <x v="19"/>
    <x v="0"/>
    <x v="3"/>
    <s v="Cardinal Slant-D Ring Binders"/>
    <x v="4736"/>
    <n v="7"/>
    <n v="30.42"/>
    <x v="6"/>
    <x v="3"/>
  </r>
  <r>
    <n v="45493"/>
    <x v="551"/>
    <x v="19"/>
    <x v="2"/>
    <x v="9"/>
    <s v="Logitech G35 7.1-Channel Surround Sound Headset"/>
    <x v="2516"/>
    <n v="3"/>
    <n v="132.59"/>
    <x v="6"/>
    <x v="3"/>
  </r>
  <r>
    <n v="45493"/>
    <x v="436"/>
    <x v="28"/>
    <x v="0"/>
    <x v="3"/>
    <s v="Ibico Ibimaster 300 Manual Binding System"/>
    <x v="3778"/>
    <n v="2"/>
    <n v="331.19"/>
    <x v="6"/>
    <x v="3"/>
  </r>
  <r>
    <n v="45493"/>
    <x v="278"/>
    <x v="20"/>
    <x v="0"/>
    <x v="0"/>
    <s v="Xerox 1977"/>
    <x v="518"/>
    <n v="2"/>
    <n v="6.41"/>
    <x v="6"/>
    <x v="3"/>
  </r>
  <r>
    <n v="45493"/>
    <x v="278"/>
    <x v="20"/>
    <x v="1"/>
    <x v="5"/>
    <s v="Office Star - Task Chair with Contemporary Loop Arms"/>
    <x v="4737"/>
    <n v="2"/>
    <n v="25.47"/>
    <x v="6"/>
    <x v="3"/>
  </r>
  <r>
    <n v="45493"/>
    <x v="278"/>
    <x v="20"/>
    <x v="1"/>
    <x v="8"/>
    <s v="Tenex B1-RE Series Chair Mats for Low Pile Carpets"/>
    <x v="4738"/>
    <n v="4"/>
    <n v="31.27"/>
    <x v="6"/>
    <x v="3"/>
  </r>
  <r>
    <n v="45494"/>
    <x v="581"/>
    <x v="23"/>
    <x v="0"/>
    <x v="0"/>
    <s v="Xerox 1993"/>
    <x v="710"/>
    <n v="1"/>
    <n v="3.18"/>
    <x v="6"/>
    <x v="3"/>
  </r>
  <r>
    <n v="45494"/>
    <x v="582"/>
    <x v="27"/>
    <x v="2"/>
    <x v="6"/>
    <s v="PayAnywhere Card Reader"/>
    <x v="336"/>
    <n v="9"/>
    <n v="6.29"/>
    <x v="6"/>
    <x v="3"/>
  </r>
  <r>
    <n v="45494"/>
    <x v="582"/>
    <x v="27"/>
    <x v="0"/>
    <x v="4"/>
    <s v="BOSTON Ranger #55 Pencil Sharpener, Black"/>
    <x v="1905"/>
    <n v="1"/>
    <n v="7.54"/>
    <x v="6"/>
    <x v="3"/>
  </r>
  <r>
    <n v="45494"/>
    <x v="746"/>
    <x v="10"/>
    <x v="0"/>
    <x v="3"/>
    <s v="Vinyl Sectional Post Binders"/>
    <x v="4739"/>
    <n v="3"/>
    <n v="-22.62"/>
    <x v="6"/>
    <x v="3"/>
  </r>
  <r>
    <n v="45494"/>
    <x v="746"/>
    <x v="10"/>
    <x v="0"/>
    <x v="2"/>
    <s v="Letter Size File"/>
    <x v="4740"/>
    <n v="7"/>
    <n v="25.01"/>
    <x v="6"/>
    <x v="3"/>
  </r>
  <r>
    <n v="45494"/>
    <x v="746"/>
    <x v="10"/>
    <x v="2"/>
    <x v="6"/>
    <s v="Dexim XPower Skin Super-Thin Power Case for iPhone 5 - Black"/>
    <x v="4741"/>
    <n v="6"/>
    <n v="-52.64"/>
    <x v="6"/>
    <x v="3"/>
  </r>
  <r>
    <n v="45494"/>
    <x v="481"/>
    <x v="6"/>
    <x v="0"/>
    <x v="4"/>
    <s v="Berol Giant Pencil Sharpener"/>
    <x v="2836"/>
    <n v="6"/>
    <n v="29.56"/>
    <x v="6"/>
    <x v="3"/>
  </r>
  <r>
    <n v="45494"/>
    <x v="481"/>
    <x v="6"/>
    <x v="2"/>
    <x v="6"/>
    <s v="Nortel Networks T7316 E Nt8 B27"/>
    <x v="4093"/>
    <n v="4"/>
    <n v="67.989999999999995"/>
    <x v="6"/>
    <x v="3"/>
  </r>
  <r>
    <n v="45494"/>
    <x v="481"/>
    <x v="6"/>
    <x v="1"/>
    <x v="8"/>
    <s v="Regeneration Desk Collection"/>
    <x v="4742"/>
    <n v="5"/>
    <n v="3.87"/>
    <x v="6"/>
    <x v="3"/>
  </r>
  <r>
    <n v="45494"/>
    <x v="481"/>
    <x v="6"/>
    <x v="0"/>
    <x v="4"/>
    <s v="Newell 35"/>
    <x v="184"/>
    <n v="6"/>
    <n v="5.71"/>
    <x v="6"/>
    <x v="3"/>
  </r>
  <r>
    <n v="45494"/>
    <x v="481"/>
    <x v="6"/>
    <x v="1"/>
    <x v="11"/>
    <s v="Bush Westfield Collection Bookcases, Fully Assembled"/>
    <x v="2874"/>
    <n v="3"/>
    <n v="69.680000000000007"/>
    <x v="6"/>
    <x v="3"/>
  </r>
  <r>
    <n v="45494"/>
    <x v="481"/>
    <x v="6"/>
    <x v="0"/>
    <x v="3"/>
    <s v="Cardinal Holdit Business Card Pockets"/>
    <x v="98"/>
    <n v="3"/>
    <n v="7.17"/>
    <x v="6"/>
    <x v="3"/>
  </r>
  <r>
    <n v="45494"/>
    <x v="481"/>
    <x v="6"/>
    <x v="0"/>
    <x v="14"/>
    <s v="Premier Electric Letter Opener"/>
    <x v="3415"/>
    <n v="2"/>
    <n v="11.59"/>
    <x v="6"/>
    <x v="3"/>
  </r>
  <r>
    <n v="45494"/>
    <x v="661"/>
    <x v="3"/>
    <x v="0"/>
    <x v="0"/>
    <s v="Wirebound Message Forms, Four 2 3/4 x 5 Forms per Page, Pink Paper"/>
    <x v="4743"/>
    <n v="2"/>
    <n v="7.68"/>
    <x v="6"/>
    <x v="3"/>
  </r>
  <r>
    <n v="45494"/>
    <x v="661"/>
    <x v="3"/>
    <x v="1"/>
    <x v="5"/>
    <s v="Hon Olson Stacker Stools"/>
    <x v="474"/>
    <n v="2"/>
    <n v="22.53"/>
    <x v="6"/>
    <x v="3"/>
  </r>
  <r>
    <n v="45494"/>
    <x v="661"/>
    <x v="3"/>
    <x v="0"/>
    <x v="3"/>
    <s v="GBC Premium Transparent Covers with Diagonal Lined Pattern"/>
    <x v="1918"/>
    <n v="3"/>
    <n v="17.62"/>
    <x v="6"/>
    <x v="3"/>
  </r>
  <r>
    <n v="45494"/>
    <x v="178"/>
    <x v="20"/>
    <x v="0"/>
    <x v="12"/>
    <s v="Eureka Sanitaire  Multi-Pro Heavy-Duty Upright, Disposable Bags"/>
    <x v="1649"/>
    <n v="4"/>
    <n v="4.54"/>
    <x v="6"/>
    <x v="3"/>
  </r>
  <r>
    <n v="45494"/>
    <x v="278"/>
    <x v="3"/>
    <x v="0"/>
    <x v="4"/>
    <s v="Nontoxic Chalk"/>
    <x v="567"/>
    <n v="2"/>
    <n v="1.69"/>
    <x v="6"/>
    <x v="3"/>
  </r>
  <r>
    <n v="45494"/>
    <x v="278"/>
    <x v="3"/>
    <x v="2"/>
    <x v="6"/>
    <s v="Polycom SoundPoint IP 450 VoIP phone"/>
    <x v="4744"/>
    <n v="9"/>
    <n v="121.96"/>
    <x v="6"/>
    <x v="3"/>
  </r>
  <r>
    <n v="45494"/>
    <x v="344"/>
    <x v="0"/>
    <x v="1"/>
    <x v="13"/>
    <s v="Hon 61000 Series Interactive Training Tables"/>
    <x v="4745"/>
    <n v="4"/>
    <n v="-21.33"/>
    <x v="6"/>
    <x v="3"/>
  </r>
  <r>
    <n v="45494"/>
    <x v="254"/>
    <x v="1"/>
    <x v="0"/>
    <x v="3"/>
    <s v="Avery Poly Binder Pockets"/>
    <x v="846"/>
    <n v="4"/>
    <n v="-4.58"/>
    <x v="6"/>
    <x v="3"/>
  </r>
  <r>
    <n v="45494"/>
    <x v="254"/>
    <x v="1"/>
    <x v="0"/>
    <x v="3"/>
    <s v="Catalog Binders with Expanding Posts"/>
    <x v="4746"/>
    <n v="7"/>
    <n v="-164.84"/>
    <x v="6"/>
    <x v="3"/>
  </r>
  <r>
    <n v="45494"/>
    <x v="397"/>
    <x v="1"/>
    <x v="0"/>
    <x v="3"/>
    <s v="Wilson Jones 1&quot; Hanging DublLock Ring Binders"/>
    <x v="4747"/>
    <n v="2"/>
    <n v="-3.38"/>
    <x v="6"/>
    <x v="3"/>
  </r>
  <r>
    <n v="45495"/>
    <x v="470"/>
    <x v="20"/>
    <x v="2"/>
    <x v="6"/>
    <s v="Square Credit Card Reader, 4 1/2&quot; x 4 1/2&quot; x 1&quot;, White"/>
    <x v="2157"/>
    <n v="3"/>
    <n v="14.09"/>
    <x v="6"/>
    <x v="3"/>
  </r>
  <r>
    <n v="45495"/>
    <x v="34"/>
    <x v="1"/>
    <x v="1"/>
    <x v="5"/>
    <s v="Hon Every-Day Series Multi-Task Chairs"/>
    <x v="4748"/>
    <n v="4"/>
    <n v="-75.19"/>
    <x v="6"/>
    <x v="3"/>
  </r>
  <r>
    <n v="45496"/>
    <x v="85"/>
    <x v="20"/>
    <x v="0"/>
    <x v="3"/>
    <s v="Angle-D Ring Binders"/>
    <x v="957"/>
    <n v="3"/>
    <n v="4.2699999999999996"/>
    <x v="6"/>
    <x v="3"/>
  </r>
  <r>
    <n v="45496"/>
    <x v="352"/>
    <x v="18"/>
    <x v="0"/>
    <x v="4"/>
    <s v="Quartet Omega Colored Chalk, 12/Pack"/>
    <x v="2410"/>
    <n v="2"/>
    <n v="5.49"/>
    <x v="6"/>
    <x v="3"/>
  </r>
  <r>
    <n v="45496"/>
    <x v="352"/>
    <x v="18"/>
    <x v="2"/>
    <x v="9"/>
    <s v="Memorex 25GB 6X Branded Blu-Ray Recordable Disc, 30/Pack"/>
    <x v="4749"/>
    <n v="5"/>
    <n v="11.18"/>
    <x v="6"/>
    <x v="3"/>
  </r>
  <r>
    <n v="45496"/>
    <x v="382"/>
    <x v="20"/>
    <x v="0"/>
    <x v="1"/>
    <s v="Avery Address/Shipping Labels for Typewriters, 4&quot; x 2&quot;"/>
    <x v="554"/>
    <n v="4"/>
    <n v="19.87"/>
    <x v="6"/>
    <x v="3"/>
  </r>
  <r>
    <n v="45496"/>
    <x v="39"/>
    <x v="20"/>
    <x v="0"/>
    <x v="3"/>
    <s v="Wilson Jones Â“SnapÂ” Scratch Pad Binder Tool for Ring Binders"/>
    <x v="605"/>
    <n v="3"/>
    <n v="4.3499999999999996"/>
    <x v="6"/>
    <x v="3"/>
  </r>
  <r>
    <n v="45496"/>
    <x v="706"/>
    <x v="1"/>
    <x v="0"/>
    <x v="0"/>
    <s v="Xerox 1909"/>
    <x v="2966"/>
    <n v="3"/>
    <n v="20.58"/>
    <x v="6"/>
    <x v="3"/>
  </r>
  <r>
    <n v="45496"/>
    <x v="675"/>
    <x v="21"/>
    <x v="2"/>
    <x v="9"/>
    <s v="Logitech G600 MMO Gaming Mouse"/>
    <x v="4750"/>
    <n v="5"/>
    <n v="143.97999999999999"/>
    <x v="6"/>
    <x v="3"/>
  </r>
  <r>
    <n v="45496"/>
    <x v="463"/>
    <x v="3"/>
    <x v="0"/>
    <x v="3"/>
    <s v="Cardinal HOLDit! Binder Insert Strips,Extra Strips"/>
    <x v="4751"/>
    <n v="3"/>
    <n v="5.51"/>
    <x v="6"/>
    <x v="3"/>
  </r>
  <r>
    <n v="45496"/>
    <x v="463"/>
    <x v="3"/>
    <x v="0"/>
    <x v="0"/>
    <s v="Weyerhaeuser First Choice Laser/Copy Paper (20Lb. and 88 Bright)"/>
    <x v="309"/>
    <n v="9"/>
    <n v="27.99"/>
    <x v="6"/>
    <x v="3"/>
  </r>
  <r>
    <n v="45496"/>
    <x v="86"/>
    <x v="1"/>
    <x v="0"/>
    <x v="4"/>
    <s v="Hunt PowerHouse Electric Pencil Sharpener, Blue"/>
    <x v="4752"/>
    <n v="4"/>
    <n v="15.19"/>
    <x v="6"/>
    <x v="3"/>
  </r>
  <r>
    <n v="45497"/>
    <x v="535"/>
    <x v="3"/>
    <x v="2"/>
    <x v="16"/>
    <s v="Hewlett Packard LaserJet 3310 Copier"/>
    <x v="4383"/>
    <n v="5"/>
    <n v="839.99"/>
    <x v="6"/>
    <x v="3"/>
  </r>
  <r>
    <n v="45498"/>
    <x v="745"/>
    <x v="19"/>
    <x v="0"/>
    <x v="1"/>
    <s v="Avery 498"/>
    <x v="992"/>
    <n v="7"/>
    <n v="9.51"/>
    <x v="6"/>
    <x v="3"/>
  </r>
  <r>
    <n v="45498"/>
    <x v="118"/>
    <x v="2"/>
    <x v="0"/>
    <x v="1"/>
    <s v="Avery 491"/>
    <x v="2223"/>
    <n v="1"/>
    <n v="1.07"/>
    <x v="6"/>
    <x v="3"/>
  </r>
  <r>
    <n v="45498"/>
    <x v="405"/>
    <x v="2"/>
    <x v="1"/>
    <x v="8"/>
    <s v="Eldon 200 Class Desk Accessories"/>
    <x v="2118"/>
    <n v="4"/>
    <n v="3.01"/>
    <x v="6"/>
    <x v="3"/>
  </r>
  <r>
    <n v="45498"/>
    <x v="405"/>
    <x v="2"/>
    <x v="0"/>
    <x v="14"/>
    <s v="Acme Galleria Hot Forged Steel Scissors with Colored Handles"/>
    <x v="4753"/>
    <n v="3"/>
    <n v="4.25"/>
    <x v="6"/>
    <x v="3"/>
  </r>
  <r>
    <n v="45498"/>
    <x v="405"/>
    <x v="2"/>
    <x v="1"/>
    <x v="13"/>
    <s v="Bush Cubix Conference Tables, Fully Assembled"/>
    <x v="4754"/>
    <n v="1"/>
    <n v="-34.65"/>
    <x v="6"/>
    <x v="3"/>
  </r>
  <r>
    <n v="45498"/>
    <x v="405"/>
    <x v="2"/>
    <x v="0"/>
    <x v="2"/>
    <s v="Fellowes Bankers Box Staxonsteel Drawer File/Stacking System"/>
    <x v="4755"/>
    <n v="5"/>
    <n v="-25.99"/>
    <x v="6"/>
    <x v="3"/>
  </r>
  <r>
    <n v="45498"/>
    <x v="405"/>
    <x v="2"/>
    <x v="0"/>
    <x v="0"/>
    <s v="Xerox 216"/>
    <x v="1315"/>
    <n v="4"/>
    <n v="7.26"/>
    <x v="6"/>
    <x v="3"/>
  </r>
  <r>
    <n v="45498"/>
    <x v="726"/>
    <x v="0"/>
    <x v="1"/>
    <x v="13"/>
    <s v="Safco Drafting Table"/>
    <x v="4756"/>
    <n v="6"/>
    <n v="-4.26"/>
    <x v="6"/>
    <x v="3"/>
  </r>
  <r>
    <n v="45499"/>
    <x v="434"/>
    <x v="3"/>
    <x v="2"/>
    <x v="9"/>
    <s v="LogitechÂ Z-906 Speaker sys - home theater - 5.1-CH"/>
    <x v="4065"/>
    <n v="5"/>
    <n v="659.98"/>
    <x v="6"/>
    <x v="3"/>
  </r>
  <r>
    <n v="45499"/>
    <x v="434"/>
    <x v="3"/>
    <x v="1"/>
    <x v="5"/>
    <s v="Global Airflow Leather Mesh Back Chair, Black"/>
    <x v="4757"/>
    <n v="3"/>
    <n v="45.29"/>
    <x v="6"/>
    <x v="3"/>
  </r>
  <r>
    <n v="45500"/>
    <x v="110"/>
    <x v="16"/>
    <x v="1"/>
    <x v="8"/>
    <s v="Eldon Delta Triangular Chair Mat, 52&quot; x 58&quot;, Clear"/>
    <x v="4758"/>
    <n v="3"/>
    <n v="-2.2799999999999998"/>
    <x v="6"/>
    <x v="3"/>
  </r>
  <r>
    <n v="45500"/>
    <x v="784"/>
    <x v="20"/>
    <x v="1"/>
    <x v="8"/>
    <s v="Tensor Computer Mounted Lamp"/>
    <x v="4759"/>
    <n v="1"/>
    <n v="4.0199999999999996"/>
    <x v="6"/>
    <x v="3"/>
  </r>
  <r>
    <n v="45500"/>
    <x v="784"/>
    <x v="20"/>
    <x v="2"/>
    <x v="6"/>
    <s v="Nortel Networks T7316 E Nt8 B27"/>
    <x v="4664"/>
    <n v="8"/>
    <n v="135.97999999999999"/>
    <x v="6"/>
    <x v="3"/>
  </r>
  <r>
    <n v="45500"/>
    <x v="380"/>
    <x v="22"/>
    <x v="1"/>
    <x v="8"/>
    <s v="Staple-based wall hangings"/>
    <x v="1403"/>
    <n v="3"/>
    <n v="10.51"/>
    <x v="6"/>
    <x v="3"/>
  </r>
  <r>
    <n v="45500"/>
    <x v="380"/>
    <x v="22"/>
    <x v="0"/>
    <x v="0"/>
    <s v="Message Book, Phone, Wirebound Standard Line Memo, 2 3/4&quot; X 5&quot;"/>
    <x v="922"/>
    <n v="4"/>
    <n v="12.05"/>
    <x v="6"/>
    <x v="3"/>
  </r>
  <r>
    <n v="45500"/>
    <x v="380"/>
    <x v="22"/>
    <x v="0"/>
    <x v="0"/>
    <s v="Xerox 227"/>
    <x v="115"/>
    <n v="2"/>
    <n v="6.22"/>
    <x v="6"/>
    <x v="3"/>
  </r>
  <r>
    <n v="45500"/>
    <x v="380"/>
    <x v="22"/>
    <x v="2"/>
    <x v="9"/>
    <s v="Sony Micro Vault Click 8 GB USB 2.0 Flash Drive"/>
    <x v="4760"/>
    <n v="5"/>
    <n v="32.89"/>
    <x v="6"/>
    <x v="3"/>
  </r>
  <r>
    <n v="45500"/>
    <x v="677"/>
    <x v="25"/>
    <x v="1"/>
    <x v="5"/>
    <s v="Global Value Mid-Back Manager's Chair, Gray"/>
    <x v="3770"/>
    <n v="4"/>
    <n v="12.18"/>
    <x v="6"/>
    <x v="3"/>
  </r>
  <r>
    <n v="45501"/>
    <x v="719"/>
    <x v="3"/>
    <x v="0"/>
    <x v="3"/>
    <s v="Zipper Ring Binder Pockets"/>
    <x v="1375"/>
    <n v="4"/>
    <n v="3.62"/>
    <x v="6"/>
    <x v="3"/>
  </r>
  <r>
    <n v="45501"/>
    <x v="719"/>
    <x v="3"/>
    <x v="0"/>
    <x v="2"/>
    <s v="Super Decoflex Portable Personal File"/>
    <x v="1746"/>
    <n v="1"/>
    <n v="4.1900000000000004"/>
    <x v="6"/>
    <x v="3"/>
  </r>
  <r>
    <n v="45501"/>
    <x v="719"/>
    <x v="3"/>
    <x v="2"/>
    <x v="6"/>
    <s v="Wilson Electronics DB Pro Signal Booster"/>
    <x v="4761"/>
    <n v="4"/>
    <n v="100.24"/>
    <x v="6"/>
    <x v="3"/>
  </r>
  <r>
    <n v="45502"/>
    <x v="643"/>
    <x v="25"/>
    <x v="0"/>
    <x v="12"/>
    <s v="Holmes HEPA Air Purifier"/>
    <x v="3298"/>
    <n v="2"/>
    <n v="6.53"/>
    <x v="6"/>
    <x v="3"/>
  </r>
  <r>
    <n v="45502"/>
    <x v="643"/>
    <x v="25"/>
    <x v="2"/>
    <x v="6"/>
    <s v="Samsung Replacement EH64AVFWE Premium Headset"/>
    <x v="3595"/>
    <n v="5"/>
    <n v="1.38"/>
    <x v="6"/>
    <x v="3"/>
  </r>
  <r>
    <n v="45502"/>
    <x v="643"/>
    <x v="25"/>
    <x v="0"/>
    <x v="4"/>
    <s v="Newell 322"/>
    <x v="621"/>
    <n v="3"/>
    <n v="0.38"/>
    <x v="6"/>
    <x v="3"/>
  </r>
  <r>
    <n v="45502"/>
    <x v="60"/>
    <x v="22"/>
    <x v="2"/>
    <x v="9"/>
    <s v="ImationÂ 8GB Mini TravelDrive USB 2.0Â Flash Drive"/>
    <x v="2975"/>
    <n v="3"/>
    <n v="11.77"/>
    <x v="6"/>
    <x v="3"/>
  </r>
  <r>
    <n v="45502"/>
    <x v="174"/>
    <x v="0"/>
    <x v="0"/>
    <x v="7"/>
    <s v="Assorted Color Push Pins"/>
    <x v="1510"/>
    <n v="2"/>
    <n v="0.47"/>
    <x v="6"/>
    <x v="3"/>
  </r>
  <r>
    <n v="45502"/>
    <x v="174"/>
    <x v="0"/>
    <x v="2"/>
    <x v="6"/>
    <s v="Cisco SPA301"/>
    <x v="4286"/>
    <n v="1"/>
    <n v="15.6"/>
    <x v="6"/>
    <x v="3"/>
  </r>
  <r>
    <n v="45502"/>
    <x v="95"/>
    <x v="20"/>
    <x v="0"/>
    <x v="4"/>
    <s v="Sanford Liquid Accent Highlighters"/>
    <x v="2973"/>
    <n v="9"/>
    <n v="22.24"/>
    <x v="6"/>
    <x v="3"/>
  </r>
  <r>
    <n v="45502"/>
    <x v="334"/>
    <x v="39"/>
    <x v="0"/>
    <x v="3"/>
    <s v="GBC Poly Designer Binding Covers"/>
    <x v="3849"/>
    <n v="2"/>
    <n v="16.41"/>
    <x v="6"/>
    <x v="3"/>
  </r>
  <r>
    <n v="45502"/>
    <x v="334"/>
    <x v="39"/>
    <x v="2"/>
    <x v="6"/>
    <s v="Nortel Meridian M3904 Professional Digital phone"/>
    <x v="4762"/>
    <n v="3"/>
    <n v="133.97"/>
    <x v="6"/>
    <x v="3"/>
  </r>
  <r>
    <n v="45502"/>
    <x v="334"/>
    <x v="39"/>
    <x v="0"/>
    <x v="12"/>
    <s v="Holmes Replacement Filter for HEPA Air Cleaner, Very Large Room, HEPA Filter"/>
    <x v="2318"/>
    <n v="2"/>
    <n v="60.55"/>
    <x v="6"/>
    <x v="3"/>
  </r>
  <r>
    <n v="45502"/>
    <x v="334"/>
    <x v="39"/>
    <x v="1"/>
    <x v="5"/>
    <s v="Office Star Flex Back Scooter Chair with Aluminum Finish Frame"/>
    <x v="4234"/>
    <n v="3"/>
    <n v="72.64"/>
    <x v="6"/>
    <x v="3"/>
  </r>
  <r>
    <n v="45502"/>
    <x v="339"/>
    <x v="22"/>
    <x v="1"/>
    <x v="11"/>
    <s v="Bush Westfield Collection Bookcases, Medium Cherry Finish"/>
    <x v="4576"/>
    <n v="2"/>
    <n v="25.51"/>
    <x v="6"/>
    <x v="3"/>
  </r>
  <r>
    <n v="45503"/>
    <x v="154"/>
    <x v="3"/>
    <x v="0"/>
    <x v="2"/>
    <s v="Economy Rollaway Files"/>
    <x v="233"/>
    <n v="2"/>
    <n v="85.9"/>
    <x v="6"/>
    <x v="3"/>
  </r>
  <r>
    <n v="45503"/>
    <x v="154"/>
    <x v="3"/>
    <x v="0"/>
    <x v="1"/>
    <s v="Avery 480"/>
    <x v="4763"/>
    <n v="7"/>
    <n v="12.6"/>
    <x v="6"/>
    <x v="3"/>
  </r>
  <r>
    <n v="45503"/>
    <x v="529"/>
    <x v="10"/>
    <x v="0"/>
    <x v="3"/>
    <s v="GBC ProClick Punch Binding System"/>
    <x v="813"/>
    <n v="4"/>
    <n v="-53.74"/>
    <x v="6"/>
    <x v="3"/>
  </r>
  <r>
    <n v="45503"/>
    <x v="705"/>
    <x v="36"/>
    <x v="2"/>
    <x v="6"/>
    <s v="invisibleSHIELD by ZAGG Smudge-Free Screen Protector"/>
    <x v="3485"/>
    <n v="5"/>
    <n v="43.18"/>
    <x v="6"/>
    <x v="3"/>
  </r>
  <r>
    <n v="45504"/>
    <x v="400"/>
    <x v="2"/>
    <x v="0"/>
    <x v="0"/>
    <s v="Xerox 1991"/>
    <x v="1858"/>
    <n v="3"/>
    <n v="17.82"/>
    <x v="6"/>
    <x v="3"/>
  </r>
  <r>
    <n v="45504"/>
    <x v="469"/>
    <x v="16"/>
    <x v="2"/>
    <x v="9"/>
    <s v="TRENDnet 56K USB 2.0 Phone, Internet and Fax Modem"/>
    <x v="1891"/>
    <n v="2"/>
    <n v="8.2799999999999994"/>
    <x v="6"/>
    <x v="3"/>
  </r>
  <r>
    <n v="45504"/>
    <x v="682"/>
    <x v="1"/>
    <x v="2"/>
    <x v="6"/>
    <s v="Motorola L804"/>
    <x v="3184"/>
    <n v="1"/>
    <n v="4.1399999999999997"/>
    <x v="6"/>
    <x v="3"/>
  </r>
  <r>
    <n v="45504"/>
    <x v="574"/>
    <x v="3"/>
    <x v="0"/>
    <x v="2"/>
    <s v="Eldon Portable Mobile Manager"/>
    <x v="4764"/>
    <n v="2"/>
    <n v="15.27"/>
    <x v="6"/>
    <x v="3"/>
  </r>
  <r>
    <n v="45504"/>
    <x v="574"/>
    <x v="3"/>
    <x v="1"/>
    <x v="8"/>
    <s v="Master Big Foot Doorstop, Beige"/>
    <x v="2801"/>
    <n v="7"/>
    <n v="11.46"/>
    <x v="6"/>
    <x v="3"/>
  </r>
  <r>
    <n v="45504"/>
    <x v="465"/>
    <x v="21"/>
    <x v="0"/>
    <x v="3"/>
    <s v="Acco 3-Hole Punch"/>
    <x v="1765"/>
    <n v="4"/>
    <n v="8.41"/>
    <x v="6"/>
    <x v="3"/>
  </r>
  <r>
    <n v="45504"/>
    <x v="465"/>
    <x v="21"/>
    <x v="0"/>
    <x v="12"/>
    <s v="3M Office Air Cleaner"/>
    <x v="2207"/>
    <n v="6"/>
    <n v="54.56"/>
    <x v="6"/>
    <x v="3"/>
  </r>
  <r>
    <n v="45504"/>
    <x v="193"/>
    <x v="2"/>
    <x v="2"/>
    <x v="6"/>
    <s v="Polycom SoundPoint Pro SE-225 Corded phone"/>
    <x v="4765"/>
    <n v="4"/>
    <n v="-57.12"/>
    <x v="6"/>
    <x v="3"/>
  </r>
  <r>
    <n v="45504"/>
    <x v="162"/>
    <x v="7"/>
    <x v="0"/>
    <x v="0"/>
    <s v="Avery Personal Creations Heavyweight Cards"/>
    <x v="4458"/>
    <n v="1"/>
    <n v="5.54"/>
    <x v="6"/>
    <x v="3"/>
  </r>
  <r>
    <n v="45504"/>
    <x v="162"/>
    <x v="7"/>
    <x v="0"/>
    <x v="3"/>
    <s v="Fellowes PB200 Plastic Comb Binding Machine"/>
    <x v="4766"/>
    <n v="5"/>
    <n v="390.98"/>
    <x v="6"/>
    <x v="3"/>
  </r>
  <r>
    <n v="45504"/>
    <x v="162"/>
    <x v="7"/>
    <x v="0"/>
    <x v="3"/>
    <s v="Black Avery Memo-Size 3-Ring Binder, 5 1/2&quot; x 8 1/2&quot;"/>
    <x v="4767"/>
    <n v="3"/>
    <n v="5.39"/>
    <x v="6"/>
    <x v="3"/>
  </r>
  <r>
    <n v="45505"/>
    <x v="372"/>
    <x v="1"/>
    <x v="2"/>
    <x v="6"/>
    <s v="JBL Micro Wireless Portable Bluetooth Speaker"/>
    <x v="772"/>
    <n v="2"/>
    <n v="6"/>
    <x v="7"/>
    <x v="3"/>
  </r>
  <r>
    <n v="45505"/>
    <x v="420"/>
    <x v="25"/>
    <x v="2"/>
    <x v="6"/>
    <s v="Nortel Networks T7316 E Nt8 B27"/>
    <x v="4093"/>
    <n v="5"/>
    <n v="17"/>
    <x v="7"/>
    <x v="3"/>
  </r>
  <r>
    <n v="45505"/>
    <x v="322"/>
    <x v="0"/>
    <x v="2"/>
    <x v="15"/>
    <s v="Bady BDG101FRU Card Printer"/>
    <x v="3504"/>
    <n v="3"/>
    <n v="-264"/>
    <x v="7"/>
    <x v="3"/>
  </r>
  <r>
    <n v="45505"/>
    <x v="322"/>
    <x v="0"/>
    <x v="0"/>
    <x v="0"/>
    <s v="Xerox 1998"/>
    <x v="1308"/>
    <n v="7"/>
    <n v="12.7"/>
    <x v="7"/>
    <x v="3"/>
  </r>
  <r>
    <n v="45505"/>
    <x v="252"/>
    <x v="3"/>
    <x v="0"/>
    <x v="3"/>
    <s v="GBC Prestige Therm-A-Bind Covers"/>
    <x v="3197"/>
    <n v="2"/>
    <n v="18.53"/>
    <x v="7"/>
    <x v="3"/>
  </r>
  <r>
    <n v="45505"/>
    <x v="699"/>
    <x v="3"/>
    <x v="0"/>
    <x v="2"/>
    <s v="Fellowes Mobile File Cart, Black"/>
    <x v="2626"/>
    <n v="3"/>
    <n v="50.37"/>
    <x v="7"/>
    <x v="3"/>
  </r>
  <r>
    <n v="45507"/>
    <x v="693"/>
    <x v="1"/>
    <x v="1"/>
    <x v="11"/>
    <s v="O'Sullivan Elevations Bookcase, Cherry Finish"/>
    <x v="1139"/>
    <n v="2"/>
    <n v="-36.67"/>
    <x v="7"/>
    <x v="3"/>
  </r>
  <r>
    <n v="45507"/>
    <x v="664"/>
    <x v="3"/>
    <x v="0"/>
    <x v="1"/>
    <s v="Avery 473"/>
    <x v="3460"/>
    <n v="5"/>
    <n v="24.84"/>
    <x v="7"/>
    <x v="3"/>
  </r>
  <r>
    <n v="45507"/>
    <x v="664"/>
    <x v="3"/>
    <x v="1"/>
    <x v="8"/>
    <s v="Deflect-o EconoMat Studded, No Bevel Mat for Low Pile Carpeting"/>
    <x v="1955"/>
    <n v="3"/>
    <n v="11.16"/>
    <x v="7"/>
    <x v="3"/>
  </r>
  <r>
    <n v="45507"/>
    <x v="208"/>
    <x v="3"/>
    <x v="0"/>
    <x v="2"/>
    <s v="Fellowes Bases and Tops For Staxonsteel/High-Stak Systems"/>
    <x v="3809"/>
    <n v="3"/>
    <n v="23.97"/>
    <x v="7"/>
    <x v="3"/>
  </r>
  <r>
    <n v="45507"/>
    <x v="579"/>
    <x v="1"/>
    <x v="2"/>
    <x v="9"/>
    <s v="Kensington K72356US Mouse-in-a-Box USB Desktop Mouse"/>
    <x v="4768"/>
    <n v="3"/>
    <n v="7.47"/>
    <x v="7"/>
    <x v="3"/>
  </r>
  <r>
    <n v="45507"/>
    <x v="759"/>
    <x v="22"/>
    <x v="0"/>
    <x v="2"/>
    <s v="Letter/Legal File Tote with Clear Snap-On Lid, Black Granite"/>
    <x v="4695"/>
    <n v="1"/>
    <n v="4.18"/>
    <x v="7"/>
    <x v="3"/>
  </r>
  <r>
    <n v="45507"/>
    <x v="764"/>
    <x v="10"/>
    <x v="0"/>
    <x v="1"/>
    <s v="Avery 476"/>
    <x v="356"/>
    <n v="5"/>
    <n v="5.37"/>
    <x v="7"/>
    <x v="3"/>
  </r>
  <r>
    <n v="45508"/>
    <x v="312"/>
    <x v="26"/>
    <x v="0"/>
    <x v="0"/>
    <s v="Hammermill CopyPlus Copy Paper (20Lb. and 84 Bright)"/>
    <x v="1140"/>
    <n v="2"/>
    <n v="2.89"/>
    <x v="7"/>
    <x v="3"/>
  </r>
  <r>
    <n v="45508"/>
    <x v="312"/>
    <x v="26"/>
    <x v="0"/>
    <x v="10"/>
    <s v="Manila Recycled Extra-Heavyweight Clasp Envelopes, 6&quot; x 9&quot;"/>
    <x v="2772"/>
    <n v="1"/>
    <n v="3.18"/>
    <x v="7"/>
    <x v="3"/>
  </r>
  <r>
    <n v="45508"/>
    <x v="312"/>
    <x v="0"/>
    <x v="0"/>
    <x v="3"/>
    <s v="Avery Durable Poly Binders"/>
    <x v="3568"/>
    <n v="3"/>
    <n v="-5.64"/>
    <x v="7"/>
    <x v="3"/>
  </r>
  <r>
    <n v="45509"/>
    <x v="203"/>
    <x v="5"/>
    <x v="0"/>
    <x v="0"/>
    <s v="Adams Phone Message Book, 200 Message Capacity, 8 1/16Â” x 11Â”"/>
    <x v="4040"/>
    <n v="2"/>
    <n v="6.33"/>
    <x v="7"/>
    <x v="3"/>
  </r>
  <r>
    <n v="45509"/>
    <x v="327"/>
    <x v="0"/>
    <x v="0"/>
    <x v="2"/>
    <s v="Tennsco Lockers, Sand"/>
    <x v="4769"/>
    <n v="9"/>
    <n v="7.55"/>
    <x v="7"/>
    <x v="3"/>
  </r>
  <r>
    <n v="45509"/>
    <x v="99"/>
    <x v="18"/>
    <x v="0"/>
    <x v="3"/>
    <s v="Premium Transparent Presentation Covers by GBC"/>
    <x v="4770"/>
    <n v="6"/>
    <n v="60.42"/>
    <x v="7"/>
    <x v="3"/>
  </r>
  <r>
    <n v="45509"/>
    <x v="99"/>
    <x v="18"/>
    <x v="2"/>
    <x v="9"/>
    <s v="LogitechÂ MX Performance Wireless Mouse"/>
    <x v="4771"/>
    <n v="2"/>
    <n v="29.52"/>
    <x v="7"/>
    <x v="3"/>
  </r>
  <r>
    <n v="45509"/>
    <x v="99"/>
    <x v="18"/>
    <x v="0"/>
    <x v="1"/>
    <s v="Avery 475"/>
    <x v="4772"/>
    <n v="9"/>
    <n v="66.599999999999994"/>
    <x v="7"/>
    <x v="3"/>
  </r>
  <r>
    <n v="45510"/>
    <x v="9"/>
    <x v="8"/>
    <x v="1"/>
    <x v="11"/>
    <s v="O'Sullivan 2-Shelf Heavy-Duty Bookcases"/>
    <x v="4773"/>
    <n v="3"/>
    <n v="23.32"/>
    <x v="7"/>
    <x v="3"/>
  </r>
  <r>
    <n v="45510"/>
    <x v="9"/>
    <x v="8"/>
    <x v="1"/>
    <x v="8"/>
    <s v="Longer-Life Soft White Bulbs"/>
    <x v="4774"/>
    <n v="5"/>
    <n v="7.39"/>
    <x v="7"/>
    <x v="3"/>
  </r>
  <r>
    <n v="45510"/>
    <x v="735"/>
    <x v="0"/>
    <x v="0"/>
    <x v="0"/>
    <s v="14-7/8 x 11 Blue Bar Computer Printout Paper"/>
    <x v="2656"/>
    <n v="3"/>
    <n v="40.35"/>
    <x v="7"/>
    <x v="3"/>
  </r>
  <r>
    <n v="45510"/>
    <x v="146"/>
    <x v="38"/>
    <x v="2"/>
    <x v="6"/>
    <s v="Ativa D5772 2-Line 5.8GHz Digital Expandable Corded/Cordless Phone System with Answering &amp; Caller ID/Call Waiting, Black/Silver"/>
    <x v="4775"/>
    <n v="5"/>
    <n v="247.49"/>
    <x v="7"/>
    <x v="3"/>
  </r>
  <r>
    <n v="45510"/>
    <x v="146"/>
    <x v="38"/>
    <x v="0"/>
    <x v="1"/>
    <s v="Avery 481"/>
    <x v="2359"/>
    <n v="8"/>
    <n v="11.83"/>
    <x v="7"/>
    <x v="3"/>
  </r>
  <r>
    <n v="45510"/>
    <x v="146"/>
    <x v="38"/>
    <x v="0"/>
    <x v="4"/>
    <s v="Hunt PowerHouse Electric Pencil Sharpener, Blue"/>
    <x v="4776"/>
    <n v="6"/>
    <n v="68.36"/>
    <x v="7"/>
    <x v="3"/>
  </r>
  <r>
    <n v="45510"/>
    <x v="489"/>
    <x v="20"/>
    <x v="0"/>
    <x v="14"/>
    <s v="Acme 10&quot; Easy Grip Assistive Scissors"/>
    <x v="2572"/>
    <n v="4"/>
    <n v="21.04"/>
    <x v="7"/>
    <x v="3"/>
  </r>
  <r>
    <n v="45511"/>
    <x v="667"/>
    <x v="25"/>
    <x v="2"/>
    <x v="9"/>
    <s v="Logitech G700s Rechargeable Gaming Mouse"/>
    <x v="2232"/>
    <n v="1"/>
    <n v="22"/>
    <x v="7"/>
    <x v="3"/>
  </r>
  <r>
    <n v="45511"/>
    <x v="677"/>
    <x v="20"/>
    <x v="0"/>
    <x v="4"/>
    <s v="Quartet Omega Colored Chalk, 12/Pack"/>
    <x v="2410"/>
    <n v="2"/>
    <n v="5.49"/>
    <x v="7"/>
    <x v="3"/>
  </r>
  <r>
    <n v="45511"/>
    <x v="677"/>
    <x v="20"/>
    <x v="0"/>
    <x v="4"/>
    <s v="Staples in misc. colors"/>
    <x v="4777"/>
    <n v="10"/>
    <n v="26.2"/>
    <x v="7"/>
    <x v="3"/>
  </r>
  <r>
    <n v="45511"/>
    <x v="144"/>
    <x v="3"/>
    <x v="2"/>
    <x v="6"/>
    <s v="GE DSL Phone Line Filter"/>
    <x v="4778"/>
    <n v="5"/>
    <n v="18"/>
    <x v="7"/>
    <x v="3"/>
  </r>
  <r>
    <n v="45511"/>
    <x v="144"/>
    <x v="3"/>
    <x v="0"/>
    <x v="3"/>
    <s v="Avery Printable Repositionable Plastic Tabs"/>
    <x v="4040"/>
    <n v="2"/>
    <n v="4.6399999999999997"/>
    <x v="7"/>
    <x v="3"/>
  </r>
  <r>
    <n v="45511"/>
    <x v="204"/>
    <x v="28"/>
    <x v="2"/>
    <x v="9"/>
    <s v="Memorex Micro Travel Drive 16 GB"/>
    <x v="2429"/>
    <n v="4"/>
    <n v="19.829999999999998"/>
    <x v="7"/>
    <x v="3"/>
  </r>
  <r>
    <n v="45511"/>
    <x v="550"/>
    <x v="3"/>
    <x v="0"/>
    <x v="0"/>
    <s v="Xerox 1891"/>
    <x v="2636"/>
    <n v="5"/>
    <n v="114.94"/>
    <x v="7"/>
    <x v="3"/>
  </r>
  <r>
    <n v="45511"/>
    <x v="74"/>
    <x v="0"/>
    <x v="2"/>
    <x v="9"/>
    <s v="Logitech K350 2.4Ghz Wireless Keyboard"/>
    <x v="4779"/>
    <n v="3"/>
    <n v="-13.44"/>
    <x v="7"/>
    <x v="3"/>
  </r>
  <r>
    <n v="45511"/>
    <x v="74"/>
    <x v="0"/>
    <x v="0"/>
    <x v="2"/>
    <s v="Safco Industrial Shelving"/>
    <x v="1601"/>
    <n v="2"/>
    <n v="-25.11"/>
    <x v="7"/>
    <x v="3"/>
  </r>
  <r>
    <n v="45511"/>
    <x v="506"/>
    <x v="3"/>
    <x v="2"/>
    <x v="6"/>
    <s v="Polycom VoiceStation 500 ConferenceÂ phone"/>
    <x v="4780"/>
    <n v="3"/>
    <n v="44.24"/>
    <x v="7"/>
    <x v="3"/>
  </r>
  <r>
    <n v="45511"/>
    <x v="506"/>
    <x v="3"/>
    <x v="0"/>
    <x v="3"/>
    <s v="Cardinal Holdit Business Card Pockets"/>
    <x v="1177"/>
    <n v="3"/>
    <n v="4.18"/>
    <x v="7"/>
    <x v="3"/>
  </r>
  <r>
    <n v="45511"/>
    <x v="506"/>
    <x v="3"/>
    <x v="0"/>
    <x v="3"/>
    <s v="Mead 1st Gear 2&quot; Zipper Binder, Asst. Colors"/>
    <x v="4781"/>
    <n v="3"/>
    <n v="11.67"/>
    <x v="7"/>
    <x v="3"/>
  </r>
  <r>
    <n v="45511"/>
    <x v="506"/>
    <x v="3"/>
    <x v="2"/>
    <x v="9"/>
    <s v="Sony Micro Vault Click 4 GB USB 2.0 Flash Drive"/>
    <x v="4782"/>
    <n v="4"/>
    <n v="7.81"/>
    <x v="7"/>
    <x v="3"/>
  </r>
  <r>
    <n v="45511"/>
    <x v="506"/>
    <x v="3"/>
    <x v="0"/>
    <x v="0"/>
    <s v="Xerox 1881"/>
    <x v="396"/>
    <n v="2"/>
    <n v="11.54"/>
    <x v="7"/>
    <x v="3"/>
  </r>
  <r>
    <n v="45511"/>
    <x v="506"/>
    <x v="3"/>
    <x v="1"/>
    <x v="8"/>
    <s v="Howard Miller 13-3/4&quot; Diameter Brushed Chrome Round Wall Clock"/>
    <x v="3460"/>
    <n v="1"/>
    <n v="15.53"/>
    <x v="7"/>
    <x v="3"/>
  </r>
  <r>
    <n v="45511"/>
    <x v="506"/>
    <x v="3"/>
    <x v="1"/>
    <x v="5"/>
    <s v="Global Enterprise Series Seating Low-Back Swivel/Tilt Chairs"/>
    <x v="4783"/>
    <n v="1"/>
    <n v="25.9"/>
    <x v="7"/>
    <x v="3"/>
  </r>
  <r>
    <n v="45511"/>
    <x v="506"/>
    <x v="3"/>
    <x v="0"/>
    <x v="12"/>
    <s v="3.6 Cubic Foot Counter Height Office Refrigerator"/>
    <x v="4784"/>
    <n v="5"/>
    <n v="412.47"/>
    <x v="7"/>
    <x v="3"/>
  </r>
  <r>
    <n v="45514"/>
    <x v="325"/>
    <x v="18"/>
    <x v="0"/>
    <x v="10"/>
    <s v="Staple envelope"/>
    <x v="3088"/>
    <n v="6"/>
    <n v="35.04"/>
    <x v="7"/>
    <x v="3"/>
  </r>
  <r>
    <n v="45514"/>
    <x v="325"/>
    <x v="18"/>
    <x v="1"/>
    <x v="8"/>
    <s v="Tenex Traditional Chairmats for Medium Pile Carpet, Standard Lip, 36&quot; x 48&quot;"/>
    <x v="4785"/>
    <n v="2"/>
    <n v="25.47"/>
    <x v="7"/>
    <x v="3"/>
  </r>
  <r>
    <n v="45514"/>
    <x v="325"/>
    <x v="18"/>
    <x v="2"/>
    <x v="6"/>
    <s v="Aastra 57i VoIP phone"/>
    <x v="4786"/>
    <n v="9"/>
    <n v="378.17"/>
    <x v="7"/>
    <x v="3"/>
  </r>
  <r>
    <n v="45514"/>
    <x v="571"/>
    <x v="18"/>
    <x v="0"/>
    <x v="0"/>
    <s v="Xerox 1906"/>
    <x v="639"/>
    <n v="5"/>
    <n v="83.28"/>
    <x v="7"/>
    <x v="3"/>
  </r>
  <r>
    <n v="45515"/>
    <x v="472"/>
    <x v="0"/>
    <x v="0"/>
    <x v="0"/>
    <s v="Wirebound Message Books, Four 2 3/4&quot; x 5&quot; Forms per Page, 600 Sets per Book"/>
    <x v="4787"/>
    <n v="4"/>
    <n v="10.01"/>
    <x v="7"/>
    <x v="3"/>
  </r>
  <r>
    <n v="45515"/>
    <x v="472"/>
    <x v="0"/>
    <x v="0"/>
    <x v="4"/>
    <s v="BIC Brite Liner Grip Highlighters"/>
    <x v="814"/>
    <n v="7"/>
    <n v="2.87"/>
    <x v="7"/>
    <x v="3"/>
  </r>
  <r>
    <n v="45515"/>
    <x v="472"/>
    <x v="0"/>
    <x v="2"/>
    <x v="6"/>
    <s v="Pyle PMP37LED"/>
    <x v="2186"/>
    <n v="2"/>
    <n v="13.44"/>
    <x v="7"/>
    <x v="3"/>
  </r>
  <r>
    <n v="45515"/>
    <x v="472"/>
    <x v="0"/>
    <x v="0"/>
    <x v="3"/>
    <s v="Fellowes Twister Kit, Gray/Clear, 3/pkg"/>
    <x v="4788"/>
    <n v="8"/>
    <n v="-22.51"/>
    <x v="7"/>
    <x v="3"/>
  </r>
  <r>
    <n v="45515"/>
    <x v="108"/>
    <x v="8"/>
    <x v="0"/>
    <x v="3"/>
    <s v="Satellite Sectional Post Binders"/>
    <x v="4789"/>
    <n v="11"/>
    <n v="219.65"/>
    <x v="7"/>
    <x v="3"/>
  </r>
  <r>
    <n v="45515"/>
    <x v="694"/>
    <x v="20"/>
    <x v="0"/>
    <x v="0"/>
    <s v="Xerox 226"/>
    <x v="499"/>
    <n v="4"/>
    <n v="12.44"/>
    <x v="7"/>
    <x v="3"/>
  </r>
  <r>
    <n v="45516"/>
    <x v="356"/>
    <x v="16"/>
    <x v="0"/>
    <x v="0"/>
    <s v="Xerox 2000"/>
    <x v="1315"/>
    <n v="4"/>
    <n v="7.26"/>
    <x v="7"/>
    <x v="3"/>
  </r>
  <r>
    <n v="45516"/>
    <x v="176"/>
    <x v="3"/>
    <x v="0"/>
    <x v="12"/>
    <s v="Avanti 4.4 Cu. Ft. Refrigerator"/>
    <x v="2277"/>
    <n v="3"/>
    <n v="152.02000000000001"/>
    <x v="7"/>
    <x v="3"/>
  </r>
  <r>
    <n v="45516"/>
    <x v="176"/>
    <x v="3"/>
    <x v="1"/>
    <x v="8"/>
    <s v="DAX Wood Document Frame"/>
    <x v="2846"/>
    <n v="4"/>
    <n v="19.77"/>
    <x v="7"/>
    <x v="3"/>
  </r>
  <r>
    <n v="45516"/>
    <x v="653"/>
    <x v="36"/>
    <x v="0"/>
    <x v="4"/>
    <s v="Newell 312"/>
    <x v="1765"/>
    <n v="3"/>
    <n v="5.26"/>
    <x v="7"/>
    <x v="3"/>
  </r>
  <r>
    <n v="45516"/>
    <x v="653"/>
    <x v="36"/>
    <x v="1"/>
    <x v="5"/>
    <s v="Hon 4700 Series Mobuis Mid-Back Task Chairs with Adjustable Arms"/>
    <x v="4790"/>
    <n v="5"/>
    <n v="373.78"/>
    <x v="7"/>
    <x v="3"/>
  </r>
  <r>
    <n v="45516"/>
    <x v="653"/>
    <x v="36"/>
    <x v="0"/>
    <x v="4"/>
    <s v="Boston 1645 Deluxe Heavier-Duty Electric Pencil Sharpener"/>
    <x v="4791"/>
    <n v="5"/>
    <n v="59.37"/>
    <x v="7"/>
    <x v="3"/>
  </r>
  <r>
    <n v="45516"/>
    <x v="613"/>
    <x v="22"/>
    <x v="2"/>
    <x v="16"/>
    <s v="Hewlett Packard 310 Color Digital Copier"/>
    <x v="4792"/>
    <n v="1"/>
    <n v="90"/>
    <x v="7"/>
    <x v="3"/>
  </r>
  <r>
    <n v="45516"/>
    <x v="613"/>
    <x v="22"/>
    <x v="0"/>
    <x v="0"/>
    <s v="Xerox 1937"/>
    <x v="3647"/>
    <n v="4"/>
    <n v="92.24"/>
    <x v="7"/>
    <x v="3"/>
  </r>
  <r>
    <n v="45516"/>
    <x v="613"/>
    <x v="22"/>
    <x v="2"/>
    <x v="6"/>
    <s v="Grandstream GXP1160 VoIP phone"/>
    <x v="4793"/>
    <n v="8"/>
    <n v="27.3"/>
    <x v="7"/>
    <x v="3"/>
  </r>
  <r>
    <n v="45516"/>
    <x v="613"/>
    <x v="22"/>
    <x v="0"/>
    <x v="2"/>
    <s v="Personal File Boxes with Fold-Down Carry Handle"/>
    <x v="1759"/>
    <n v="3"/>
    <n v="11.69"/>
    <x v="7"/>
    <x v="3"/>
  </r>
  <r>
    <n v="45516"/>
    <x v="613"/>
    <x v="22"/>
    <x v="2"/>
    <x v="9"/>
    <s v="Perixx PERIBOARD-512B, Ergonomic Split Keyboard"/>
    <x v="383"/>
    <n v="5"/>
    <n v="12.25"/>
    <x v="7"/>
    <x v="3"/>
  </r>
  <r>
    <n v="45516"/>
    <x v="613"/>
    <x v="22"/>
    <x v="0"/>
    <x v="3"/>
    <s v="Avery Legal 4-Ring Binder"/>
    <x v="1491"/>
    <n v="6"/>
    <n v="37.76"/>
    <x v="7"/>
    <x v="3"/>
  </r>
  <r>
    <n v="45517"/>
    <x v="144"/>
    <x v="3"/>
    <x v="0"/>
    <x v="2"/>
    <s v="Sterilite Officeware Hinged File Box"/>
    <x v="2316"/>
    <n v="3"/>
    <n v="8.49"/>
    <x v="7"/>
    <x v="3"/>
  </r>
  <r>
    <n v="45517"/>
    <x v="144"/>
    <x v="3"/>
    <x v="0"/>
    <x v="12"/>
    <s v="Staple holder"/>
    <x v="4794"/>
    <n v="7"/>
    <n v="22.62"/>
    <x v="7"/>
    <x v="3"/>
  </r>
  <r>
    <n v="45517"/>
    <x v="144"/>
    <x v="3"/>
    <x v="0"/>
    <x v="4"/>
    <s v="Newell 345"/>
    <x v="144"/>
    <n v="3"/>
    <n v="15.48"/>
    <x v="7"/>
    <x v="3"/>
  </r>
  <r>
    <n v="45517"/>
    <x v="144"/>
    <x v="3"/>
    <x v="0"/>
    <x v="14"/>
    <s v="Staple remover"/>
    <x v="1115"/>
    <n v="4"/>
    <n v="9.26"/>
    <x v="7"/>
    <x v="3"/>
  </r>
  <r>
    <n v="45517"/>
    <x v="435"/>
    <x v="2"/>
    <x v="0"/>
    <x v="1"/>
    <s v="Avery 486"/>
    <x v="734"/>
    <n v="3"/>
    <n v="5.92"/>
    <x v="7"/>
    <x v="3"/>
  </r>
  <r>
    <n v="45517"/>
    <x v="521"/>
    <x v="3"/>
    <x v="0"/>
    <x v="3"/>
    <s v="GBC Prepunched Paper, 19-Hole, for Binding Systems, 24-lb"/>
    <x v="4795"/>
    <n v="3"/>
    <n v="11.71"/>
    <x v="7"/>
    <x v="3"/>
  </r>
  <r>
    <n v="45517"/>
    <x v="284"/>
    <x v="15"/>
    <x v="0"/>
    <x v="12"/>
    <s v="Belkin Premiere Surge Master II 8-outlet surge protector"/>
    <x v="4796"/>
    <n v="7"/>
    <n v="30.61"/>
    <x v="7"/>
    <x v="3"/>
  </r>
  <r>
    <n v="45517"/>
    <x v="284"/>
    <x v="15"/>
    <x v="0"/>
    <x v="3"/>
    <s v="GBC DocuBind TL300 Electric Binding System"/>
    <x v="4797"/>
    <n v="6"/>
    <n v="-1237.8499999999999"/>
    <x v="7"/>
    <x v="3"/>
  </r>
  <r>
    <n v="45517"/>
    <x v="284"/>
    <x v="15"/>
    <x v="0"/>
    <x v="7"/>
    <s v="Staples"/>
    <x v="2385"/>
    <n v="5"/>
    <n v="9.1199999999999992"/>
    <x v="7"/>
    <x v="3"/>
  </r>
  <r>
    <n v="45517"/>
    <x v="284"/>
    <x v="15"/>
    <x v="2"/>
    <x v="9"/>
    <s v="Maxell 4.7GB DVD-R 5/Pack"/>
    <x v="4798"/>
    <n v="2"/>
    <n v="0.48"/>
    <x v="7"/>
    <x v="3"/>
  </r>
  <r>
    <n v="45517"/>
    <x v="284"/>
    <x v="15"/>
    <x v="1"/>
    <x v="8"/>
    <s v="Eldon Radial Chair Mat for Low to Medium Pile Carpets"/>
    <x v="665"/>
    <n v="1"/>
    <n v="0"/>
    <x v="7"/>
    <x v="3"/>
  </r>
  <r>
    <n v="45517"/>
    <x v="284"/>
    <x v="15"/>
    <x v="0"/>
    <x v="10"/>
    <s v="Colored Envelopes"/>
    <x v="1195"/>
    <n v="5"/>
    <n v="4.8"/>
    <x v="7"/>
    <x v="3"/>
  </r>
  <r>
    <n v="45517"/>
    <x v="284"/>
    <x v="15"/>
    <x v="1"/>
    <x v="5"/>
    <s v="Hon Olson Stacker Chairs"/>
    <x v="4799"/>
    <n v="2"/>
    <n v="47.66"/>
    <x v="7"/>
    <x v="3"/>
  </r>
  <r>
    <n v="45518"/>
    <x v="377"/>
    <x v="3"/>
    <x v="0"/>
    <x v="1"/>
    <s v="Avery File Folder Labels"/>
    <x v="1235"/>
    <n v="2"/>
    <n v="2.82"/>
    <x v="7"/>
    <x v="3"/>
  </r>
  <r>
    <n v="45518"/>
    <x v="377"/>
    <x v="3"/>
    <x v="0"/>
    <x v="4"/>
    <s v="Newell 318"/>
    <x v="65"/>
    <n v="6"/>
    <n v="4.34"/>
    <x v="7"/>
    <x v="3"/>
  </r>
  <r>
    <n v="45518"/>
    <x v="744"/>
    <x v="3"/>
    <x v="1"/>
    <x v="13"/>
    <s v="Chromcraft Round Conference Tables"/>
    <x v="4800"/>
    <n v="3"/>
    <n v="5.23"/>
    <x v="7"/>
    <x v="3"/>
  </r>
  <r>
    <n v="45519"/>
    <x v="229"/>
    <x v="23"/>
    <x v="0"/>
    <x v="12"/>
    <s v="Fellowes Premier Superior Surge Suppressor, 10-Outlet, With Phone and Remote"/>
    <x v="4801"/>
    <n v="2"/>
    <n v="25.44"/>
    <x v="7"/>
    <x v="3"/>
  </r>
  <r>
    <n v="45519"/>
    <x v="729"/>
    <x v="2"/>
    <x v="0"/>
    <x v="2"/>
    <s v="Tennsco Single-Tier Lockers"/>
    <x v="1057"/>
    <n v="6"/>
    <n v="-337.81"/>
    <x v="7"/>
    <x v="3"/>
  </r>
  <r>
    <n v="45519"/>
    <x v="731"/>
    <x v="28"/>
    <x v="0"/>
    <x v="1"/>
    <s v="Avery 495"/>
    <x v="4802"/>
    <n v="8"/>
    <n v="23.18"/>
    <x v="7"/>
    <x v="3"/>
  </r>
  <r>
    <n v="45520"/>
    <x v="605"/>
    <x v="15"/>
    <x v="0"/>
    <x v="3"/>
    <s v="Recycled Easel Ring Binders"/>
    <x v="4803"/>
    <n v="3"/>
    <n v="-11.19"/>
    <x v="7"/>
    <x v="3"/>
  </r>
  <r>
    <n v="45520"/>
    <x v="605"/>
    <x v="15"/>
    <x v="0"/>
    <x v="2"/>
    <s v="Acco Perma 3000 Stacking Storage Drawers"/>
    <x v="3659"/>
    <n v="4"/>
    <n v="-0.84"/>
    <x v="7"/>
    <x v="3"/>
  </r>
  <r>
    <n v="45521"/>
    <x v="150"/>
    <x v="20"/>
    <x v="0"/>
    <x v="3"/>
    <s v="GBC DocuBind TL200 Manual Binding Machine"/>
    <x v="4325"/>
    <n v="5"/>
    <n v="302.37"/>
    <x v="7"/>
    <x v="3"/>
  </r>
  <r>
    <n v="45521"/>
    <x v="150"/>
    <x v="20"/>
    <x v="1"/>
    <x v="5"/>
    <s v="Global Commerce Series Low-Back Swivel/Tilt Chairs"/>
    <x v="4804"/>
    <n v="2"/>
    <n v="97.65"/>
    <x v="7"/>
    <x v="3"/>
  </r>
  <r>
    <n v="45521"/>
    <x v="303"/>
    <x v="5"/>
    <x v="0"/>
    <x v="3"/>
    <s v="GBC Prestige Therm-A-Bind Covers"/>
    <x v="4658"/>
    <n v="3"/>
    <n v="48.38"/>
    <x v="7"/>
    <x v="3"/>
  </r>
  <r>
    <n v="45521"/>
    <x v="303"/>
    <x v="5"/>
    <x v="2"/>
    <x v="9"/>
    <s v="Logitech Desktop MK120 Mouse and keyboard Combo"/>
    <x v="3832"/>
    <n v="6"/>
    <n v="9.82"/>
    <x v="7"/>
    <x v="3"/>
  </r>
  <r>
    <n v="45521"/>
    <x v="341"/>
    <x v="0"/>
    <x v="0"/>
    <x v="14"/>
    <s v="Acco Side-Punched Conventional Columnar Pads"/>
    <x v="796"/>
    <n v="2"/>
    <n v="-1.04"/>
    <x v="7"/>
    <x v="3"/>
  </r>
  <r>
    <n v="45521"/>
    <x v="341"/>
    <x v="0"/>
    <x v="0"/>
    <x v="4"/>
    <s v="Avery Fluorescent Highlighter Four-Color Set"/>
    <x v="202"/>
    <n v="3"/>
    <n v="1"/>
    <x v="7"/>
    <x v="3"/>
  </r>
  <r>
    <n v="45521"/>
    <x v="341"/>
    <x v="0"/>
    <x v="1"/>
    <x v="5"/>
    <s v="SAFCO Optional Arm Kit for Workspace Cribbage Stacking Chair"/>
    <x v="4805"/>
    <n v="4"/>
    <n v="-2.13"/>
    <x v="7"/>
    <x v="3"/>
  </r>
  <r>
    <n v="45521"/>
    <x v="341"/>
    <x v="0"/>
    <x v="1"/>
    <x v="8"/>
    <s v="36X48 HARDFLOOR CHAIRMAT"/>
    <x v="723"/>
    <n v="2"/>
    <n v="-22.24"/>
    <x v="7"/>
    <x v="3"/>
  </r>
  <r>
    <n v="45521"/>
    <x v="341"/>
    <x v="0"/>
    <x v="0"/>
    <x v="12"/>
    <s v="Belkin Premiere Surge Master II 8-outlet surge protector"/>
    <x v="4806"/>
    <n v="4"/>
    <n v="-99.1"/>
    <x v="7"/>
    <x v="3"/>
  </r>
  <r>
    <n v="45521"/>
    <x v="717"/>
    <x v="2"/>
    <x v="1"/>
    <x v="5"/>
    <s v="HON 5400 Series Task Chairs for Big and Tall"/>
    <x v="4807"/>
    <n v="9"/>
    <n v="-630.88"/>
    <x v="7"/>
    <x v="3"/>
  </r>
  <r>
    <n v="45521"/>
    <x v="602"/>
    <x v="3"/>
    <x v="0"/>
    <x v="10"/>
    <s v="Staple envelope"/>
    <x v="3001"/>
    <n v="2"/>
    <n v="11.68"/>
    <x v="7"/>
    <x v="3"/>
  </r>
  <r>
    <n v="45521"/>
    <x v="602"/>
    <x v="3"/>
    <x v="2"/>
    <x v="6"/>
    <s v="OtterBox Defender Series Case - Samsung Galaxy S4"/>
    <x v="1553"/>
    <n v="3"/>
    <n v="9"/>
    <x v="7"/>
    <x v="3"/>
  </r>
  <r>
    <n v="45521"/>
    <x v="602"/>
    <x v="3"/>
    <x v="0"/>
    <x v="0"/>
    <s v="Xerox 1962"/>
    <x v="507"/>
    <n v="2"/>
    <n v="3.85"/>
    <x v="7"/>
    <x v="3"/>
  </r>
  <r>
    <n v="45521"/>
    <x v="602"/>
    <x v="3"/>
    <x v="0"/>
    <x v="3"/>
    <s v="Wilson Jones Clip &amp; Carry Folder Binder Tool for Ring Binders, Clear"/>
    <x v="605"/>
    <n v="3"/>
    <n v="4.87"/>
    <x v="7"/>
    <x v="3"/>
  </r>
  <r>
    <n v="45521"/>
    <x v="602"/>
    <x v="3"/>
    <x v="0"/>
    <x v="12"/>
    <s v="Sanyo 2.5 Cubic Foot Mid-Size Office Refrigerators"/>
    <x v="4808"/>
    <n v="9"/>
    <n v="654.76"/>
    <x v="7"/>
    <x v="3"/>
  </r>
  <r>
    <n v="45521"/>
    <x v="602"/>
    <x v="3"/>
    <x v="0"/>
    <x v="2"/>
    <s v="Standard Rollaway File with Lock"/>
    <x v="2012"/>
    <n v="3"/>
    <n v="140.55000000000001"/>
    <x v="7"/>
    <x v="3"/>
  </r>
  <r>
    <n v="45521"/>
    <x v="602"/>
    <x v="3"/>
    <x v="0"/>
    <x v="3"/>
    <s v="GBC Recycled Grain Textured Covers"/>
    <x v="2160"/>
    <n v="8"/>
    <n v="77.37"/>
    <x v="7"/>
    <x v="3"/>
  </r>
  <r>
    <n v="45522"/>
    <x v="537"/>
    <x v="20"/>
    <x v="1"/>
    <x v="8"/>
    <s v="DAX Metal Frame, Desktop, Stepped-Edge"/>
    <x v="237"/>
    <n v="2"/>
    <n v="15.79"/>
    <x v="7"/>
    <x v="3"/>
  </r>
  <r>
    <n v="45522"/>
    <x v="537"/>
    <x v="20"/>
    <x v="1"/>
    <x v="8"/>
    <s v="DAX Value U-Channel Document Frames, Easel Back"/>
    <x v="20"/>
    <n v="2"/>
    <n v="3.08"/>
    <x v="7"/>
    <x v="3"/>
  </r>
  <r>
    <n v="45522"/>
    <x v="537"/>
    <x v="20"/>
    <x v="0"/>
    <x v="3"/>
    <s v="Recycled Easel Ring Binders"/>
    <x v="4809"/>
    <n v="9"/>
    <n v="33.57"/>
    <x v="7"/>
    <x v="3"/>
  </r>
  <r>
    <n v="45522"/>
    <x v="537"/>
    <x v="20"/>
    <x v="2"/>
    <x v="6"/>
    <s v="Grandstream GXP1160 VoIP phone"/>
    <x v="4810"/>
    <n v="1"/>
    <n v="10.99"/>
    <x v="7"/>
    <x v="3"/>
  </r>
  <r>
    <n v="45522"/>
    <x v="537"/>
    <x v="20"/>
    <x v="1"/>
    <x v="8"/>
    <s v="Seth Thomas 14&quot; Putty-Colored Wall Clock"/>
    <x v="4811"/>
    <n v="3"/>
    <n v="27.29"/>
    <x v="7"/>
    <x v="3"/>
  </r>
  <r>
    <n v="45522"/>
    <x v="277"/>
    <x v="0"/>
    <x v="0"/>
    <x v="2"/>
    <s v="Safco Steel Mobile File Cart"/>
    <x v="4812"/>
    <n v="3"/>
    <n v="12.5"/>
    <x v="7"/>
    <x v="3"/>
  </r>
  <r>
    <n v="45522"/>
    <x v="277"/>
    <x v="0"/>
    <x v="0"/>
    <x v="3"/>
    <s v="Acco D-Ring Binder w/DublLock"/>
    <x v="201"/>
    <n v="5"/>
    <n v="-33.14"/>
    <x v="7"/>
    <x v="3"/>
  </r>
  <r>
    <n v="45522"/>
    <x v="277"/>
    <x v="0"/>
    <x v="0"/>
    <x v="3"/>
    <s v="Ibico Plastic and Wire Spiral Binding Combs"/>
    <x v="4813"/>
    <n v="4"/>
    <n v="-11.46"/>
    <x v="7"/>
    <x v="3"/>
  </r>
  <r>
    <n v="45522"/>
    <x v="155"/>
    <x v="22"/>
    <x v="0"/>
    <x v="2"/>
    <s v="Fellowes Super Stor/Drawer Files"/>
    <x v="2024"/>
    <n v="2"/>
    <n v="61.39"/>
    <x v="7"/>
    <x v="3"/>
  </r>
  <r>
    <n v="45522"/>
    <x v="698"/>
    <x v="22"/>
    <x v="2"/>
    <x v="9"/>
    <s v="Plantronics Savi W720 Multi-Device Wireless Headset System"/>
    <x v="2916"/>
    <n v="2"/>
    <n v="371.32"/>
    <x v="7"/>
    <x v="3"/>
  </r>
  <r>
    <n v="45522"/>
    <x v="698"/>
    <x v="22"/>
    <x v="2"/>
    <x v="9"/>
    <s v="Imation Bio 8GB USBÂ Flash Drive ImationÂ Corp"/>
    <x v="4814"/>
    <n v="9"/>
    <n v="224.42"/>
    <x v="7"/>
    <x v="3"/>
  </r>
  <r>
    <n v="45522"/>
    <x v="598"/>
    <x v="22"/>
    <x v="0"/>
    <x v="3"/>
    <s v="Fellowes PB300 Plastic Comb Binding Machine"/>
    <x v="4815"/>
    <n v="9"/>
    <n v="942.82"/>
    <x v="7"/>
    <x v="3"/>
  </r>
  <r>
    <n v="45522"/>
    <x v="598"/>
    <x v="22"/>
    <x v="0"/>
    <x v="2"/>
    <s v="Letter Size Cart"/>
    <x v="4816"/>
    <n v="7"/>
    <n v="290.01"/>
    <x v="7"/>
    <x v="3"/>
  </r>
  <r>
    <n v="45522"/>
    <x v="598"/>
    <x v="22"/>
    <x v="1"/>
    <x v="8"/>
    <s v="Contract Clock, 14&quot;, Brown"/>
    <x v="3619"/>
    <n v="3"/>
    <n v="22.42"/>
    <x v="7"/>
    <x v="3"/>
  </r>
  <r>
    <n v="45522"/>
    <x v="137"/>
    <x v="10"/>
    <x v="0"/>
    <x v="4"/>
    <s v="Newell 325"/>
    <x v="235"/>
    <n v="3"/>
    <n v="1.24"/>
    <x v="7"/>
    <x v="3"/>
  </r>
  <r>
    <n v="45522"/>
    <x v="74"/>
    <x v="10"/>
    <x v="0"/>
    <x v="3"/>
    <s v="GBC Personal VeloBind Strips"/>
    <x v="1142"/>
    <n v="3"/>
    <n v="-7.91"/>
    <x v="7"/>
    <x v="3"/>
  </r>
  <r>
    <n v="45522"/>
    <x v="773"/>
    <x v="32"/>
    <x v="2"/>
    <x v="9"/>
    <s v="Verbatim 25 GB 6x Blu-ray Single Layer Recordable Disc, 10/Pack"/>
    <x v="4817"/>
    <n v="2"/>
    <n v="7.65"/>
    <x v="7"/>
    <x v="3"/>
  </r>
  <r>
    <n v="45523"/>
    <x v="403"/>
    <x v="32"/>
    <x v="0"/>
    <x v="3"/>
    <s v="Fellowes PB300 Plastic Comb Binding Machine"/>
    <x v="4818"/>
    <n v="1"/>
    <n v="182.36"/>
    <x v="7"/>
    <x v="3"/>
  </r>
  <r>
    <n v="45523"/>
    <x v="256"/>
    <x v="1"/>
    <x v="0"/>
    <x v="3"/>
    <s v="Binder Posts"/>
    <x v="2256"/>
    <n v="2"/>
    <n v="-3.9"/>
    <x v="7"/>
    <x v="3"/>
  </r>
  <r>
    <n v="45523"/>
    <x v="712"/>
    <x v="32"/>
    <x v="0"/>
    <x v="0"/>
    <s v="Xerox 200"/>
    <x v="5"/>
    <n v="3"/>
    <n v="9.33"/>
    <x v="7"/>
    <x v="3"/>
  </r>
  <r>
    <n v="45523"/>
    <x v="445"/>
    <x v="27"/>
    <x v="0"/>
    <x v="3"/>
    <s v="Wilson Jones Elliptical Ring 3 1/2&quot; Capacity Binders, 800 sheets"/>
    <x v="4819"/>
    <n v="3"/>
    <n v="37.24"/>
    <x v="7"/>
    <x v="3"/>
  </r>
  <r>
    <n v="45524"/>
    <x v="344"/>
    <x v="3"/>
    <x v="0"/>
    <x v="3"/>
    <s v="GBC Recycled Regency Composition Covers"/>
    <x v="4820"/>
    <n v="5"/>
    <n v="77.709999999999994"/>
    <x v="7"/>
    <x v="3"/>
  </r>
  <r>
    <n v="45524"/>
    <x v="654"/>
    <x v="32"/>
    <x v="0"/>
    <x v="2"/>
    <s v="Neat Ideas Personal Hanging Folder Files, Black"/>
    <x v="4821"/>
    <n v="3"/>
    <n v="10.48"/>
    <x v="7"/>
    <x v="3"/>
  </r>
  <r>
    <n v="45524"/>
    <x v="382"/>
    <x v="3"/>
    <x v="0"/>
    <x v="14"/>
    <s v="Acme Kleencut Forged Steel Scissors"/>
    <x v="2632"/>
    <n v="3"/>
    <n v="5.17"/>
    <x v="7"/>
    <x v="3"/>
  </r>
  <r>
    <n v="45524"/>
    <x v="382"/>
    <x v="3"/>
    <x v="0"/>
    <x v="2"/>
    <s v="Companion Letter/Legal File, Black"/>
    <x v="3356"/>
    <n v="6"/>
    <n v="63.44"/>
    <x v="7"/>
    <x v="3"/>
  </r>
  <r>
    <n v="45524"/>
    <x v="382"/>
    <x v="3"/>
    <x v="2"/>
    <x v="6"/>
    <s v="Plantronics Encore H101 Dual EarpiecesÂ Headset"/>
    <x v="4822"/>
    <n v="3"/>
    <n v="10.79"/>
    <x v="7"/>
    <x v="3"/>
  </r>
  <r>
    <n v="45524"/>
    <x v="73"/>
    <x v="3"/>
    <x v="0"/>
    <x v="0"/>
    <s v="Xerox 203"/>
    <x v="499"/>
    <n v="4"/>
    <n v="12.44"/>
    <x v="7"/>
    <x v="3"/>
  </r>
  <r>
    <n v="45524"/>
    <x v="722"/>
    <x v="25"/>
    <x v="2"/>
    <x v="6"/>
    <s v="Plantronics Encore H101 Dual EarpiecesÂ Headset"/>
    <x v="2441"/>
    <n v="1"/>
    <n v="3.6"/>
    <x v="7"/>
    <x v="3"/>
  </r>
  <r>
    <n v="45525"/>
    <x v="40"/>
    <x v="29"/>
    <x v="1"/>
    <x v="5"/>
    <s v="Hon Multipurpose Stacking Arm Chairs"/>
    <x v="3009"/>
    <n v="4"/>
    <n v="225.26"/>
    <x v="7"/>
    <x v="3"/>
  </r>
  <r>
    <n v="45525"/>
    <x v="217"/>
    <x v="28"/>
    <x v="0"/>
    <x v="7"/>
    <s v="Advantus Plastic Paper Clips"/>
    <x v="555"/>
    <n v="7"/>
    <n v="16.8"/>
    <x v="7"/>
    <x v="3"/>
  </r>
  <r>
    <n v="45525"/>
    <x v="217"/>
    <x v="28"/>
    <x v="0"/>
    <x v="14"/>
    <s v="Acme Forged Steel Scissors with Black Enamel Handles"/>
    <x v="4823"/>
    <n v="4"/>
    <n v="10.8"/>
    <x v="7"/>
    <x v="3"/>
  </r>
  <r>
    <n v="45525"/>
    <x v="217"/>
    <x v="28"/>
    <x v="0"/>
    <x v="10"/>
    <s v="Security-Tint Envelopes"/>
    <x v="510"/>
    <n v="2"/>
    <n v="7.49"/>
    <x v="7"/>
    <x v="3"/>
  </r>
  <r>
    <n v="45525"/>
    <x v="378"/>
    <x v="3"/>
    <x v="0"/>
    <x v="4"/>
    <s v="Newell 336"/>
    <x v="2446"/>
    <n v="4"/>
    <n v="4.96"/>
    <x v="7"/>
    <x v="3"/>
  </r>
  <r>
    <n v="45525"/>
    <x v="378"/>
    <x v="3"/>
    <x v="2"/>
    <x v="6"/>
    <s v="Cisco 8x8 Inc. 6753i IP Business Phone System"/>
    <x v="4824"/>
    <n v="4"/>
    <n v="37.799999999999997"/>
    <x v="7"/>
    <x v="3"/>
  </r>
  <r>
    <n v="45525"/>
    <x v="378"/>
    <x v="3"/>
    <x v="1"/>
    <x v="8"/>
    <s v="Tenex Chairmats For Use with Hard Floors"/>
    <x v="1096"/>
    <n v="4"/>
    <n v="10.39"/>
    <x v="7"/>
    <x v="3"/>
  </r>
  <r>
    <n v="45525"/>
    <x v="378"/>
    <x v="3"/>
    <x v="1"/>
    <x v="13"/>
    <s v="Chromcraft Rectangular Conference Tables"/>
    <x v="3622"/>
    <n v="3"/>
    <n v="28.44"/>
    <x v="7"/>
    <x v="3"/>
  </r>
  <r>
    <n v="45525"/>
    <x v="378"/>
    <x v="3"/>
    <x v="0"/>
    <x v="3"/>
    <s v="Acco Flexible ACCOHIDE Square Ring Data Binder, Dark Blue, 11 1/2&quot; X 14&quot; 7/8&quot;"/>
    <x v="4825"/>
    <n v="9"/>
    <n v="42.46"/>
    <x v="7"/>
    <x v="3"/>
  </r>
  <r>
    <n v="45525"/>
    <x v="378"/>
    <x v="3"/>
    <x v="0"/>
    <x v="12"/>
    <s v="Fellowes Command Center 5-outlet power strip"/>
    <x v="4826"/>
    <n v="3"/>
    <n v="54.95"/>
    <x v="7"/>
    <x v="3"/>
  </r>
  <r>
    <n v="45525"/>
    <x v="378"/>
    <x v="3"/>
    <x v="0"/>
    <x v="1"/>
    <s v="Avery Address/Shipping Labels for Typewriters, 4&quot; x 2&quot;"/>
    <x v="3460"/>
    <n v="5"/>
    <n v="24.84"/>
    <x v="7"/>
    <x v="3"/>
  </r>
  <r>
    <n v="45525"/>
    <x v="128"/>
    <x v="36"/>
    <x v="0"/>
    <x v="0"/>
    <s v="Xerox 1888"/>
    <x v="4364"/>
    <n v="5"/>
    <n v="133.15"/>
    <x v="7"/>
    <x v="3"/>
  </r>
  <r>
    <n v="45525"/>
    <x v="128"/>
    <x v="36"/>
    <x v="1"/>
    <x v="8"/>
    <s v="DAX Executive Solid Wood Document Frame, Desktop or Hang, Mahogany, 5 x 7"/>
    <x v="111"/>
    <n v="2"/>
    <n v="8.5500000000000007"/>
    <x v="7"/>
    <x v="3"/>
  </r>
  <r>
    <n v="45525"/>
    <x v="128"/>
    <x v="36"/>
    <x v="1"/>
    <x v="8"/>
    <s v="Seth Thomas 12&quot; Clock w/ Goldtone Case"/>
    <x v="1093"/>
    <n v="4"/>
    <n v="31.25"/>
    <x v="7"/>
    <x v="3"/>
  </r>
  <r>
    <n v="45525"/>
    <x v="729"/>
    <x v="12"/>
    <x v="0"/>
    <x v="0"/>
    <s v="Xerox 1941"/>
    <x v="906"/>
    <n v="1"/>
    <n v="29.36"/>
    <x v="7"/>
    <x v="3"/>
  </r>
  <r>
    <n v="45525"/>
    <x v="507"/>
    <x v="22"/>
    <x v="1"/>
    <x v="5"/>
    <s v="Padded Folding Chairs, Black, 4/Carton"/>
    <x v="3151"/>
    <n v="6"/>
    <n v="38.869999999999997"/>
    <x v="7"/>
    <x v="3"/>
  </r>
  <r>
    <n v="45525"/>
    <x v="507"/>
    <x v="22"/>
    <x v="0"/>
    <x v="2"/>
    <s v="Fellowes Stor/Drawer Steel Plus Storage Drawers"/>
    <x v="25"/>
    <n v="6"/>
    <n v="34.35"/>
    <x v="7"/>
    <x v="3"/>
  </r>
  <r>
    <n v="45525"/>
    <x v="507"/>
    <x v="22"/>
    <x v="2"/>
    <x v="9"/>
    <s v="Kensington K72356US Mouse-in-a-Box USB Desktop Mouse"/>
    <x v="4827"/>
    <n v="2"/>
    <n v="11.61"/>
    <x v="7"/>
    <x v="3"/>
  </r>
  <r>
    <n v="45525"/>
    <x v="500"/>
    <x v="20"/>
    <x v="0"/>
    <x v="3"/>
    <s v="Avery Metallic Poly Binders"/>
    <x v="4828"/>
    <n v="7"/>
    <n v="11.23"/>
    <x v="7"/>
    <x v="3"/>
  </r>
  <r>
    <n v="45525"/>
    <x v="500"/>
    <x v="20"/>
    <x v="0"/>
    <x v="3"/>
    <s v="GBC DocuBind TL300 Electric Binding System"/>
    <x v="4829"/>
    <n v="6"/>
    <n v="1453.12"/>
    <x v="7"/>
    <x v="3"/>
  </r>
  <r>
    <n v="45525"/>
    <x v="774"/>
    <x v="26"/>
    <x v="0"/>
    <x v="2"/>
    <s v="Recycled Data-Pak for Archival Bound Computer Printouts, 12-1/2 x 12-1/2 x 16"/>
    <x v="1492"/>
    <n v="3"/>
    <n v="20.75"/>
    <x v="7"/>
    <x v="3"/>
  </r>
  <r>
    <n v="45525"/>
    <x v="774"/>
    <x v="26"/>
    <x v="1"/>
    <x v="8"/>
    <s v="DAX Charcoal/Nickel-Tone Document Frame, 5 x 7"/>
    <x v="3314"/>
    <n v="3"/>
    <n v="7.11"/>
    <x v="7"/>
    <x v="3"/>
  </r>
  <r>
    <n v="45525"/>
    <x v="774"/>
    <x v="26"/>
    <x v="0"/>
    <x v="0"/>
    <s v="Southworth 25% Cotton Antique Laid Paper &amp; Envelopes"/>
    <x v="4121"/>
    <n v="1"/>
    <n v="2.09"/>
    <x v="7"/>
    <x v="3"/>
  </r>
  <r>
    <n v="45526"/>
    <x v="784"/>
    <x v="3"/>
    <x v="1"/>
    <x v="13"/>
    <s v="Hon Racetrack Conference Tables"/>
    <x v="4830"/>
    <n v="1"/>
    <n v="2.63"/>
    <x v="7"/>
    <x v="3"/>
  </r>
  <r>
    <n v="45526"/>
    <x v="222"/>
    <x v="2"/>
    <x v="1"/>
    <x v="13"/>
    <s v="Bevis Boat-Shaped Conference Table"/>
    <x v="4831"/>
    <n v="2"/>
    <n v="-83.88"/>
    <x v="7"/>
    <x v="3"/>
  </r>
  <r>
    <n v="45527"/>
    <x v="487"/>
    <x v="16"/>
    <x v="2"/>
    <x v="6"/>
    <s v="Samsung Galaxy Mega 6.3"/>
    <x v="4832"/>
    <n v="13"/>
    <n v="327.58999999999997"/>
    <x v="7"/>
    <x v="3"/>
  </r>
  <r>
    <n v="45527"/>
    <x v="487"/>
    <x v="16"/>
    <x v="0"/>
    <x v="0"/>
    <s v="IBM Multi-Purpose Copy Paper, 8 1/2 x 11&quot;, Case"/>
    <x v="827"/>
    <n v="2"/>
    <n v="15.49"/>
    <x v="7"/>
    <x v="3"/>
  </r>
  <r>
    <n v="45527"/>
    <x v="487"/>
    <x v="16"/>
    <x v="0"/>
    <x v="12"/>
    <s v="Fellowes 8 Outlet Superior Workstation Surge Protector w/o Phone/Fax/Modem Protection"/>
    <x v="4833"/>
    <n v="6"/>
    <n v="12.1"/>
    <x v="7"/>
    <x v="3"/>
  </r>
  <r>
    <n v="45527"/>
    <x v="487"/>
    <x v="16"/>
    <x v="1"/>
    <x v="8"/>
    <s v="Eldon Regeneration Recycled Desk Accessories, Smoke"/>
    <x v="2573"/>
    <n v="2"/>
    <n v="0.42"/>
    <x v="7"/>
    <x v="3"/>
  </r>
  <r>
    <n v="45527"/>
    <x v="487"/>
    <x v="16"/>
    <x v="0"/>
    <x v="0"/>
    <s v="Ampad Evidence Wirebond Steno Books, 6&quot; x 9&quot;"/>
    <x v="1051"/>
    <n v="5"/>
    <n v="2.94"/>
    <x v="7"/>
    <x v="3"/>
  </r>
  <r>
    <n v="45528"/>
    <x v="611"/>
    <x v="20"/>
    <x v="0"/>
    <x v="3"/>
    <s v="DXL Angle-View Binders with Locking Rings by Samsill"/>
    <x v="1405"/>
    <n v="4"/>
    <n v="7.71"/>
    <x v="7"/>
    <x v="3"/>
  </r>
  <r>
    <n v="45528"/>
    <x v="611"/>
    <x v="20"/>
    <x v="0"/>
    <x v="3"/>
    <s v="Acco Translucent Poly Ring Binders"/>
    <x v="4017"/>
    <n v="1"/>
    <n v="1.31"/>
    <x v="7"/>
    <x v="3"/>
  </r>
  <r>
    <n v="45528"/>
    <x v="406"/>
    <x v="10"/>
    <x v="0"/>
    <x v="12"/>
    <s v="Avanti 1.7 Cu. Ft. Refrigerator"/>
    <x v="4834"/>
    <n v="8"/>
    <n v="64.63"/>
    <x v="7"/>
    <x v="3"/>
  </r>
  <r>
    <n v="45528"/>
    <x v="406"/>
    <x v="10"/>
    <x v="0"/>
    <x v="0"/>
    <s v="Xerox 1966"/>
    <x v="320"/>
    <n v="2"/>
    <n v="3.76"/>
    <x v="7"/>
    <x v="3"/>
  </r>
  <r>
    <n v="45529"/>
    <x v="41"/>
    <x v="25"/>
    <x v="0"/>
    <x v="0"/>
    <s v="Xerox 1910"/>
    <x v="3647"/>
    <n v="5"/>
    <n v="67.260000000000005"/>
    <x v="7"/>
    <x v="3"/>
  </r>
  <r>
    <n v="45529"/>
    <x v="738"/>
    <x v="15"/>
    <x v="0"/>
    <x v="4"/>
    <s v="Zebra Zazzle Fluorescent Highlighters"/>
    <x v="2574"/>
    <n v="2"/>
    <n v="1.7"/>
    <x v="7"/>
    <x v="3"/>
  </r>
  <r>
    <n v="45529"/>
    <x v="738"/>
    <x v="15"/>
    <x v="0"/>
    <x v="0"/>
    <s v="Xerox 199"/>
    <x v="132"/>
    <n v="1"/>
    <n v="1.07"/>
    <x v="7"/>
    <x v="3"/>
  </r>
  <r>
    <n v="45529"/>
    <x v="364"/>
    <x v="10"/>
    <x v="0"/>
    <x v="2"/>
    <s v="Letter/Legal File Tote with Clear Snap-On Lid, Black Granite"/>
    <x v="4835"/>
    <n v="2"/>
    <n v="1.93"/>
    <x v="7"/>
    <x v="3"/>
  </r>
  <r>
    <n v="45529"/>
    <x v="9"/>
    <x v="2"/>
    <x v="1"/>
    <x v="11"/>
    <s v="Bush Somerset Collection Bookcase"/>
    <x v="4836"/>
    <n v="2"/>
    <n v="-89.07"/>
    <x v="7"/>
    <x v="3"/>
  </r>
  <r>
    <n v="45530"/>
    <x v="528"/>
    <x v="4"/>
    <x v="2"/>
    <x v="9"/>
    <s v="Sony 64GB Class 10 Micro SDHC R40 Memory Card"/>
    <x v="1553"/>
    <n v="2"/>
    <n v="15.12"/>
    <x v="7"/>
    <x v="3"/>
  </r>
  <r>
    <n v="45530"/>
    <x v="0"/>
    <x v="1"/>
    <x v="1"/>
    <x v="8"/>
    <s v="Seth Thomas 16&quot; Steel Case Clock"/>
    <x v="92"/>
    <n v="5"/>
    <n v="-43.85"/>
    <x v="7"/>
    <x v="3"/>
  </r>
  <r>
    <n v="45530"/>
    <x v="631"/>
    <x v="14"/>
    <x v="0"/>
    <x v="2"/>
    <s v="Neat Ideas Personal Hanging Folder Files, Black"/>
    <x v="707"/>
    <n v="4"/>
    <n v="13.97"/>
    <x v="7"/>
    <x v="3"/>
  </r>
  <r>
    <n v="45531"/>
    <x v="444"/>
    <x v="32"/>
    <x v="1"/>
    <x v="13"/>
    <s v="Office Impressions End Table, 20-1/2&quot;H x 24&quot;W x 20&quot;D"/>
    <x v="4837"/>
    <n v="7"/>
    <n v="-297.68"/>
    <x v="7"/>
    <x v="3"/>
  </r>
  <r>
    <n v="45531"/>
    <x v="376"/>
    <x v="20"/>
    <x v="0"/>
    <x v="2"/>
    <s v="Iris Project Case"/>
    <x v="3138"/>
    <n v="8"/>
    <n v="16.600000000000001"/>
    <x v="7"/>
    <x v="3"/>
  </r>
  <r>
    <n v="45531"/>
    <x v="376"/>
    <x v="20"/>
    <x v="2"/>
    <x v="6"/>
    <s v="GE 30522EE2"/>
    <x v="4838"/>
    <n v="3"/>
    <n v="100.91"/>
    <x v="7"/>
    <x v="3"/>
  </r>
  <r>
    <n v="45531"/>
    <x v="376"/>
    <x v="20"/>
    <x v="0"/>
    <x v="3"/>
    <s v="DXL Angle-View Binders with Locking Rings by Samsill"/>
    <x v="4839"/>
    <n v="6"/>
    <n v="11.57"/>
    <x v="7"/>
    <x v="3"/>
  </r>
  <r>
    <n v="45531"/>
    <x v="145"/>
    <x v="0"/>
    <x v="0"/>
    <x v="4"/>
    <s v="Eberhard Faber 3 1/2&quot; Golf Pencils"/>
    <x v="1457"/>
    <n v="1"/>
    <n v="0.37"/>
    <x v="7"/>
    <x v="3"/>
  </r>
  <r>
    <n v="45531"/>
    <x v="386"/>
    <x v="16"/>
    <x v="0"/>
    <x v="10"/>
    <s v="Convenience Packs of Business Envelopes"/>
    <x v="1510"/>
    <n v="1"/>
    <n v="0.98"/>
    <x v="7"/>
    <x v="3"/>
  </r>
  <r>
    <n v="45531"/>
    <x v="696"/>
    <x v="3"/>
    <x v="1"/>
    <x v="8"/>
    <s v="GE 48&quot; Fluorescent Tube, Cool White Energy Saver, 34 Watts, 30/Box"/>
    <x v="4701"/>
    <n v="2"/>
    <n v="99.23"/>
    <x v="7"/>
    <x v="3"/>
  </r>
  <r>
    <n v="45531"/>
    <x v="696"/>
    <x v="3"/>
    <x v="0"/>
    <x v="12"/>
    <s v="APC 7 Outlet Network SurgeArrest Surge Protector"/>
    <x v="4840"/>
    <n v="4"/>
    <n v="96.58"/>
    <x v="7"/>
    <x v="3"/>
  </r>
  <r>
    <n v="45531"/>
    <x v="696"/>
    <x v="3"/>
    <x v="2"/>
    <x v="16"/>
    <s v="Sharp 1540cs Digital Laser Copier"/>
    <x v="2380"/>
    <n v="2"/>
    <n v="329.99"/>
    <x v="7"/>
    <x v="3"/>
  </r>
  <r>
    <n v="45531"/>
    <x v="696"/>
    <x v="3"/>
    <x v="0"/>
    <x v="14"/>
    <s v="Acme Preferred Stainless Steel Scissors"/>
    <x v="1680"/>
    <n v="5"/>
    <n v="8.24"/>
    <x v="7"/>
    <x v="3"/>
  </r>
  <r>
    <n v="45531"/>
    <x v="696"/>
    <x v="3"/>
    <x v="1"/>
    <x v="5"/>
    <s v="Bevis Steel Folding Chairs"/>
    <x v="367"/>
    <n v="3"/>
    <n v="23.03"/>
    <x v="7"/>
    <x v="3"/>
  </r>
  <r>
    <n v="45531"/>
    <x v="696"/>
    <x v="3"/>
    <x v="0"/>
    <x v="0"/>
    <s v="White Computer Printout Paper by Universal"/>
    <x v="468"/>
    <n v="3"/>
    <n v="56.98"/>
    <x v="7"/>
    <x v="3"/>
  </r>
  <r>
    <n v="45531"/>
    <x v="696"/>
    <x v="3"/>
    <x v="0"/>
    <x v="3"/>
    <s v="GBC DocuBind 300 Electric Binding Machine"/>
    <x v="3694"/>
    <n v="2"/>
    <n v="294.55"/>
    <x v="7"/>
    <x v="3"/>
  </r>
  <r>
    <n v="45531"/>
    <x v="696"/>
    <x v="3"/>
    <x v="0"/>
    <x v="2"/>
    <s v="Sensible Storage WireTech Storage Systems"/>
    <x v="142"/>
    <n v="5"/>
    <n v="17.75"/>
    <x v="7"/>
    <x v="3"/>
  </r>
  <r>
    <n v="45531"/>
    <x v="613"/>
    <x v="15"/>
    <x v="0"/>
    <x v="0"/>
    <s v="Xerox 217"/>
    <x v="193"/>
    <n v="1"/>
    <n v="1.81"/>
    <x v="7"/>
    <x v="3"/>
  </r>
  <r>
    <n v="45531"/>
    <x v="43"/>
    <x v="16"/>
    <x v="0"/>
    <x v="12"/>
    <s v="Hoover Portapower Portable Vacuum"/>
    <x v="4841"/>
    <n v="4"/>
    <n v="0.9"/>
    <x v="7"/>
    <x v="3"/>
  </r>
  <r>
    <n v="45531"/>
    <x v="624"/>
    <x v="2"/>
    <x v="0"/>
    <x v="0"/>
    <s v="Xerox 1981"/>
    <x v="810"/>
    <n v="3"/>
    <n v="3.96"/>
    <x v="7"/>
    <x v="3"/>
  </r>
  <r>
    <n v="45531"/>
    <x v="624"/>
    <x v="2"/>
    <x v="2"/>
    <x v="9"/>
    <s v="Logitech Wireless Headset h800"/>
    <x v="4842"/>
    <n v="14"/>
    <n v="209.98"/>
    <x v="7"/>
    <x v="3"/>
  </r>
  <r>
    <n v="45531"/>
    <x v="582"/>
    <x v="12"/>
    <x v="1"/>
    <x v="8"/>
    <s v="Flat Face Poster Frame"/>
    <x v="4843"/>
    <n v="8"/>
    <n v="33.159999999999997"/>
    <x v="7"/>
    <x v="3"/>
  </r>
  <r>
    <n v="45532"/>
    <x v="61"/>
    <x v="22"/>
    <x v="2"/>
    <x v="6"/>
    <s v="Anker 24W Portable Micro USB Car Charger"/>
    <x v="1395"/>
    <n v="4"/>
    <n v="11.43"/>
    <x v="7"/>
    <x v="3"/>
  </r>
  <r>
    <n v="45532"/>
    <x v="61"/>
    <x v="22"/>
    <x v="1"/>
    <x v="13"/>
    <s v="Hon Practical Foundations 30 x 60 Training Table, Light Gray/Charcoal"/>
    <x v="4844"/>
    <n v="5"/>
    <n v="250.31"/>
    <x v="7"/>
    <x v="3"/>
  </r>
  <r>
    <n v="45532"/>
    <x v="61"/>
    <x v="22"/>
    <x v="0"/>
    <x v="3"/>
    <s v="GBC Standard Therm-A-Bind Covers"/>
    <x v="4845"/>
    <n v="5"/>
    <n v="32.4"/>
    <x v="7"/>
    <x v="3"/>
  </r>
  <r>
    <n v="45532"/>
    <x v="61"/>
    <x v="22"/>
    <x v="0"/>
    <x v="4"/>
    <s v="Newell 344"/>
    <x v="638"/>
    <n v="2"/>
    <n v="1.45"/>
    <x v="7"/>
    <x v="3"/>
  </r>
  <r>
    <n v="45532"/>
    <x v="573"/>
    <x v="1"/>
    <x v="0"/>
    <x v="0"/>
    <s v="Xerox 4200 Series MultiUse Premium Copy Paper (20Lb. and 84 Bright)"/>
    <x v="2156"/>
    <n v="6"/>
    <n v="7.92"/>
    <x v="7"/>
    <x v="3"/>
  </r>
  <r>
    <n v="45532"/>
    <x v="573"/>
    <x v="1"/>
    <x v="0"/>
    <x v="0"/>
    <s v="HP Office Paper (20Lb. and 87 Bright)"/>
    <x v="277"/>
    <n v="5"/>
    <n v="9.35"/>
    <x v="7"/>
    <x v="3"/>
  </r>
  <r>
    <n v="45532"/>
    <x v="342"/>
    <x v="21"/>
    <x v="0"/>
    <x v="14"/>
    <s v="Acme Stainless Steel Office Snips"/>
    <x v="4846"/>
    <n v="3"/>
    <n v="5.89"/>
    <x v="7"/>
    <x v="3"/>
  </r>
  <r>
    <n v="45532"/>
    <x v="342"/>
    <x v="21"/>
    <x v="0"/>
    <x v="12"/>
    <s v="Acco 6 Outlet Guardian Premium Plus Surge Suppressor"/>
    <x v="4847"/>
    <n v="5"/>
    <n v="26.56"/>
    <x v="7"/>
    <x v="3"/>
  </r>
  <r>
    <n v="45533"/>
    <x v="552"/>
    <x v="1"/>
    <x v="0"/>
    <x v="1"/>
    <s v="Avery 505"/>
    <x v="1968"/>
    <n v="4"/>
    <n v="17.760000000000002"/>
    <x v="7"/>
    <x v="3"/>
  </r>
  <r>
    <n v="45533"/>
    <x v="552"/>
    <x v="1"/>
    <x v="0"/>
    <x v="2"/>
    <s v="Advantus Rolling Storage Box"/>
    <x v="4590"/>
    <n v="2"/>
    <n v="2.4"/>
    <x v="7"/>
    <x v="3"/>
  </r>
  <r>
    <n v="45533"/>
    <x v="552"/>
    <x v="1"/>
    <x v="0"/>
    <x v="3"/>
    <s v="Wilson Jones Easy Flow II Sheet Lifters"/>
    <x v="4848"/>
    <n v="9"/>
    <n v="-5.18"/>
    <x v="7"/>
    <x v="3"/>
  </r>
  <r>
    <n v="45533"/>
    <x v="548"/>
    <x v="2"/>
    <x v="0"/>
    <x v="4"/>
    <s v="Newell 323"/>
    <x v="1071"/>
    <n v="7"/>
    <n v="0.71"/>
    <x v="7"/>
    <x v="3"/>
  </r>
  <r>
    <n v="45533"/>
    <x v="602"/>
    <x v="3"/>
    <x v="1"/>
    <x v="8"/>
    <s v="Electrix Fluorescent Magnifier Lamps &amp; Weighted Base"/>
    <x v="4849"/>
    <n v="3"/>
    <n v="41.45"/>
    <x v="7"/>
    <x v="3"/>
  </r>
  <r>
    <n v="45535"/>
    <x v="467"/>
    <x v="12"/>
    <x v="0"/>
    <x v="2"/>
    <s v="Neat Ideas Personal Hanging Folder Files, Black"/>
    <x v="1864"/>
    <n v="1"/>
    <n v="0.81"/>
    <x v="7"/>
    <x v="3"/>
  </r>
  <r>
    <n v="45535"/>
    <x v="467"/>
    <x v="12"/>
    <x v="0"/>
    <x v="7"/>
    <s v="OIC Bulk Pack Metal Binder Clips"/>
    <x v="1243"/>
    <n v="3"/>
    <n v="2.72"/>
    <x v="7"/>
    <x v="3"/>
  </r>
  <r>
    <n v="45535"/>
    <x v="556"/>
    <x v="25"/>
    <x v="0"/>
    <x v="0"/>
    <s v="Xerox 1945"/>
    <x v="4850"/>
    <n v="7"/>
    <n v="83.21"/>
    <x v="7"/>
    <x v="3"/>
  </r>
  <r>
    <n v="45535"/>
    <x v="63"/>
    <x v="18"/>
    <x v="0"/>
    <x v="12"/>
    <s v="Tripp Lite Isotel 8 Ultra 8 Outlet Metal Surge"/>
    <x v="4851"/>
    <n v="9"/>
    <n v="166.07"/>
    <x v="7"/>
    <x v="3"/>
  </r>
  <r>
    <n v="45535"/>
    <x v="299"/>
    <x v="3"/>
    <x v="0"/>
    <x v="3"/>
    <s v="Acco Suede Grain Vinyl Round Ring Binder"/>
    <x v="4121"/>
    <n v="3"/>
    <n v="2.17"/>
    <x v="7"/>
    <x v="3"/>
  </r>
  <r>
    <n v="45535"/>
    <x v="299"/>
    <x v="3"/>
    <x v="2"/>
    <x v="6"/>
    <s v="Aastra 6757i CT Wireless VoIP phone"/>
    <x v="4852"/>
    <n v="4"/>
    <n v="77.56"/>
    <x v="7"/>
    <x v="3"/>
  </r>
  <r>
    <n v="45535"/>
    <x v="497"/>
    <x v="8"/>
    <x v="2"/>
    <x v="9"/>
    <s v="Plantronics CS510 - Over-the-Head monaural Wireless Headset System"/>
    <x v="2404"/>
    <n v="2"/>
    <n v="217.77"/>
    <x v="7"/>
    <x v="3"/>
  </r>
  <r>
    <n v="45535"/>
    <x v="620"/>
    <x v="22"/>
    <x v="1"/>
    <x v="5"/>
    <s v="Hon 4700 Series Mobuis Mid-Back Task Chairs with Adjustable Arms"/>
    <x v="4853"/>
    <n v="2"/>
    <n v="7.12"/>
    <x v="7"/>
    <x v="3"/>
  </r>
  <r>
    <n v="45535"/>
    <x v="620"/>
    <x v="22"/>
    <x v="0"/>
    <x v="2"/>
    <s v="Sortfiler Multipurpose Personal File Organizer, Black"/>
    <x v="4854"/>
    <n v="7"/>
    <n v="43.42"/>
    <x v="7"/>
    <x v="3"/>
  </r>
  <r>
    <n v="45535"/>
    <x v="588"/>
    <x v="11"/>
    <x v="0"/>
    <x v="14"/>
    <s v="Acme Kleen Earth Office Shears"/>
    <x v="2071"/>
    <n v="2"/>
    <n v="0.7"/>
    <x v="7"/>
    <x v="3"/>
  </r>
  <r>
    <n v="45535"/>
    <x v="282"/>
    <x v="3"/>
    <x v="0"/>
    <x v="2"/>
    <s v="Space Solutions Commercial Steel Shelving"/>
    <x v="1366"/>
    <n v="3"/>
    <n v="9.699999999999999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D6:AE19" firstHeaderRow="1" firstDataRow="1" firstDataCol="1"/>
  <pivotFields count="11">
    <pivotField showAll="0"/>
    <pivotField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66"/>
  </dataFields>
  <formats count="4">
    <format dxfId="24">
      <pivotArea collapsedLevelsAreSubtotals="1" fieldPosition="0">
        <references count="1">
          <reference field="9" count="0"/>
        </references>
      </pivotArea>
    </format>
    <format dxfId="20">
      <pivotArea grandRow="1"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A6:AB12" firstHeaderRow="1" firstDataRow="1" firstDataCol="1"/>
  <pivotFields count="11">
    <pivotField showAll="0"/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dataField="1"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0" baseItem="0" numFmtId="166"/>
  </dataFields>
  <formats count="4">
    <format dxfId="23">
      <pivotArea collapsedLevelsAreSubtotals="1" fieldPosition="0">
        <references count="1">
          <reference field="1" count="5">
            <x v="6"/>
            <x v="495"/>
            <x v="619"/>
            <x v="668"/>
            <x v="727"/>
          </reference>
        </references>
      </pivotArea>
    </format>
    <format dxfId="21">
      <pivotArea grandRow="1"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U6:V56" firstHeaderRow="1" firstDataRow="1" firstDataCol="1"/>
  <pivotFields count="11">
    <pivotField showAll="0"/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166"/>
  </dataFields>
  <formats count="3">
    <format dxfId="22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6:S11" firstHeaderRow="1" firstDataRow="1" firstDataCol="1"/>
  <pivotFields count="2"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5:J23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 numFmtId="166"/>
  </dataFields>
  <formats count="3">
    <format dxfId="19">
      <pivotArea collapsedLevelsAreSubtotals="1" fieldPosition="0">
        <references count="1">
          <reference field="4" count="0"/>
        </references>
      </pivotArea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C5:G11" firstHeaderRow="1" firstDataRow="2" firstDataCol="1"/>
  <pivotFields count="11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8" baseField="0" baseItem="0"/>
  </dataFields>
  <formats count="5">
    <format dxfId="18">
      <pivotArea collapsedLevelsAreSubtotals="1" fieldPosition="0">
        <references count="1">
          <reference field="10" count="0"/>
        </references>
      </pivotArea>
    </format>
    <format dxfId="11">
      <pivotArea collapsedLevelsAreSubtotals="1" fieldPosition="0">
        <references count="1">
          <reference field="10" count="0"/>
        </references>
      </pivotArea>
    </format>
    <format dxfId="10">
      <pivotArea collapsedLevelsAreSubtotals="1" fieldPosition="0">
        <references count="1">
          <reference field="10" count="0"/>
        </references>
      </pivotArea>
    </format>
    <format dxfId="9">
      <pivotArea grandRow="1" outline="0" collapsedLevelsAreSubtotals="1" fieldPosition="0"/>
    </format>
    <format dxfId="8">
      <pivotArea grandRow="1" outline="0" collapsedLevelsAreSubtotals="1" fieldPosition="0"/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:A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 numFmtId="166"/>
  </dataFields>
  <formats count="3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5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 numFmtId="166"/>
  </dataFields>
  <formats count="3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13" displayName="Table13" ref="A1:K8315" totalsRowShown="0">
  <autoFilter ref="A1:K8315"/>
  <tableColumns count="11">
    <tableColumn id="1" name="Order Date"/>
    <tableColumn id="2" name="Customer Name"/>
    <tableColumn id="3" name="State"/>
    <tableColumn id="4" name="Category"/>
    <tableColumn id="5" name="Sub-Category"/>
    <tableColumn id="6" name="Product Name"/>
    <tableColumn id="7" name="Sales"/>
    <tableColumn id="8" name="Quantity"/>
    <tableColumn id="9" name="Profit"/>
    <tableColumn id="10" name="Month"/>
    <tableColumn id="1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15"/>
  <sheetViews>
    <sheetView topLeftCell="A2" workbookViewId="0">
      <selection activeCell="K2" activeCellId="1" sqref="B2:B8315 K2:K8315"/>
    </sheetView>
  </sheetViews>
  <sheetFormatPr defaultRowHeight="14.25" x14ac:dyDescent="0.2"/>
  <cols>
    <col min="1" max="1" width="12.75" bestFit="1" customWidth="1"/>
    <col min="2" max="2" width="20.625" bestFit="1" customWidth="1"/>
    <col min="4" max="4" width="13.375" bestFit="1" customWidth="1"/>
    <col min="5" max="5" width="15.125" bestFit="1" customWidth="1"/>
    <col min="6" max="6" width="24.375" customWidth="1"/>
    <col min="7" max="7" width="8.875" bestFit="1" customWidth="1"/>
    <col min="8" max="8" width="10.25" bestFit="1" customWidth="1"/>
    <col min="9" max="10" width="8.5" bestFit="1" customWidth="1"/>
    <col min="11" max="11" width="7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2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2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2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2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2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2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2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2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2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2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2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2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2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2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2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2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2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2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2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2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2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2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2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2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2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2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2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2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2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2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2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2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2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2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2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2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2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2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2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2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2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2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2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2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2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2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2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2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2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2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2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2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2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2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2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2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2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2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2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2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2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2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2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2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2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2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2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2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2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2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2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2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2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2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2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2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2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2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2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2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2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2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2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2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2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2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2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2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2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2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2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2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2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2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2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2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2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2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2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2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2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2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2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2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2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2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2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2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2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2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2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2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2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2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2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2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2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2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2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2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2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2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2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2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2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2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2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2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2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2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2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2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2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2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2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2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2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2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2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2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2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2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2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2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2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2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2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2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2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2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2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2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2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2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2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2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2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2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2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2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2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2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2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2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2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2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2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2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2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2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2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2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2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2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2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2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2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2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2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2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2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2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2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2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2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2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2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2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2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2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2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2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2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2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2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2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2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2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2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2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2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2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2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2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2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2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2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2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2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2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2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2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2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2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2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2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2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2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2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2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2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2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2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2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2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2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2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2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2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2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2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2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2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2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2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2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2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2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2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2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2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2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2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2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2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2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2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2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2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2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2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2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2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2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2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2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2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2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2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2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2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2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2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2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2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2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2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2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2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2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2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2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2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2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2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2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2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2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2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2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2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2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2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2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2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2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2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2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2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2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2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2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2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2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2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2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2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2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2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2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2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2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2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2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2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2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2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2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2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2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2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2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2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2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2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2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2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2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2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2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2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2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2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2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2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2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2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2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2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2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2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2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2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2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2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2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2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2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2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2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2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2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2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2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2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2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2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2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2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2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2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2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2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2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2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2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2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2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2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2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2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2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2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2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2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2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2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2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2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2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2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2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2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2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2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2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2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2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2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2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2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2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2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2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2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2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2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2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2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2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2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2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2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2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2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2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2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2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2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2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2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2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2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2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2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2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2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2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2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2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2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2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2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2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2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2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2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2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2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2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2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2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2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2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2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2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2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2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2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2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2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2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2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2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2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2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2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2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2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2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2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2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2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2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2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2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2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2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2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2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2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2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2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2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2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2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2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2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2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2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2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2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2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2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2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2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2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2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2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2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2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2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2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2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2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2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2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2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2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2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2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2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2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2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2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2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2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2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2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2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2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2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2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2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2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2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2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2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2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2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2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2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2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2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2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2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2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2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2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2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2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2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2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2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2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2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2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2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2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2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2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2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2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2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2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2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2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2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2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2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2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2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2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2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2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2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2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2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2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2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2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2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2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2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2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2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2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2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2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2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2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2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2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2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2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2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2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2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2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2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2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2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2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2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2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2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2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2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2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2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2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2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2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2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2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2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2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2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2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2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2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2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2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2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2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2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2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2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2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2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2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2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2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2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2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2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2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2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2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2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2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2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2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2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2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2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2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2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2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2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2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2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2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2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2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2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2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2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2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2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2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2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2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2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2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2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2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2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2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2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2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2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2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2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2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2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2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2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2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2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2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2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2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2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2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2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2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2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2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2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2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2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2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2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2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2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2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2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2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2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2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2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2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2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2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2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2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2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2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2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2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2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2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2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2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2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2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2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2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2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2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2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2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2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2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2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2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2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2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2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2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2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2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2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2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2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2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2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2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2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2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2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2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2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2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2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2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2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2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2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2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2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2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2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2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2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2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2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2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2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2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2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2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2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2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2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2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2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2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2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2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2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2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2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2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2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2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2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2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2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2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2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2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2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2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2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2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2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2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2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2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2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2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2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2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2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2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2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2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2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2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2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2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2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2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2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2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2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2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2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2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2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2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2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2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2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2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2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2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2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2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2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2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2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2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2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2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2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2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2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2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2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2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2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2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2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2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2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2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2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2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2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2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2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2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2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2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2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2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2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2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2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2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2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2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2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2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2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2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2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2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2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2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2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2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2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2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2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2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2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2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2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2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2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2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2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2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2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2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2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2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2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2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2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2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2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2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2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2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2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2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2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2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2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2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2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2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2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2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2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2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2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2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2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2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2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2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2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2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2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2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2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2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2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2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2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2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2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2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2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2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2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2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2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2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2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2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2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2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2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2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2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2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2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2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2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2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2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2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2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2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2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2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2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2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2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2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2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2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2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2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2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2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2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2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2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2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2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2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2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2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2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2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2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2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2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2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2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2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2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2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2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2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2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2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2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2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2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2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2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2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2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2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2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2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2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2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2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2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2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2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2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2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2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2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2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2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2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2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2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2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2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2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2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2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2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2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2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2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2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2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2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2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2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2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2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2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2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2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2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2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2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2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2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2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2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2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2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2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2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2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2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2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2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2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2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2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2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2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2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2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2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2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2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2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2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2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2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2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2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2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2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2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2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2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2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2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2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2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2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2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2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2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2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2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2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2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2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2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2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2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2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2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2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2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2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2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2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2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2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2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2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2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2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2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2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2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2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2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2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2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2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2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2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2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2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2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2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2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2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2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2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2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2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2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2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2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2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2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2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2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2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2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2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2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2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2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2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2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2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2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2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2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2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2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2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2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2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2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2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2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2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2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2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2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2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2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2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2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2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2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2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2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2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2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2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2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2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2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2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2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2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2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2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2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2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2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2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2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2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2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2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2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2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2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2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2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2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2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2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2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2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2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2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2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2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2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2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2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2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2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2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2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2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2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2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2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2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2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2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2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2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2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2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2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2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2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2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2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2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2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2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2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2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2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2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2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2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2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2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2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2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2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2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2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2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2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2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2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2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2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2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2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2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2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2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2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2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2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2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2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2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2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2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2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2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2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2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2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2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2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2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2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2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2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2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2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2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2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2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2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2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2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2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2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2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2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2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2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2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2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2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2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2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2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2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2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2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2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2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2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2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2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2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2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2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2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2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2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2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2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2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2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2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2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2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2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2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2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2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2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2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2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2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2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2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2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2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2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2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2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2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2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2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2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2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2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2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2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2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2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2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2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2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2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2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2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2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2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2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2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2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2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2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2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2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2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2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2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2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2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2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2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2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2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2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2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2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2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2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2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2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2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2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2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2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2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2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2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2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2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2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2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2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2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2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2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2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2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2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2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2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2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2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2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2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2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2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2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2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2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2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2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2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2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2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2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2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2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2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2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2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2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2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2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2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2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2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2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2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2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2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2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2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2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2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2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2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2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2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2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2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2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2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2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2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2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2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2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2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2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2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2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2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2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2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2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2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2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2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2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2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2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2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2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2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2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2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2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2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2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2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2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2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2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2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2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2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2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2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2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2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2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2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2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2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2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2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2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2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2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2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2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2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2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2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2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2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2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2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2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2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2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2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2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2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2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2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2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2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2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2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2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2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2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2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2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2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2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2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2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2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2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2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2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2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2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2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2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2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2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2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2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2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2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2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2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2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2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2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2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2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2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2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2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2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2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2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2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2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2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2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2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2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2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2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2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2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2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2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2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2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2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2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2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2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2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2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2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2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2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2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2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2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2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2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2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2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2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2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2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2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2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2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2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2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2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2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2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2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2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2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2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2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2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2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2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2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2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2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2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2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2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2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2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2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2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2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2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2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2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2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2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2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2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2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2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2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2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2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2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2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2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2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2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2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2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2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2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2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2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2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2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2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2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2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2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2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2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2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2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2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2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2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2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2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2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2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2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2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2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2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2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2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2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2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2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2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2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2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2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2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2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2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2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2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2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2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2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2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2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2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2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2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2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2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2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2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2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2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2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2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2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2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2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2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2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2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2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2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2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2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2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2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2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2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2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2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2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2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2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2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2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2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2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2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2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2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2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2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2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2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2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2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2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2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2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2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2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2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2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2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2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2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2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2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2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2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2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2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2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2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2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2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2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2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2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2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2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2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2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2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2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2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2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2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2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2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2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2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2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2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2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2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2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2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2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2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2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2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2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2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2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2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2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2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2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2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2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2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2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2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2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2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2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2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2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2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2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2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2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2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2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2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2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2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2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2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2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2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2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2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2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2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2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2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2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2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2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2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2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2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2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2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2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2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2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2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2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2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2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2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2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2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2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2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2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2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2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2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2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2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2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2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2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2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2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2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2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2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2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2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2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2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2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2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2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2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2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2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2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2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2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2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2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2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2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2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2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2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2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2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2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2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2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2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2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2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2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2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2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2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2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2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2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2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2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2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2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2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2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2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2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2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2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2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2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2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2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2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2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2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2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2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2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2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2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2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2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2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2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2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2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2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2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2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2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2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2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2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2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2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2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2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2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2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2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2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2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2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2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2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2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2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2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2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2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2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2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2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2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2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2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2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2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2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2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2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2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2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2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2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2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2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2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2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2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2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2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2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2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2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2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2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2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2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2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2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2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2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2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2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2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2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2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2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2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2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2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2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2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2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2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2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2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2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2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2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2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2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2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2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2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2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2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2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2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2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2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2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2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2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2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2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2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2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2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2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2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2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2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2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2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2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2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2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2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2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2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2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2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2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2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2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2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2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2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2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2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2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2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2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2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2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2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2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2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2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2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2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2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2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2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2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2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2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2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2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2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2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2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2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2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2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2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2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2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2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2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2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2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2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2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2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2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2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2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2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2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2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2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2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2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2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2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2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2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2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2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2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2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2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2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2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2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2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2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2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2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2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2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2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2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2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2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2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2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2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2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2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2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2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2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2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2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2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2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2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2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2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2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2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2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2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2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2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2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2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2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2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2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2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2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2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2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2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2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2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2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2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2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2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2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2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2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2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2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2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2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2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2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2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2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2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2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2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2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2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2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2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2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2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2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2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2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2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2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2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2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2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2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2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2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2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2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2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2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2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2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2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2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2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2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2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2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2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2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2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2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2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2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2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2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2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2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2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2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2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2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2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2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2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2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2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2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2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2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2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2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2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2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2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2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2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2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2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2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2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2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2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2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2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2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2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2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2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2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2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2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2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2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2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2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2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2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2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2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2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2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2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2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2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2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2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2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2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2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2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2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2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2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2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2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2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2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2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2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2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2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2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2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2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2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2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2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2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2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2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2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2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2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2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2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2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2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2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2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2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2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2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2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2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2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2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2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2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2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2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2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2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2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2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2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2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2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2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2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2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2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2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2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2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2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2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2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2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2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2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2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2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2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2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2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2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2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2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2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2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2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2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2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2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2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2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2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2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2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2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2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2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2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2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2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2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2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2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2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2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2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2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2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2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2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2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2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2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2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2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2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2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2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2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2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2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2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2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2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2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2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2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2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2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2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2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2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2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2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2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2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2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2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2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2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2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2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2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2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2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2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2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2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2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2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2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2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2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2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2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2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2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2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2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2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2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2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2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2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2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2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2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2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2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2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2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2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2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2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2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2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2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2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2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2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2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2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2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2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2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2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2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2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2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2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2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2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2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2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2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2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2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2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2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2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2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2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2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2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2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2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2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2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2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2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2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2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2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2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2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2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2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2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2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2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2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2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2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2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2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2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2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2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2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2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2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2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2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2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2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2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2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2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2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2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2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2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2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2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2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2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2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2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2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2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2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2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2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2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2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2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2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2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2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2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2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2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2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2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2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2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2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2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2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2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2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2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2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2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2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2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2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2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2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2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2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2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2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2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2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2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2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2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2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2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2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2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2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2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2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2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2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2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2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2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2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2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2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2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2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2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2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2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2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2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2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2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2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2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2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2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2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2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2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2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2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2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2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2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2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2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2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2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2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2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2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2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2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2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2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2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2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2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2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2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2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2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2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2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2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2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2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2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2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2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2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2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2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2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2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2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2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2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2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2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2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2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2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2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2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2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2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2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2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2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2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2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2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2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2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2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2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2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2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2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2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2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2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2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2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2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2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2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2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2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2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2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2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2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2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2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2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2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2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2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2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2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2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2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2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2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2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2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2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2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2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2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2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2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2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2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2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2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2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2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2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2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2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2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2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2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2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2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2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2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2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2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2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2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2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2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2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2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2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2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2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2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2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2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2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2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2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2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2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2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2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2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2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2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2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2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2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2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2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2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2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2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2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2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2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2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2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2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2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2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2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2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2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2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2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2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2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2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2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2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2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2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2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2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2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2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2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2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2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2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2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2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2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2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2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2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2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2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2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2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2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2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2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2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2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2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2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2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2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2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2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2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2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2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2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2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2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2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2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2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2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2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2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2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2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2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2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2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2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2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2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2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2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2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2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2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2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2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2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2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2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2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2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2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2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2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2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2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2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2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2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2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2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2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2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2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2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2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2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2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2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2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2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2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2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2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2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2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2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2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2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2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2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2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2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2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2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2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2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2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2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2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2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2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2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2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2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2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2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2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2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2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2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2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2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2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2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2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2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2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2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2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2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2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2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2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2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2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2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2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2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2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2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2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2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2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2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2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2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2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2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2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2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2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2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2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2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2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2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2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2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2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2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2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2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2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2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2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2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2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2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2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2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2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2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2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2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2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2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2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2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2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2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2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2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2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2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2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2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2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2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2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2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2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2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2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2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2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2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2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2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2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2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2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2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2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2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2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2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2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2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2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2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2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2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2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2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2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2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2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2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2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2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2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2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2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2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2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2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2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2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2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2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2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2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2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2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2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2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2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2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2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2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2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2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2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2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2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2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2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2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2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2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2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2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2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2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2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2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2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2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2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2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2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2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2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2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2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2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2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2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2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2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2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2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2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2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2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2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2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2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2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2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2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2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2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2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2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2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2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2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2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2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2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2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2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2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2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2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2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2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2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2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2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2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2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2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2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2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2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2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2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2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2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2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2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2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2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2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2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2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2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2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2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2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2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2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2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2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2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2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2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2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2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2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2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2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2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2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2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2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2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2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2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2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2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2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2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2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2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2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2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2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2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2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2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2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2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2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2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2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2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2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2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2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2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2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2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2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2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2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2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2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2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2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2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2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2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2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2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2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2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2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2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2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2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2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2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2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2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2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2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2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2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2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2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2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2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2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2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2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2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2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2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2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2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2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2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2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2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2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2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2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2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2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2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2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2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2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2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2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2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2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2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2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2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2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2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2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2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2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2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2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2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2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2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2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2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2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2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2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2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2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2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2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2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2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2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2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2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2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2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2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2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2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2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2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2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2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2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2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2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2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2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2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2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2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2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2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2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2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2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2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2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2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2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2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2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2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2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2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2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2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2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2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2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2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2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2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2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2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2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2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2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2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2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2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2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2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2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2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2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2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2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2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2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2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2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2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2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2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2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2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2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2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2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2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2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2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2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2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2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2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2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2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2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2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2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2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2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2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2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2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2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2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2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2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2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2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2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2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2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2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2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2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2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2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2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2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2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2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2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2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2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2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2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2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2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2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2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2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2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2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2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2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2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2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2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2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2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2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2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2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2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2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2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2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2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2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2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2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2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2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2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2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2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2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2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2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2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2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2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2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2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2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2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2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2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2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2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2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2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2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2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2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2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2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2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2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2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2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2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2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2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2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2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2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2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2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2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2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2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2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2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2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2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2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2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2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2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2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2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2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2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2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2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2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2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2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2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2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2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2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2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2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2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2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2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2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2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2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2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2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2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2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2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2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2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2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2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2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2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2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2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2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2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2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2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2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2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2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2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2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2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2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2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2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2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2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2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2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2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2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2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2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2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2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2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2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2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2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2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2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2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2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2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2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2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2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2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2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2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2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2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2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2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2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2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2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2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2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2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2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2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2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2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2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2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2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2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2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2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2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2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2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2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2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2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2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2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2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2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2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2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2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2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2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2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2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2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2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2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2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2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2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2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2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2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2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2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2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2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2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2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2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2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2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2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2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2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2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2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2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2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2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2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2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2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2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2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2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2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2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2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2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2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2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2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2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2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2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2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2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2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2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2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2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2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2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2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2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2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2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2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2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2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2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2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2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2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2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2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2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2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2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2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2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2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2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2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2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2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2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2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2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2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2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2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2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2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2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2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2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2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2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2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2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2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2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2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2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2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2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2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2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2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2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2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2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2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2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2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2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2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2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2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2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2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2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2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2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2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2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2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2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2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2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2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2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2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2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2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2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2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2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2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2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2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2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2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2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2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2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2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2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2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2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2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2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2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2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2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2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2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2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2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2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2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2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2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2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2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2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2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2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2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2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2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2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2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2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2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2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2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2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2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2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2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2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2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2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2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2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2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2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2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2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2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2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2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2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2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2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2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2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2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2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2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2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2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2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2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2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2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2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2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2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2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2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2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2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2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2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2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2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2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2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2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2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2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2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2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2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2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2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2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2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2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2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2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2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2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2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2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2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2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2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2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2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2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2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2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2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2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2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2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2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2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2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2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2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2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2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2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2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2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2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2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2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2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2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2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2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2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2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2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2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2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2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2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2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2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2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2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2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2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2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2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2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2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2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2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2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2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2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2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2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2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2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2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2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2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2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2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2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2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2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2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2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2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2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2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2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2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2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2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2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2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2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2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2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2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2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2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2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2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2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2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2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2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2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2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2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2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2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2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2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2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2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2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2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2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2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2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2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2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2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2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2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2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2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2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2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2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2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2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2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2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2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2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2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2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2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2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2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2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2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2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2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2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2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2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2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2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2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2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2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2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2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2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2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2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2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2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2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2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2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2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2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2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2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2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2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2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2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2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2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2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2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2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2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2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2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2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2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2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2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2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2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2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2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2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2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2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2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2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2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2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2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2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2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2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2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2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2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2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2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2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2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2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2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2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2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2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2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2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2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2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2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2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2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2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2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2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2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2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2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2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2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2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2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2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2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2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2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2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2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2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2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2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2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2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2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2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2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2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2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2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2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2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2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2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2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2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2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2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2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2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2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2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2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2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2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2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2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2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2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2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2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2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2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2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2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2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2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2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2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2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2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2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2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2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2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2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2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2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2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2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2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2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2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2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2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2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2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2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2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2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2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2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2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2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2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2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2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2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2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2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2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2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2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2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2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2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2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2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2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2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2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2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2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2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2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2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2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2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2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2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2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2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2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2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2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2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2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2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2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2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2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2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2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2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2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2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2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2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2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2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2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2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2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2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2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2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2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2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2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2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2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2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2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2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2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2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2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2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2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2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2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2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2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2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2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2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2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2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2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2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2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2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2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2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2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2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2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2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2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2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2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2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2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2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2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2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2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2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2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2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2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2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2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2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2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2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2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2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2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2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2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2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2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2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2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2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2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2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2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2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2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2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2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2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2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2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2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2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2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2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2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2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2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2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2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2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2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2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2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2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2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2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2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2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2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2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2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2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2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2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2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2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2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2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2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2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2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2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2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2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2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2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2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2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2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2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2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2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2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2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2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2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2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2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2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2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2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2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2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2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2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2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2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2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2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2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2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2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2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2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2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2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2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2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2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2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2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2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2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2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2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2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2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2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2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2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2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2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2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2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2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2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2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2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2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2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2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2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2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2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2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2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2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2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2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2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2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2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2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2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2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2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2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2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2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2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2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2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2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2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2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2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2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2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2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2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2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2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2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2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2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2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2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2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2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2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2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2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2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2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2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2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2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2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2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2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2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2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2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2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2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2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2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2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2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2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2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2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2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2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2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2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2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2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2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2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2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2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2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2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2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2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2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2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2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2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2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2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2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2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2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2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2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2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2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2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2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2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2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2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2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2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2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2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2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2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2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2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2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2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2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2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2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2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2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2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2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2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2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2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2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2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2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2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2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2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2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2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2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2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2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2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2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2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2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2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2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2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2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2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2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2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2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2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2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2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2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2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2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2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2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2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2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2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2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2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2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2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2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2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2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2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2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2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2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2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2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2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2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2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2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2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2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2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2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2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2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2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2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2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2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2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2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2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2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2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2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2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2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2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2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2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2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2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2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2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2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2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2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2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2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2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2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2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2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2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2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2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2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2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2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2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2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2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2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2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2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2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2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2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2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2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2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2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2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2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2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2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2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2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2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2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2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2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2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2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2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2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2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2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2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2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2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2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2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2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2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2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2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2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2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2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2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2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2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2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2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2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2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2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2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2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2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2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2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2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2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2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2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2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2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2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2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2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2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2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2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2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2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2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2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2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2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2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2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2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2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2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2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2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2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2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2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2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2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2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2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2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2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2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2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2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2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2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2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2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2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2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2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2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2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2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2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2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2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2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2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2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2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2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2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2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2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2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2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2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2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2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2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2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2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2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2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2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2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2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2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2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2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2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2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2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2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2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2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2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2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2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2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2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2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2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2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2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2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2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2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2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2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2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2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2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2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2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2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2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2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2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2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2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2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2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2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2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2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2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2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2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2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2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2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2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2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2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2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2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2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2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2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2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2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2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2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2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2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2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2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2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2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2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2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2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2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2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2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2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2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2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2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2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2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2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2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2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2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2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2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2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2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2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2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2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2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2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2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2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2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2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2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2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2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2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2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2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2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2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2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2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2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2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2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2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2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2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2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2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2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2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2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2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2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2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2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2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2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2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2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2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2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2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2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2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2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2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2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2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2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2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2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2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2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2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2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2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2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2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2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2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2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2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2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2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2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2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2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2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2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2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2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2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2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2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2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2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2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2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2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2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2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2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2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2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2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2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2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2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2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2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2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2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2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2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2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2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2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2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2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2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2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2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2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2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2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2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2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2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2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2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2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2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2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2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2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2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2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2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2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2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2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2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2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2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2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2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2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2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2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2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2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2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2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2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2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2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2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2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2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2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2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2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2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2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2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2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2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2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2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2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2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2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2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2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2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2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2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2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2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2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2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2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2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2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2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2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2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2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2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2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2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2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2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2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2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2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2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2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2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2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2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2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2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2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2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2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2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2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2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2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2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2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2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2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2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2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2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2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2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2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2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2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2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2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2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2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2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2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2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2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2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2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2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2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2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2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2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2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2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2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2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2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2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2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2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2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2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2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2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2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2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2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2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2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2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2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2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2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2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2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2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2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2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2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2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2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2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2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2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2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2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2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2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2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2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2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2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2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2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2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2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2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2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2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2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2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2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2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2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2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2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2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2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2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2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2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2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2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2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2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2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2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2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2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2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2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2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2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2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2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2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2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2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2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2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2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2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2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2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2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2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2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2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2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2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2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2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2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2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2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2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2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2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2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2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2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2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2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2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2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2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2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2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2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2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2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2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2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2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2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2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2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2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2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2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2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2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2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2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2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2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2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2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2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2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2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2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2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2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2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2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2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2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2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2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2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2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2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2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2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2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2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2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2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2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2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2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2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2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2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2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2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2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2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2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2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2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2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2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2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2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2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2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2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2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2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2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2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2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2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2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2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2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2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2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2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2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2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2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2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2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2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2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2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2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2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2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2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2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2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2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2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2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2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2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2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2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2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2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2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2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2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2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2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2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2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2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2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2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2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2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2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2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2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2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2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2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2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2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2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2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2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2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2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2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2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2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2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2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2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2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2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2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2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2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2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2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2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2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2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2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2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2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2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2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2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2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2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2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2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2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2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2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2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2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2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2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2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2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2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2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2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2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2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2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2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2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2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2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2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2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2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2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2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2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2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2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2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2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2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2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2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2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2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2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2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2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2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2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2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2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2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2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2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2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2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2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2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2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2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2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2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2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2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2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2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2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2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2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2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2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2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2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2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2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2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2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2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2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2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2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2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2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2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2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2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2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2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2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2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2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2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2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2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2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2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2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2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2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2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2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2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2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2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2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2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2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2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2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2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2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2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2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2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2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2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2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2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2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2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2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2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2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2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2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2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2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2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2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2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2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2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2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2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2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2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2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2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2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2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2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2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2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2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2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2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2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2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2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2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2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2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2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2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2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2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2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2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2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2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2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2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2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2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2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2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2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2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2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2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2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2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2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2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2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2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2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2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2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2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2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2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2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2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2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2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2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2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2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2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2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2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2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2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2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2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2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2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2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2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2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2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2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2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2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2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2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2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2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2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2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2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2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2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2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2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2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2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2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2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2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2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2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2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2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2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2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2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2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2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2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2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2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2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2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2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2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2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2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2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2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2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2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2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2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2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2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2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2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2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2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2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2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2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2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2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2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2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2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2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2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2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2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2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2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2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2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2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2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2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2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2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2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2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2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2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2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2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2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2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2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2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2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2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2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2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2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2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2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2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2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2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2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2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2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2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2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2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2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2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2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2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2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2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2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2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2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2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2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2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2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2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2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2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2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2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2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2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2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2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2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2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2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2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2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2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2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2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2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2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2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2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2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2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2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2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2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2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2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2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2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2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2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2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2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2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2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2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2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2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2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2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2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2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2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2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2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2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2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2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2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2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2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2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2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2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2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2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2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2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2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2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2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2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2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2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2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2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2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2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2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2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2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2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2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2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2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2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2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2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2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2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2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2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2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2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2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2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2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2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2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2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2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2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2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2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2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2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2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2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2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2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2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2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2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2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2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2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2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2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2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2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2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2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2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2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2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2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2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2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2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2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2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2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2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2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2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2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2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2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2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2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2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2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2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2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2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2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2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2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2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2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2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2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2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2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2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2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2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2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2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2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2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2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2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2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2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2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2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2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2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2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2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2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2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2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2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2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2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2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2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2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2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2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2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2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2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2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2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2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2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2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2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2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2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2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2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2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2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2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2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2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2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2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2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2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2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2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2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2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2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2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2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2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2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2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2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2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2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2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2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2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2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2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2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2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2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2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2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2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2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2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2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2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2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2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2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2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2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2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2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2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2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2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2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2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2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2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2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2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2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2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2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2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2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2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2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2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2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2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2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2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2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2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2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2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2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2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2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2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2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2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2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2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2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2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2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2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2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2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2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2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2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2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2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2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2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2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2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2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2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2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2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2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2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2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2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2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2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2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2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2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2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2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2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2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2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2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2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2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2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2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2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2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2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2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2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2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2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2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2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2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2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2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2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2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2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2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2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2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2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2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2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2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2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2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2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2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2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2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2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2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2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2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2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2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2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2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2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2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2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2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2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2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2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2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2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2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2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2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2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2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2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2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2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2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2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2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2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2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2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2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2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2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2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2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2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2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2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2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2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2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2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2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2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2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2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2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2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2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2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2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2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2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2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2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2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2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2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2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2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2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2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2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2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2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2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2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2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2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2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2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2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2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2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2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2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2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2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2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2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2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2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2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2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2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2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2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2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2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2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2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2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2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2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2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2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2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2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2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2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2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2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2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2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2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2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2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2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2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2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2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2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2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2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2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2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2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2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2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2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2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2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2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2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2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2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2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2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2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2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2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2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2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2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2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2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2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2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2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2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2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2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2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2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2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2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2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2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2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2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2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2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2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2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2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2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2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2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2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2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2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2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2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2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2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2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2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2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2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2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2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2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2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2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2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2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2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2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2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2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2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2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2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2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2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2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2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2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2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2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2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2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2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2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2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2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2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2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2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2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2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2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2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2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2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2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2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2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2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2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2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2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2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2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2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2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2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2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2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2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2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2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2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2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2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2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2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2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2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2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2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2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2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2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2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2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2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2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2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2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2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2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2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2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2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2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2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2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2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2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2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2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2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2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2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2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2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2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2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2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2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2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2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2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2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2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2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2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2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2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2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2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2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2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2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2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2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2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2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2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2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2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2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2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2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2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2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2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2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2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2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2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2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2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2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2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2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2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2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2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2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2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2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2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2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2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2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2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2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2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2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2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2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2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2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2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2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2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2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2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2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2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2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2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2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2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2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2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2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2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2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2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2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2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2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2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2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2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2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2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2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2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2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2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2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2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2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2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2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2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2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2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2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2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2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2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2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2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2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2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2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2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2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2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2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2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2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2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2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2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2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2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2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2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2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2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2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2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2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2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2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2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2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2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2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2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2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2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2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2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2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2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2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2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2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2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2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2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2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2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2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2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2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2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2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2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2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2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2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2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2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2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2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2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2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2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2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2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2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2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2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2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2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2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2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2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2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2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2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2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2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2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2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2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2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2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2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2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2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2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2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2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2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2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2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2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2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2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2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2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2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2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2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2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2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2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2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2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2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2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2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2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2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2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2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2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2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2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2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2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2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2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2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2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2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2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2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2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2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2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2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2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2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2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2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2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2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2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2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2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2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2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2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2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2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2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2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2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2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2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2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2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2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2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2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2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2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2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2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2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2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2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2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2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2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2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2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2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2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2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2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2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2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2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2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2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2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2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2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2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2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2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2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2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2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2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2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2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2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2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2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2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2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2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2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2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2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2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2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2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2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2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2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2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2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2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2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2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2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2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2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2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2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2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2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2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2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2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2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2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2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2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2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2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2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2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2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2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2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2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2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2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2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2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2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2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2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2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2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2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2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2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2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2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2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2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2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2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2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2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2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2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2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2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2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2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2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2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2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2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2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2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2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2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2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2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2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2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2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2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2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2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2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2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2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2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2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2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2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2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2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2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2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2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2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2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2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2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2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2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2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2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2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2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2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2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2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2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2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2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2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2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2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2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2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2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2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2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2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2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2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2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2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2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2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2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2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2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2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2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2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2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2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2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2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2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2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2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2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2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2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2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2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2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2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2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2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2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2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2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2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2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2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2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2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2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2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2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2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2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2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2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2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2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2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2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2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2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2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2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2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2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2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2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2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2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2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2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2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2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2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2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2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2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2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2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2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2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2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2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2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2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2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2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2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2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2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2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2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2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2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2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2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2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2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2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2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2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2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2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2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2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2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2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2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2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2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2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2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2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2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2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2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2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2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2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2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2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2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2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2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2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2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2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2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2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2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2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2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2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2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2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2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2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2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2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2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2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2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2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2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2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2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2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2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2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2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2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2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2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2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2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2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2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2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2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2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2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2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2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2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2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2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2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2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2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2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2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2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2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2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2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2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2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2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2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2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2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2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2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2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2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2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2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2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2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2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2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2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2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2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2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2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2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2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2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2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2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2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2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2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2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2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2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2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2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2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2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2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2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2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2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2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2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2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2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2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2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2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2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2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2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2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2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2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2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2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2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2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2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2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2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2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2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2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2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2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2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2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2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2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2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2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2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2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2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2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2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2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2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2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2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2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2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2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2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2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2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2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2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2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2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2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2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2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2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2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2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2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2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2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2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2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2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2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2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2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2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2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2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2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2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2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2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2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2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2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2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2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2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2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2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2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2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2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2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2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2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2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2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2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2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2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2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2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2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2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2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2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2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2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2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2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2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2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2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2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2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2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2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2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2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2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2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2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2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2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2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2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2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2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2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2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2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2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2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2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2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2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2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2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2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2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2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2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2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2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2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2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2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2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2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2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2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2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2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2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2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2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2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2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2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2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2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2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2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2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2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2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2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2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2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2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2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2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2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2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2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2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2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2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2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2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2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2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2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2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2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2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2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2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2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2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2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2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2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2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2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2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2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2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2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2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2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2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2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2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2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2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2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2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2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2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2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2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2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2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2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2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2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2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2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2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2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2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2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2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2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2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2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2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2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2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2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2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2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2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2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2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2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2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2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2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2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2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2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2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2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2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2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2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2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2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2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2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2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2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2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2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2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2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2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2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2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2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2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2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2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2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2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2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2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2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2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2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2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2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2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2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2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2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2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2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2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2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2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2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2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2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2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2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2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2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2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2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2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2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2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2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2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2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2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2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2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2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2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2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2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2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2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2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2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2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2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2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2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2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2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2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2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2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2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2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2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2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2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2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2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2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2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2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2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2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2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2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2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2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2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2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2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2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2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2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2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2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2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2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2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2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2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2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2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2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2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2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2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2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2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2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2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2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2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2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2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2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2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2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2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2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2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2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2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2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2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2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2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2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2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2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2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2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2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2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2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2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2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2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2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2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2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2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2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2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2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2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2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2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2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2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2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2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2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2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2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2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2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2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2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2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2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2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2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2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2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2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2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2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2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2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2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2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2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2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2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2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2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2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2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2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2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2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2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2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2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2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2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2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2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2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2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2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2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2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2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2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2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2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2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2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2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2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2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2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2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2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2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2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2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2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2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2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2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2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2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2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2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2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2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2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2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2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2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2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2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2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2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2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2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2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2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2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2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2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2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2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2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2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2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2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2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2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2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2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2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2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2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2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2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2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2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2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2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2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2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2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2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2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2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2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2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2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2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2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2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2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2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2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2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2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2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2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2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2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2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2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2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2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2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2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2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2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2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2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2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2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2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2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2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2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2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2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2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2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2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2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2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2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2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2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2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2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2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2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2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2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2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2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2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2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2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2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2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2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2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2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2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2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2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2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2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2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2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2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2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2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2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2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2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2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2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2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2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2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2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2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2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2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2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2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2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2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2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2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2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2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2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2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2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2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2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2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2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2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2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2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2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2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2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2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2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2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2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2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2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2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2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2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2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2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2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2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2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2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2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2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2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2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2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2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2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2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2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2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2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2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2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2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2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2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2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2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2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2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2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2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2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2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2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2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2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2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2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2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2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2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2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2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2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2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2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2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2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2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2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2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2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2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2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2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2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2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2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2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2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2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2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2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2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2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2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2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2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2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2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2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2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2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2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2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2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2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2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2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2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2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2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2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2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2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2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2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2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2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2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2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2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2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2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2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2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2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2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2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2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2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2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2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2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2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2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2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2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2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2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2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2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2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2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2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2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2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2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2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2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2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2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2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2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2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2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2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2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2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2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2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2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2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2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2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2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2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2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2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2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2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2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2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2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2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2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2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2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2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2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2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2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2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2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2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2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2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2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2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2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2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2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2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2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2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2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2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2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2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2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2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2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2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2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2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2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2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2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2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2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2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2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2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2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2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2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2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2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2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2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2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2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2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2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2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2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2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2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2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2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2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2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2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2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2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2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2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2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2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2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2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2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2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2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2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2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2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2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2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2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2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2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2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2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2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2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2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2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2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2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2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2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2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2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2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2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2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2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2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2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2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2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2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2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2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2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2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2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2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2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2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2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2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2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2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2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2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2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2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2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2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2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2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2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2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2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2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2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2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2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2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2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2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2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2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2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2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2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2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2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2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2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2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2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2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2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2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2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2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2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2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2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2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2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2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2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2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2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2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2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2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2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2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2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2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2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2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2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2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2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2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2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2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2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2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2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2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2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2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2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2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2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2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2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2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2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2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2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2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2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2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2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2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2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2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2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2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2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2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2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2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2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2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2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2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2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2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2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2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2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2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2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2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2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2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2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2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2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2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2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2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2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2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2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2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2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2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2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2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2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2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2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2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2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2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2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2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2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2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2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2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2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2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2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2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2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2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2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2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2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2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2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2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2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2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2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2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2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2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2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2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2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2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2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2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2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2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2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2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2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2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2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2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2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2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2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2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2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2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2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2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2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2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2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2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2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2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2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2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2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2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2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2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2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2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2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2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2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2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2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2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2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2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2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2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2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2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2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2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2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2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2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2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2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2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2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2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2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2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2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2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2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2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2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2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2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2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2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2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2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2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2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2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2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2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2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2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2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2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2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2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2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2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2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2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2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2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2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2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2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2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2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2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2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2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2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2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2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2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2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2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2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2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2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2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2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2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2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2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2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2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2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2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2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2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2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2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2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2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2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2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2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2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2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2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2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2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2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2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2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2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2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2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2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2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2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2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2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2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2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2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2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2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2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2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2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2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2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2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2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2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2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2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2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2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2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2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2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2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2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2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2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2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2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2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2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2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2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2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2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2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2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2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2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2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2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2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2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2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2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2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2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2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2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2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2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2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2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2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2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2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2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2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2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2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2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2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2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2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2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2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2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2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2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2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2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2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2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2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2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2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2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2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2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2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2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2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2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2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2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2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2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2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2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2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2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2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2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2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2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2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2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2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2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2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2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2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2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2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2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2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2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2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2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2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2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2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2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2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2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2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2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2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2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2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2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2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2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2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2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2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2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2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2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2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2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2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2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2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2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2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2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2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2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2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2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2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2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2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2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2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2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2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2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2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2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2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2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2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2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2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2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2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2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2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2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2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2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2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2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2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2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2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2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2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2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2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2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2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2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2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2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2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2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2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2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2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2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2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2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2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2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2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2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2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2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2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2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2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2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2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2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2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2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2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2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2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2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2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2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2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2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2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2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2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2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2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2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2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2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2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2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2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2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2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2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2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2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2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2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2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2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2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2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2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2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2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2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2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2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2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2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2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2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2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2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2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2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2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2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2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2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2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2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2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2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2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2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2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2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2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2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2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2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2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2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2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2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2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2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2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2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2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2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2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2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2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2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2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2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2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2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2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2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2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2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2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2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2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2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2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2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2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2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2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2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2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2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2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2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2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2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2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2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2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2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2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2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2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2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2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2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2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2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2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2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2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2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2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2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2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2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2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2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2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2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2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2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2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2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2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2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2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2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2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2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2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2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2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2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2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2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2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2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2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2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2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2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2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2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2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2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2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2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2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2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2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2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2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2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2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2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2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2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2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2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2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2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2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2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2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2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2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2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2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2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2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2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2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2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2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2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2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2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2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2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2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2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2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2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2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2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2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2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2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2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2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2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2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2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2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2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2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2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2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2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2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2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2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2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2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2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2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2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2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2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2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2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2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2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2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2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2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2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2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2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2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2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2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2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2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2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2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2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2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2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2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2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2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2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2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2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2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2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2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2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2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2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2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2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2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2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2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2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2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2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2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2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2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2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2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2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2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2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2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2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2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2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2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2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2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2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2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2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2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2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2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2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2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2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2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2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2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2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2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2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2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2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2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2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2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2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2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2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2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2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2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2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2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2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2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2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2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2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2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2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2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2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2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2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2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2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2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2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2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2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2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2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2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2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2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2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2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2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2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2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2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2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2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2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2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2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2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2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2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2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2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2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2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2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2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2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2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2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2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2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2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2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2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2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2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2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2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2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2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2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2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2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2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2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2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2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2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2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2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2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2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2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2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2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2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2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2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2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2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2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2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2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2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2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2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2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2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2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2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2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2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2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2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2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2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2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2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2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2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2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2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2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2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2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2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2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2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2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2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2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2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2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2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2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2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2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2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2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2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2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2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2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2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2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2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2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2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2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2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2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2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2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2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2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2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2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2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2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2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2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2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2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2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2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2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2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2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2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2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2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2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2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2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2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2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2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2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2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2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2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2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2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2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2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2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2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2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2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2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2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2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2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2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2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2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2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2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2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2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2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2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2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2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2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2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2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2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2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2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2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2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2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2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2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2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2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2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2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2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2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2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2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2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2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2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2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2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2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2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2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2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2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2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2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2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2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2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2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2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2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2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2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2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2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2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2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2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2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2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2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2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2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2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2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2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2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2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2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2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2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2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2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2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2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2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2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2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2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2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2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2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2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2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2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2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2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2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2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2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2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2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2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2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20"/>
  <sheetViews>
    <sheetView showGridLines="0" topLeftCell="F3" zoomScaleNormal="100" workbookViewId="0">
      <selection activeCell="L5" sqref="L5:M22"/>
    </sheetView>
  </sheetViews>
  <sheetFormatPr defaultRowHeight="14.25" x14ac:dyDescent="0.2"/>
  <cols>
    <col min="1" max="1" width="13.75" bestFit="1" customWidth="1"/>
    <col min="2" max="2" width="1.875" customWidth="1"/>
    <col min="3" max="3" width="13.125" bestFit="1" customWidth="1"/>
    <col min="4" max="4" width="16.125" bestFit="1" customWidth="1"/>
    <col min="5" max="5" width="14.625" customWidth="1"/>
    <col min="6" max="6" width="11.25" customWidth="1"/>
    <col min="7" max="7" width="11.375" customWidth="1"/>
    <col min="8" max="8" width="1.875" customWidth="1"/>
    <col min="9" max="9" width="13.125" bestFit="1" customWidth="1"/>
    <col min="10" max="10" width="12.625" bestFit="1" customWidth="1"/>
    <col min="11" max="11" width="1.875" customWidth="1"/>
    <col min="12" max="12" width="9.875" bestFit="1" customWidth="1"/>
    <col min="13" max="13" width="12.125" bestFit="1" customWidth="1"/>
    <col min="14" max="14" width="1.625" customWidth="1"/>
    <col min="15" max="15" width="20.625" bestFit="1" customWidth="1"/>
    <col min="17" max="17" width="2.25" customWidth="1"/>
    <col min="18" max="18" width="13.125" bestFit="1" customWidth="1"/>
    <col min="19" max="19" width="23.5" bestFit="1" customWidth="1"/>
    <col min="20" max="20" width="2" customWidth="1"/>
    <col min="21" max="21" width="17.125" customWidth="1"/>
    <col min="22" max="22" width="13.75" bestFit="1" customWidth="1"/>
    <col min="23" max="23" width="1.75" customWidth="1"/>
    <col min="25" max="25" width="12.125" bestFit="1" customWidth="1"/>
    <col min="26" max="26" width="1.875" customWidth="1"/>
    <col min="27" max="27" width="13.625" customWidth="1"/>
    <col min="28" max="28" width="12.375" bestFit="1" customWidth="1"/>
    <col min="29" max="29" width="2.25" customWidth="1"/>
    <col min="30" max="30" width="13.125" customWidth="1"/>
    <col min="31" max="31" width="13.75" bestFit="1" customWidth="1"/>
  </cols>
  <sheetData>
    <row r="1" spans="1:31" ht="15.75" x14ac:dyDescent="0.25">
      <c r="O1" s="3" t="s">
        <v>1</v>
      </c>
      <c r="P1" s="3" t="s">
        <v>10</v>
      </c>
    </row>
    <row r="2" spans="1:31" x14ac:dyDescent="0.2">
      <c r="O2" t="s">
        <v>11</v>
      </c>
      <c r="P2">
        <v>2021</v>
      </c>
    </row>
    <row r="3" spans="1:31" ht="15.75" x14ac:dyDescent="0.25">
      <c r="A3" s="8" t="s">
        <v>2715</v>
      </c>
      <c r="O3" t="s">
        <v>16</v>
      </c>
      <c r="P3">
        <v>2021</v>
      </c>
    </row>
    <row r="4" spans="1:31" ht="15.75" x14ac:dyDescent="0.25">
      <c r="A4" t="s">
        <v>2710</v>
      </c>
      <c r="C4" s="8" t="s">
        <v>2712</v>
      </c>
      <c r="I4" s="8" t="s">
        <v>2717</v>
      </c>
      <c r="O4" t="s">
        <v>24</v>
      </c>
      <c r="P4">
        <v>2021</v>
      </c>
    </row>
    <row r="5" spans="1:31" ht="15.75" x14ac:dyDescent="0.25">
      <c r="A5" s="6">
        <v>1928887.8599999624</v>
      </c>
      <c r="C5" s="2" t="s">
        <v>2711</v>
      </c>
      <c r="D5" s="2" t="s">
        <v>2723</v>
      </c>
      <c r="I5" s="2" t="s">
        <v>2713</v>
      </c>
      <c r="J5" t="s">
        <v>2710</v>
      </c>
      <c r="L5" s="3" t="s">
        <v>3</v>
      </c>
      <c r="M5" s="3" t="s">
        <v>6</v>
      </c>
      <c r="O5" t="s">
        <v>28</v>
      </c>
      <c r="P5">
        <v>2021</v>
      </c>
      <c r="R5" s="8" t="s">
        <v>2718</v>
      </c>
      <c r="U5" s="8" t="s">
        <v>2720</v>
      </c>
      <c r="AA5" s="8" t="s">
        <v>2721</v>
      </c>
      <c r="AD5" s="8" t="s">
        <v>2722</v>
      </c>
    </row>
    <row r="6" spans="1:31" ht="15.75" x14ac:dyDescent="0.25">
      <c r="C6" s="2" t="s">
        <v>2713</v>
      </c>
      <c r="D6" t="s">
        <v>36</v>
      </c>
      <c r="E6" t="s">
        <v>13</v>
      </c>
      <c r="F6" t="s">
        <v>41</v>
      </c>
      <c r="G6" t="s">
        <v>2714</v>
      </c>
      <c r="I6" s="4" t="s">
        <v>42</v>
      </c>
      <c r="J6" s="6">
        <v>279464.4200000001</v>
      </c>
      <c r="L6" t="str">
        <f>I6</f>
        <v>Phones</v>
      </c>
      <c r="M6" s="7">
        <f>GETPIVOTDATA("Sales",$I$5,"Sub-Category",L6)</f>
        <v>279464.4200000001</v>
      </c>
      <c r="O6" t="s">
        <v>31</v>
      </c>
      <c r="P6">
        <v>2021</v>
      </c>
      <c r="R6" s="2" t="s">
        <v>2713</v>
      </c>
      <c r="S6" t="s">
        <v>2719</v>
      </c>
      <c r="U6" s="2" t="s">
        <v>2713</v>
      </c>
      <c r="V6" t="s">
        <v>2710</v>
      </c>
      <c r="X6" s="3" t="s">
        <v>2</v>
      </c>
      <c r="Y6" s="3" t="s">
        <v>6</v>
      </c>
      <c r="AA6" s="2" t="s">
        <v>2713</v>
      </c>
      <c r="AB6" t="s">
        <v>2711</v>
      </c>
      <c r="AD6" s="2" t="s">
        <v>2713</v>
      </c>
      <c r="AE6" t="s">
        <v>2710</v>
      </c>
    </row>
    <row r="7" spans="1:31" ht="15.75" x14ac:dyDescent="0.25">
      <c r="A7" s="8" t="s">
        <v>2716</v>
      </c>
      <c r="C7" s="4">
        <v>2021</v>
      </c>
      <c r="D7" s="6">
        <v>5469.7699999999977</v>
      </c>
      <c r="E7" s="6">
        <v>22593.399999999965</v>
      </c>
      <c r="F7" s="6">
        <v>21492.950000000008</v>
      </c>
      <c r="G7" s="6">
        <v>49556.119999999966</v>
      </c>
      <c r="I7" s="4" t="s">
        <v>37</v>
      </c>
      <c r="J7" s="6">
        <v>277058.98000000045</v>
      </c>
      <c r="L7" t="str">
        <f t="shared" ref="L7:L22" si="0">I7</f>
        <v>Chairs</v>
      </c>
      <c r="M7" s="7">
        <f>GETPIVOTDATA("Sales",$I$5,"Sub-Category",L7)</f>
        <v>277058.98000000045</v>
      </c>
      <c r="O7" t="s">
        <v>34</v>
      </c>
      <c r="P7">
        <v>2021</v>
      </c>
      <c r="R7" s="4">
        <v>2021</v>
      </c>
      <c r="S7" s="1">
        <v>595</v>
      </c>
      <c r="U7" s="4" t="s">
        <v>490</v>
      </c>
      <c r="V7" s="6">
        <v>18299.32</v>
      </c>
      <c r="X7" t="str">
        <f>U7</f>
        <v>Alabama</v>
      </c>
      <c r="Y7" s="7">
        <f>GETPIVOTDATA("Sales",$U$6,"State",X7)</f>
        <v>18299.32</v>
      </c>
      <c r="AA7" s="4" t="s">
        <v>1578</v>
      </c>
      <c r="AB7" s="6">
        <v>8981.32</v>
      </c>
      <c r="AD7" s="4" t="s">
        <v>2698</v>
      </c>
      <c r="AE7" s="6">
        <v>94924.87</v>
      </c>
    </row>
    <row r="8" spans="1:31" x14ac:dyDescent="0.2">
      <c r="A8" t="s">
        <v>2711</v>
      </c>
      <c r="C8" s="4">
        <v>2022</v>
      </c>
      <c r="D8" s="6">
        <v>3015.170000000001</v>
      </c>
      <c r="E8" s="6">
        <v>25099.55000000001</v>
      </c>
      <c r="F8" s="6">
        <v>33503.970000000016</v>
      </c>
      <c r="G8" s="6">
        <v>61618.690000000031</v>
      </c>
      <c r="I8" s="4" t="s">
        <v>20</v>
      </c>
      <c r="J8" s="6">
        <v>190679.61000000019</v>
      </c>
      <c r="L8" t="str">
        <f t="shared" si="0"/>
        <v>Storage</v>
      </c>
      <c r="M8" s="7">
        <f>GETPIVOTDATA("Sales",$I$5,"Sub-Category",L8)</f>
        <v>190679.61000000019</v>
      </c>
      <c r="O8" t="s">
        <v>48</v>
      </c>
      <c r="P8">
        <v>2021</v>
      </c>
      <c r="R8" s="4">
        <v>2022</v>
      </c>
      <c r="S8" s="1">
        <v>573</v>
      </c>
      <c r="U8" s="4" t="s">
        <v>97</v>
      </c>
      <c r="V8" s="6">
        <v>28978.850000000006</v>
      </c>
      <c r="X8" t="str">
        <f t="shared" ref="X8:X55" si="1">U8</f>
        <v>Arizona</v>
      </c>
      <c r="Y8" s="7">
        <f t="shared" ref="Y8:Y55" si="2">GETPIVOTDATA("Sales",$U$6,"State",X8)</f>
        <v>28978.850000000006</v>
      </c>
      <c r="AA8" s="4" t="s">
        <v>2476</v>
      </c>
      <c r="AB8" s="6">
        <v>6939.17</v>
      </c>
      <c r="AD8" s="4" t="s">
        <v>2699</v>
      </c>
      <c r="AE8" s="6">
        <v>59640.160000000018</v>
      </c>
    </row>
    <row r="9" spans="1:31" x14ac:dyDescent="0.2">
      <c r="A9" s="6">
        <v>247961.07000000036</v>
      </c>
      <c r="C9" s="4">
        <v>2023</v>
      </c>
      <c r="D9" s="6">
        <v>6959.9299999999967</v>
      </c>
      <c r="E9" s="6">
        <v>35052.909999999989</v>
      </c>
      <c r="F9" s="6">
        <v>39774.099999999984</v>
      </c>
      <c r="G9" s="6">
        <v>81786.939999999973</v>
      </c>
      <c r="I9" s="4" t="s">
        <v>22</v>
      </c>
      <c r="J9" s="6">
        <v>169089.72999999995</v>
      </c>
      <c r="L9" t="str">
        <f t="shared" si="0"/>
        <v>Binders</v>
      </c>
      <c r="M9" s="7">
        <f>GETPIVOTDATA("Sales",$I$5,"Sub-Category",L9)</f>
        <v>169089.72999999995</v>
      </c>
      <c r="O9" t="s">
        <v>52</v>
      </c>
      <c r="P9">
        <v>2021</v>
      </c>
      <c r="R9" s="4">
        <v>2023</v>
      </c>
      <c r="S9" s="1">
        <v>638</v>
      </c>
      <c r="U9" s="4" t="s">
        <v>103</v>
      </c>
      <c r="V9" s="6">
        <v>9177.42</v>
      </c>
      <c r="X9" t="str">
        <f t="shared" si="1"/>
        <v>Arkansas</v>
      </c>
      <c r="Y9" s="7">
        <f t="shared" si="2"/>
        <v>9177.42</v>
      </c>
      <c r="AA9" s="4" t="s">
        <v>195</v>
      </c>
      <c r="AB9" s="6">
        <v>5757.42</v>
      </c>
      <c r="AD9" s="4" t="s">
        <v>2700</v>
      </c>
      <c r="AE9" s="6">
        <v>205005.51000000036</v>
      </c>
    </row>
    <row r="10" spans="1:31" x14ac:dyDescent="0.2">
      <c r="C10" s="4">
        <v>2024</v>
      </c>
      <c r="D10" s="6">
        <v>2443.7999999999993</v>
      </c>
      <c r="E10" s="6">
        <v>25464.809999999976</v>
      </c>
      <c r="F10" s="6">
        <v>27090.710000000028</v>
      </c>
      <c r="G10" s="6">
        <v>54999.320000000007</v>
      </c>
      <c r="I10" s="4" t="s">
        <v>147</v>
      </c>
      <c r="J10" s="6">
        <v>167672.76</v>
      </c>
      <c r="L10" t="str">
        <f t="shared" si="0"/>
        <v>Tables</v>
      </c>
      <c r="M10" s="7">
        <f>GETPIVOTDATA("Sales",$I$5,"Sub-Category",L10)</f>
        <v>167672.76</v>
      </c>
      <c r="O10" t="s">
        <v>56</v>
      </c>
      <c r="P10">
        <v>2021</v>
      </c>
      <c r="R10" s="4">
        <v>2024</v>
      </c>
      <c r="S10" s="1">
        <v>513</v>
      </c>
      <c r="U10" s="4" t="s">
        <v>29</v>
      </c>
      <c r="V10" s="6">
        <v>390145.54000000079</v>
      </c>
      <c r="X10" t="str">
        <f t="shared" si="1"/>
        <v>California</v>
      </c>
      <c r="Y10" s="7">
        <f t="shared" si="2"/>
        <v>390145.54000000079</v>
      </c>
      <c r="AA10" s="4" t="s">
        <v>1819</v>
      </c>
      <c r="AB10" s="6">
        <v>5202.84</v>
      </c>
      <c r="AD10" s="4" t="s">
        <v>2701</v>
      </c>
      <c r="AE10" s="6">
        <v>137480.78999999989</v>
      </c>
    </row>
    <row r="11" spans="1:31" x14ac:dyDescent="0.2">
      <c r="A11" s="7">
        <f>GETPIVOTDATA("Sales",$A$4)</f>
        <v>1928887.8599999624</v>
      </c>
      <c r="C11" s="4" t="s">
        <v>2714</v>
      </c>
      <c r="D11" s="5">
        <v>17888.669999999995</v>
      </c>
      <c r="E11" s="5">
        <v>108210.66999999993</v>
      </c>
      <c r="F11" s="5">
        <v>121861.73000000004</v>
      </c>
      <c r="G11" s="5">
        <v>247961.06999999998</v>
      </c>
      <c r="I11" s="4" t="s">
        <v>304</v>
      </c>
      <c r="J11" s="6">
        <v>166777.78000000003</v>
      </c>
      <c r="L11" t="str">
        <f t="shared" si="0"/>
        <v>Machines</v>
      </c>
      <c r="M11" s="7">
        <f>GETPIVOTDATA("Sales",$I$5,"Sub-Category",L11)</f>
        <v>166777.78000000003</v>
      </c>
      <c r="O11" t="s">
        <v>60</v>
      </c>
      <c r="P11">
        <v>2021</v>
      </c>
      <c r="R11" s="4" t="s">
        <v>2714</v>
      </c>
      <c r="S11" s="1">
        <v>2319</v>
      </c>
      <c r="U11" s="4" t="s">
        <v>280</v>
      </c>
      <c r="V11" s="6">
        <v>27113.920000000002</v>
      </c>
      <c r="X11" t="str">
        <f t="shared" si="1"/>
        <v>Colorado</v>
      </c>
      <c r="Y11" s="7">
        <f t="shared" si="2"/>
        <v>27113.920000000002</v>
      </c>
      <c r="AA11" s="4" t="s">
        <v>1950</v>
      </c>
      <c r="AB11" s="6">
        <v>3883.0899999999997</v>
      </c>
      <c r="AD11" s="4" t="s">
        <v>2702</v>
      </c>
      <c r="AE11" s="6">
        <v>155028.82999999993</v>
      </c>
    </row>
    <row r="12" spans="1:31" x14ac:dyDescent="0.2">
      <c r="I12" s="4" t="s">
        <v>54</v>
      </c>
      <c r="J12" s="6">
        <v>139241.71000000002</v>
      </c>
      <c r="L12" t="str">
        <f t="shared" si="0"/>
        <v>Accessories</v>
      </c>
      <c r="M12" s="7">
        <f>GETPIVOTDATA("Sales",$I$5,"Sub-Category",L12)</f>
        <v>139241.71000000002</v>
      </c>
      <c r="O12" t="s">
        <v>63</v>
      </c>
      <c r="P12">
        <v>2021</v>
      </c>
      <c r="U12" s="4" t="s">
        <v>615</v>
      </c>
      <c r="V12" s="6">
        <v>11471.419999999998</v>
      </c>
      <c r="X12" t="str">
        <f t="shared" si="1"/>
        <v>Connecticut</v>
      </c>
      <c r="Y12" s="7">
        <f t="shared" si="2"/>
        <v>11471.419999999998</v>
      </c>
      <c r="AA12" s="4" t="s">
        <v>2714</v>
      </c>
      <c r="AB12" s="6">
        <v>30763.84</v>
      </c>
      <c r="AD12" s="4" t="s">
        <v>2703</v>
      </c>
      <c r="AE12" s="6">
        <v>152718.72000000006</v>
      </c>
    </row>
    <row r="13" spans="1:31" x14ac:dyDescent="0.2">
      <c r="I13" s="4" t="s">
        <v>605</v>
      </c>
      <c r="J13" s="6">
        <v>118968.23999999999</v>
      </c>
      <c r="L13" t="str">
        <f t="shared" si="0"/>
        <v>Copiers</v>
      </c>
      <c r="M13" s="7">
        <f>GETPIVOTDATA("Sales",$I$5,"Sub-Category",L13)</f>
        <v>118968.23999999999</v>
      </c>
      <c r="O13" t="s">
        <v>71</v>
      </c>
      <c r="P13">
        <v>2021</v>
      </c>
      <c r="U13" s="4" t="s">
        <v>61</v>
      </c>
      <c r="V13" s="6">
        <v>16302.24</v>
      </c>
      <c r="X13" t="str">
        <f t="shared" si="1"/>
        <v>Delaware</v>
      </c>
      <c r="Y13" s="7">
        <f t="shared" si="2"/>
        <v>16302.24</v>
      </c>
      <c r="AD13" s="4" t="s">
        <v>2704</v>
      </c>
      <c r="AE13" s="6">
        <v>147238.11000000004</v>
      </c>
    </row>
    <row r="14" spans="1:31" x14ac:dyDescent="0.2">
      <c r="A14" s="7">
        <f>GETPIVOTDATA("Profit",$A$8)</f>
        <v>247961.07000000036</v>
      </c>
      <c r="I14" s="4" t="s">
        <v>76</v>
      </c>
      <c r="J14" s="6">
        <v>101387.67000000013</v>
      </c>
      <c r="L14" t="str">
        <f t="shared" si="0"/>
        <v>Bookcases</v>
      </c>
      <c r="M14" s="7">
        <f>GETPIVOTDATA("Sales",$I$5,"Sub-Category",L14)</f>
        <v>101387.67000000013</v>
      </c>
      <c r="O14" t="s">
        <v>74</v>
      </c>
      <c r="P14">
        <v>2021</v>
      </c>
      <c r="U14" s="4" t="s">
        <v>2046</v>
      </c>
      <c r="V14" s="6">
        <v>2865.0199999999995</v>
      </c>
      <c r="X14" t="str">
        <f t="shared" si="1"/>
        <v>District of Columbia</v>
      </c>
      <c r="Y14" s="7">
        <f t="shared" si="2"/>
        <v>2865.0199999999995</v>
      </c>
      <c r="AD14" s="4" t="s">
        <v>2705</v>
      </c>
      <c r="AE14" s="6">
        <v>159043.99000000008</v>
      </c>
    </row>
    <row r="15" spans="1:31" x14ac:dyDescent="0.2">
      <c r="I15" s="4" t="s">
        <v>94</v>
      </c>
      <c r="J15" s="6">
        <v>87846.099999999991</v>
      </c>
      <c r="L15" t="str">
        <f t="shared" si="0"/>
        <v>Appliances</v>
      </c>
      <c r="M15" s="7">
        <f>GETPIVOTDATA("Sales",$I$5,"Sub-Category",L15)</f>
        <v>87846.099999999991</v>
      </c>
      <c r="O15" t="s">
        <v>79</v>
      </c>
      <c r="P15">
        <v>2021</v>
      </c>
      <c r="U15" s="4" t="s">
        <v>125</v>
      </c>
      <c r="V15" s="6">
        <v>79303.609999999986</v>
      </c>
      <c r="X15" t="str">
        <f t="shared" si="1"/>
        <v>Florida</v>
      </c>
      <c r="Y15" s="7">
        <f t="shared" si="2"/>
        <v>79303.609999999986</v>
      </c>
      <c r="AD15" s="4" t="s">
        <v>2706</v>
      </c>
      <c r="AE15" s="6">
        <v>219783.30000000057</v>
      </c>
    </row>
    <row r="16" spans="1:31" x14ac:dyDescent="0.2">
      <c r="I16" s="4" t="s">
        <v>49</v>
      </c>
      <c r="J16" s="6">
        <v>76222.689999999944</v>
      </c>
      <c r="L16" t="str">
        <f t="shared" si="0"/>
        <v>Furnishings</v>
      </c>
      <c r="M16" s="7">
        <f>GETPIVOTDATA("Sales",$I$5,"Sub-Category",L16)</f>
        <v>76222.689999999944</v>
      </c>
      <c r="O16" t="s">
        <v>83</v>
      </c>
      <c r="P16">
        <v>2021</v>
      </c>
      <c r="U16" s="4" t="s">
        <v>32</v>
      </c>
      <c r="V16" s="6">
        <v>46346.2</v>
      </c>
      <c r="X16" t="str">
        <f t="shared" si="1"/>
        <v>Georgia</v>
      </c>
      <c r="Y16" s="7">
        <f t="shared" si="2"/>
        <v>46346.2</v>
      </c>
      <c r="AD16" s="4" t="s">
        <v>2707</v>
      </c>
      <c r="AE16" s="6">
        <v>122546.06999999989</v>
      </c>
    </row>
    <row r="17" spans="9:31" x14ac:dyDescent="0.2">
      <c r="I17" s="4" t="s">
        <v>14</v>
      </c>
      <c r="J17" s="6">
        <v>64529.990000000034</v>
      </c>
      <c r="L17" t="str">
        <f t="shared" si="0"/>
        <v>Paper</v>
      </c>
      <c r="M17" s="7">
        <f>GETPIVOTDATA("Sales",$I$5,"Sub-Category",L17)</f>
        <v>64529.990000000034</v>
      </c>
      <c r="O17" t="s">
        <v>85</v>
      </c>
      <c r="P17">
        <v>2021</v>
      </c>
      <c r="U17" s="4" t="s">
        <v>512</v>
      </c>
      <c r="V17" s="6">
        <v>3963.4700000000007</v>
      </c>
      <c r="X17" t="str">
        <f t="shared" si="1"/>
        <v>Idaho</v>
      </c>
      <c r="Y17" s="7">
        <f t="shared" si="2"/>
        <v>3963.4700000000007</v>
      </c>
      <c r="AD17" s="4" t="s">
        <v>2708</v>
      </c>
      <c r="AE17" s="6">
        <v>234013.28000000012</v>
      </c>
    </row>
    <row r="18" spans="9:31" x14ac:dyDescent="0.2">
      <c r="I18" s="4" t="s">
        <v>202</v>
      </c>
      <c r="J18" s="6">
        <v>38554.810000000027</v>
      </c>
      <c r="L18" t="str">
        <f t="shared" si="0"/>
        <v>Supplies</v>
      </c>
      <c r="M18" s="7">
        <f>GETPIVOTDATA("Sales",$I$5,"Sub-Category",L18)</f>
        <v>38554.810000000027</v>
      </c>
      <c r="O18" t="s">
        <v>87</v>
      </c>
      <c r="P18">
        <v>2021</v>
      </c>
      <c r="U18" s="4" t="s">
        <v>17</v>
      </c>
      <c r="V18" s="6">
        <v>68565.030000000072</v>
      </c>
      <c r="X18" t="str">
        <f t="shared" si="1"/>
        <v>Illinois</v>
      </c>
      <c r="Y18" s="7">
        <f t="shared" si="2"/>
        <v>68565.030000000072</v>
      </c>
      <c r="AD18" s="4" t="s">
        <v>2709</v>
      </c>
      <c r="AE18" s="6">
        <v>241464.23000000027</v>
      </c>
    </row>
    <row r="19" spans="9:31" x14ac:dyDescent="0.2">
      <c r="I19" s="4" t="s">
        <v>26</v>
      </c>
      <c r="J19" s="6">
        <v>23145.500000000011</v>
      </c>
      <c r="L19" t="str">
        <f t="shared" si="0"/>
        <v>Art</v>
      </c>
      <c r="M19" s="7">
        <f>GETPIVOTDATA("Sales",$I$5,"Sub-Category",L19)</f>
        <v>23145.500000000011</v>
      </c>
      <c r="O19" t="s">
        <v>92</v>
      </c>
      <c r="P19">
        <v>2021</v>
      </c>
      <c r="U19" s="4" t="s">
        <v>131</v>
      </c>
      <c r="V19" s="6">
        <v>47809.549999999996</v>
      </c>
      <c r="X19" t="str">
        <f t="shared" si="1"/>
        <v>Indiana</v>
      </c>
      <c r="Y19" s="7">
        <f t="shared" si="2"/>
        <v>47809.549999999996</v>
      </c>
      <c r="AD19" s="4" t="s">
        <v>2714</v>
      </c>
      <c r="AE19" s="6">
        <v>1928887.860000001</v>
      </c>
    </row>
    <row r="20" spans="9:31" x14ac:dyDescent="0.2">
      <c r="I20" s="4" t="s">
        <v>65</v>
      </c>
      <c r="J20" s="6">
        <v>14717.39</v>
      </c>
      <c r="L20" t="str">
        <f t="shared" si="0"/>
        <v>Envelopes</v>
      </c>
      <c r="M20" s="7">
        <f>GETPIVOTDATA("Sales",$I$5,"Sub-Category",L20)</f>
        <v>14717.39</v>
      </c>
      <c r="O20" t="s">
        <v>96</v>
      </c>
      <c r="P20">
        <v>2021</v>
      </c>
      <c r="U20" s="4" t="s">
        <v>397</v>
      </c>
      <c r="V20" s="6">
        <v>4476.41</v>
      </c>
      <c r="X20" t="str">
        <f t="shared" si="1"/>
        <v>Iowa</v>
      </c>
      <c r="Y20" s="7">
        <f t="shared" si="2"/>
        <v>4476.41</v>
      </c>
    </row>
    <row r="21" spans="9:31" x14ac:dyDescent="0.2">
      <c r="I21" s="4" t="s">
        <v>18</v>
      </c>
      <c r="J21" s="6">
        <v>11045.550000000012</v>
      </c>
      <c r="L21" t="str">
        <f t="shared" si="0"/>
        <v>Labels</v>
      </c>
      <c r="M21" s="7">
        <f>GETPIVOTDATA("Sales",$I$5,"Sub-Category",L21)</f>
        <v>11045.550000000012</v>
      </c>
      <c r="O21" t="s">
        <v>102</v>
      </c>
      <c r="P21">
        <v>2021</v>
      </c>
      <c r="U21" s="4" t="s">
        <v>1285</v>
      </c>
      <c r="V21" s="6">
        <v>2835.0000000000005</v>
      </c>
      <c r="X21" t="str">
        <f t="shared" si="1"/>
        <v>Kansas</v>
      </c>
      <c r="Y21" s="7">
        <f t="shared" si="2"/>
        <v>2835.0000000000005</v>
      </c>
    </row>
    <row r="22" spans="9:31" x14ac:dyDescent="0.2">
      <c r="I22" s="4" t="s">
        <v>45</v>
      </c>
      <c r="J22" s="6">
        <v>2484.9300000000003</v>
      </c>
      <c r="L22" t="str">
        <f t="shared" si="0"/>
        <v>Fasteners</v>
      </c>
      <c r="M22" s="7">
        <f>GETPIVOTDATA("Sales",$I$5,"Sub-Category",L22)</f>
        <v>2484.9300000000003</v>
      </c>
      <c r="O22" t="s">
        <v>109</v>
      </c>
      <c r="P22">
        <v>2021</v>
      </c>
      <c r="U22" s="4" t="s">
        <v>35</v>
      </c>
      <c r="V22" s="6">
        <v>23650.589999999982</v>
      </c>
      <c r="X22" t="str">
        <f t="shared" si="1"/>
        <v>Kentucky</v>
      </c>
      <c r="Y22" s="7">
        <f t="shared" si="2"/>
        <v>23650.589999999982</v>
      </c>
    </row>
    <row r="23" spans="9:31" x14ac:dyDescent="0.2">
      <c r="I23" s="4" t="s">
        <v>2714</v>
      </c>
      <c r="J23" s="6">
        <v>1928887.8600000008</v>
      </c>
      <c r="M23" s="5"/>
      <c r="O23" t="s">
        <v>111</v>
      </c>
      <c r="P23">
        <v>2021</v>
      </c>
      <c r="U23" s="4" t="s">
        <v>64</v>
      </c>
      <c r="V23" s="6">
        <v>5297.05</v>
      </c>
      <c r="X23" t="str">
        <f t="shared" si="1"/>
        <v>Louisiana</v>
      </c>
      <c r="Y23" s="7">
        <f t="shared" si="2"/>
        <v>5297.05</v>
      </c>
    </row>
    <row r="24" spans="9:31" x14ac:dyDescent="0.2">
      <c r="O24" t="s">
        <v>121</v>
      </c>
      <c r="P24">
        <v>2021</v>
      </c>
      <c r="U24" s="4" t="s">
        <v>1063</v>
      </c>
      <c r="V24" s="6">
        <v>1270.5300000000002</v>
      </c>
      <c r="X24" t="str">
        <f t="shared" si="1"/>
        <v>Maine</v>
      </c>
      <c r="Y24" s="7">
        <f t="shared" si="2"/>
        <v>1270.5300000000002</v>
      </c>
    </row>
    <row r="25" spans="9:31" x14ac:dyDescent="0.2">
      <c r="O25" t="s">
        <v>124</v>
      </c>
      <c r="P25">
        <v>2021</v>
      </c>
      <c r="U25" s="4" t="s">
        <v>533</v>
      </c>
      <c r="V25" s="6">
        <v>18580.899999999998</v>
      </c>
      <c r="X25" t="str">
        <f t="shared" si="1"/>
        <v>Maryland</v>
      </c>
      <c r="Y25" s="7">
        <f t="shared" si="2"/>
        <v>18580.899999999998</v>
      </c>
    </row>
    <row r="26" spans="9:31" x14ac:dyDescent="0.2">
      <c r="O26" t="s">
        <v>127</v>
      </c>
      <c r="P26">
        <v>2021</v>
      </c>
      <c r="U26" s="4" t="s">
        <v>436</v>
      </c>
      <c r="V26" s="6">
        <v>23040.059999999998</v>
      </c>
      <c r="X26" t="str">
        <f t="shared" si="1"/>
        <v>Massachusetts</v>
      </c>
      <c r="Y26" s="7">
        <f t="shared" si="2"/>
        <v>23040.059999999998</v>
      </c>
    </row>
    <row r="27" spans="9:31" x14ac:dyDescent="0.2">
      <c r="O27" t="s">
        <v>130</v>
      </c>
      <c r="P27">
        <v>2021</v>
      </c>
      <c r="U27" s="4" t="s">
        <v>112</v>
      </c>
      <c r="V27" s="6">
        <v>66559.090000000011</v>
      </c>
      <c r="X27" t="str">
        <f t="shared" si="1"/>
        <v>Michigan</v>
      </c>
      <c r="Y27" s="7">
        <f t="shared" si="2"/>
        <v>66559.090000000011</v>
      </c>
    </row>
    <row r="28" spans="9:31" x14ac:dyDescent="0.2">
      <c r="O28" t="s">
        <v>133</v>
      </c>
      <c r="P28">
        <v>2021</v>
      </c>
      <c r="U28" s="4" t="s">
        <v>317</v>
      </c>
      <c r="V28" s="6">
        <v>25069.119999999992</v>
      </c>
      <c r="X28" t="str">
        <f t="shared" si="1"/>
        <v>Minnesota</v>
      </c>
      <c r="Y28" s="7">
        <f t="shared" si="2"/>
        <v>25069.119999999992</v>
      </c>
    </row>
    <row r="29" spans="9:31" x14ac:dyDescent="0.2">
      <c r="O29" t="s">
        <v>141</v>
      </c>
      <c r="P29">
        <v>2021</v>
      </c>
      <c r="U29" s="4" t="s">
        <v>331</v>
      </c>
      <c r="V29" s="6">
        <v>9528.4400000000023</v>
      </c>
      <c r="X29" t="str">
        <f t="shared" si="1"/>
        <v>Mississippi</v>
      </c>
      <c r="Y29" s="7">
        <f t="shared" si="2"/>
        <v>9528.4400000000023</v>
      </c>
    </row>
    <row r="30" spans="9:31" x14ac:dyDescent="0.2">
      <c r="O30" t="s">
        <v>145</v>
      </c>
      <c r="P30">
        <v>2021</v>
      </c>
      <c r="U30" s="4" t="s">
        <v>188</v>
      </c>
      <c r="V30" s="6">
        <v>18470.039999999997</v>
      </c>
      <c r="X30" t="str">
        <f t="shared" si="1"/>
        <v>Missouri</v>
      </c>
      <c r="Y30" s="7">
        <f t="shared" si="2"/>
        <v>18470.039999999997</v>
      </c>
    </row>
    <row r="31" spans="9:31" x14ac:dyDescent="0.2">
      <c r="O31" t="s">
        <v>150</v>
      </c>
      <c r="P31">
        <v>2021</v>
      </c>
      <c r="U31" s="4" t="s">
        <v>517</v>
      </c>
      <c r="V31" s="6">
        <v>5549.4500000000007</v>
      </c>
      <c r="X31" t="str">
        <f t="shared" si="1"/>
        <v>Montana</v>
      </c>
      <c r="Y31" s="7">
        <f t="shared" si="2"/>
        <v>5549.4500000000007</v>
      </c>
    </row>
    <row r="32" spans="9:31" x14ac:dyDescent="0.2">
      <c r="O32" t="s">
        <v>153</v>
      </c>
      <c r="P32">
        <v>2021</v>
      </c>
      <c r="U32" s="4" t="s">
        <v>998</v>
      </c>
      <c r="V32" s="6">
        <v>4063.0600000000004</v>
      </c>
      <c r="X32" t="str">
        <f t="shared" si="1"/>
        <v>Nebraska</v>
      </c>
      <c r="Y32" s="7">
        <f t="shared" si="2"/>
        <v>4063.0600000000004</v>
      </c>
    </row>
    <row r="33" spans="15:25" x14ac:dyDescent="0.2">
      <c r="O33" t="s">
        <v>156</v>
      </c>
      <c r="P33">
        <v>2021</v>
      </c>
      <c r="U33" s="4" t="s">
        <v>128</v>
      </c>
      <c r="V33" s="6">
        <v>15059.500000000002</v>
      </c>
      <c r="X33" t="str">
        <f t="shared" si="1"/>
        <v>Nevada</v>
      </c>
      <c r="Y33" s="7">
        <f t="shared" si="2"/>
        <v>15059.500000000002</v>
      </c>
    </row>
    <row r="34" spans="15:25" x14ac:dyDescent="0.2">
      <c r="O34" t="s">
        <v>158</v>
      </c>
      <c r="P34">
        <v>2021</v>
      </c>
      <c r="U34" s="4" t="s">
        <v>687</v>
      </c>
      <c r="V34" s="6">
        <v>7210.3</v>
      </c>
      <c r="X34" t="str">
        <f t="shared" si="1"/>
        <v>New Hampshire</v>
      </c>
      <c r="Y34" s="7">
        <f t="shared" si="2"/>
        <v>7210.3</v>
      </c>
    </row>
    <row r="35" spans="15:25" x14ac:dyDescent="0.2">
      <c r="O35" t="s">
        <v>161</v>
      </c>
      <c r="P35">
        <v>2021</v>
      </c>
      <c r="U35" s="4" t="s">
        <v>179</v>
      </c>
      <c r="V35" s="6">
        <v>29833.009999999995</v>
      </c>
      <c r="X35" t="str">
        <f t="shared" si="1"/>
        <v>New Jersey</v>
      </c>
      <c r="Y35" s="7">
        <f t="shared" si="2"/>
        <v>29833.009999999995</v>
      </c>
    </row>
    <row r="36" spans="15:25" x14ac:dyDescent="0.2">
      <c r="O36" t="s">
        <v>163</v>
      </c>
      <c r="P36">
        <v>2021</v>
      </c>
      <c r="U36" s="4" t="s">
        <v>401</v>
      </c>
      <c r="V36" s="6">
        <v>3519.2000000000003</v>
      </c>
      <c r="X36" t="str">
        <f t="shared" si="1"/>
        <v>New Mexico</v>
      </c>
      <c r="Y36" s="7">
        <f t="shared" si="2"/>
        <v>3519.2000000000003</v>
      </c>
    </row>
    <row r="37" spans="15:25" x14ac:dyDescent="0.2">
      <c r="O37" t="s">
        <v>169</v>
      </c>
      <c r="P37">
        <v>2021</v>
      </c>
      <c r="U37" s="4" t="s">
        <v>151</v>
      </c>
      <c r="V37" s="6">
        <v>246517.74000000046</v>
      </c>
      <c r="X37" t="str">
        <f t="shared" si="1"/>
        <v>New York</v>
      </c>
      <c r="Y37" s="7">
        <f t="shared" si="2"/>
        <v>246517.74000000046</v>
      </c>
    </row>
    <row r="38" spans="15:25" x14ac:dyDescent="0.2">
      <c r="O38" t="s">
        <v>172</v>
      </c>
      <c r="P38">
        <v>2021</v>
      </c>
      <c r="U38" s="4" t="s">
        <v>247</v>
      </c>
      <c r="V38" s="6">
        <v>37450.26999999999</v>
      </c>
      <c r="X38" t="str">
        <f t="shared" si="1"/>
        <v>North Carolina</v>
      </c>
      <c r="Y38" s="7">
        <f t="shared" si="2"/>
        <v>37450.26999999999</v>
      </c>
    </row>
    <row r="39" spans="15:25" x14ac:dyDescent="0.2">
      <c r="O39" t="s">
        <v>173</v>
      </c>
      <c r="P39">
        <v>2021</v>
      </c>
      <c r="U39" s="4" t="s">
        <v>2677</v>
      </c>
      <c r="V39" s="6">
        <v>891.53</v>
      </c>
      <c r="X39" t="str">
        <f t="shared" si="1"/>
        <v>North Dakota</v>
      </c>
      <c r="Y39" s="7">
        <f t="shared" si="2"/>
        <v>891.53</v>
      </c>
    </row>
    <row r="40" spans="15:25" x14ac:dyDescent="0.2">
      <c r="O40" t="s">
        <v>178</v>
      </c>
      <c r="P40">
        <v>2021</v>
      </c>
      <c r="U40" s="4" t="s">
        <v>80</v>
      </c>
      <c r="V40" s="6">
        <v>66407.170000000027</v>
      </c>
      <c r="X40" t="str">
        <f t="shared" si="1"/>
        <v>Ohio</v>
      </c>
      <c r="Y40" s="7">
        <f t="shared" si="2"/>
        <v>66407.170000000027</v>
      </c>
    </row>
    <row r="41" spans="15:25" x14ac:dyDescent="0.2">
      <c r="O41" t="s">
        <v>182</v>
      </c>
      <c r="P41">
        <v>2021</v>
      </c>
      <c r="U41" s="4" t="s">
        <v>842</v>
      </c>
      <c r="V41" s="6">
        <v>17021.929999999997</v>
      </c>
      <c r="X41" t="str">
        <f t="shared" si="1"/>
        <v>Oklahoma</v>
      </c>
      <c r="Y41" s="7">
        <f t="shared" si="2"/>
        <v>17021.929999999997</v>
      </c>
    </row>
    <row r="42" spans="15:25" x14ac:dyDescent="0.2">
      <c r="O42" t="s">
        <v>184</v>
      </c>
      <c r="P42">
        <v>2021</v>
      </c>
      <c r="U42" s="4" t="s">
        <v>93</v>
      </c>
      <c r="V42" s="6">
        <v>15189.980000000009</v>
      </c>
      <c r="X42" t="str">
        <f t="shared" si="1"/>
        <v>Oregon</v>
      </c>
      <c r="Y42" s="7">
        <f t="shared" si="2"/>
        <v>15189.980000000009</v>
      </c>
    </row>
    <row r="43" spans="15:25" x14ac:dyDescent="0.2">
      <c r="O43" t="s">
        <v>187</v>
      </c>
      <c r="P43">
        <v>2021</v>
      </c>
      <c r="U43" s="4" t="s">
        <v>25</v>
      </c>
      <c r="V43" s="6">
        <v>95494.859999999986</v>
      </c>
      <c r="X43" t="str">
        <f t="shared" si="1"/>
        <v>Pennsylvania</v>
      </c>
      <c r="Y43" s="7">
        <f t="shared" si="2"/>
        <v>95494.859999999986</v>
      </c>
    </row>
    <row r="44" spans="15:25" x14ac:dyDescent="0.2">
      <c r="O44" t="s">
        <v>195</v>
      </c>
      <c r="P44">
        <v>2021</v>
      </c>
      <c r="U44" s="4" t="s">
        <v>1531</v>
      </c>
      <c r="V44" s="6">
        <v>19695.419999999998</v>
      </c>
      <c r="X44" t="str">
        <f t="shared" si="1"/>
        <v>Rhode Island</v>
      </c>
      <c r="Y44" s="7">
        <f t="shared" si="2"/>
        <v>19695.419999999998</v>
      </c>
    </row>
    <row r="45" spans="15:25" x14ac:dyDescent="0.2">
      <c r="O45" t="s">
        <v>197</v>
      </c>
      <c r="P45">
        <v>2021</v>
      </c>
      <c r="U45" s="4" t="s">
        <v>72</v>
      </c>
      <c r="V45" s="6">
        <v>7350.869999999999</v>
      </c>
      <c r="X45" t="str">
        <f t="shared" si="1"/>
        <v>South Carolina</v>
      </c>
      <c r="Y45" s="7">
        <f t="shared" si="2"/>
        <v>7350.869999999999</v>
      </c>
    </row>
    <row r="46" spans="15:25" x14ac:dyDescent="0.2">
      <c r="O46" t="s">
        <v>199</v>
      </c>
      <c r="P46">
        <v>2021</v>
      </c>
      <c r="U46" s="4" t="s">
        <v>142</v>
      </c>
      <c r="V46" s="6">
        <v>1290.06</v>
      </c>
      <c r="X46" t="str">
        <f t="shared" si="1"/>
        <v>South Dakota</v>
      </c>
      <c r="Y46" s="7">
        <f t="shared" si="2"/>
        <v>1290.06</v>
      </c>
    </row>
    <row r="47" spans="15:25" x14ac:dyDescent="0.2">
      <c r="O47" t="s">
        <v>204</v>
      </c>
      <c r="P47">
        <v>2021</v>
      </c>
      <c r="U47" s="4" t="s">
        <v>122</v>
      </c>
      <c r="V47" s="6">
        <v>21227.569999999996</v>
      </c>
      <c r="X47" t="str">
        <f t="shared" si="1"/>
        <v>Tennessee</v>
      </c>
      <c r="Y47" s="7">
        <f t="shared" si="2"/>
        <v>21227.569999999996</v>
      </c>
    </row>
    <row r="48" spans="15:25" x14ac:dyDescent="0.2">
      <c r="O48" t="s">
        <v>206</v>
      </c>
      <c r="P48">
        <v>2021</v>
      </c>
      <c r="U48" s="4" t="s">
        <v>12</v>
      </c>
      <c r="V48" s="6">
        <v>151436.59999999998</v>
      </c>
      <c r="X48" t="str">
        <f t="shared" si="1"/>
        <v>Texas</v>
      </c>
      <c r="Y48" s="7">
        <f t="shared" si="2"/>
        <v>151436.59999999998</v>
      </c>
    </row>
    <row r="49" spans="15:25" x14ac:dyDescent="0.2">
      <c r="O49" t="s">
        <v>210</v>
      </c>
      <c r="P49">
        <v>2021</v>
      </c>
      <c r="U49" s="4" t="s">
        <v>298</v>
      </c>
      <c r="V49" s="6">
        <v>8960.06</v>
      </c>
      <c r="X49" t="str">
        <f t="shared" si="1"/>
        <v>Utah</v>
      </c>
      <c r="Y49" s="7">
        <f t="shared" si="2"/>
        <v>8960.06</v>
      </c>
    </row>
    <row r="50" spans="15:25" x14ac:dyDescent="0.2">
      <c r="O50" t="s">
        <v>212</v>
      </c>
      <c r="P50">
        <v>2021</v>
      </c>
      <c r="U50" s="4" t="s">
        <v>2324</v>
      </c>
      <c r="V50" s="6">
        <v>8724.34</v>
      </c>
      <c r="X50" t="str">
        <f t="shared" si="1"/>
        <v>Vermont</v>
      </c>
      <c r="Y50" s="7">
        <f t="shared" si="2"/>
        <v>8724.34</v>
      </c>
    </row>
    <row r="51" spans="15:25" x14ac:dyDescent="0.2">
      <c r="O51" t="s">
        <v>214</v>
      </c>
      <c r="P51">
        <v>2021</v>
      </c>
      <c r="U51" s="4" t="s">
        <v>57</v>
      </c>
      <c r="V51" s="6">
        <v>67825.950000000026</v>
      </c>
      <c r="X51" t="str">
        <f t="shared" si="1"/>
        <v>Virginia</v>
      </c>
      <c r="Y51" s="7">
        <f t="shared" si="2"/>
        <v>67825.950000000026</v>
      </c>
    </row>
    <row r="52" spans="15:25" x14ac:dyDescent="0.2">
      <c r="O52" t="s">
        <v>217</v>
      </c>
      <c r="P52">
        <v>2021</v>
      </c>
      <c r="U52" s="4" t="s">
        <v>166</v>
      </c>
      <c r="V52" s="6">
        <v>117661.47000000002</v>
      </c>
      <c r="X52" t="str">
        <f t="shared" si="1"/>
        <v>Washington</v>
      </c>
      <c r="Y52" s="7">
        <f t="shared" si="2"/>
        <v>117661.47000000002</v>
      </c>
    </row>
    <row r="53" spans="15:25" x14ac:dyDescent="0.2">
      <c r="O53" t="s">
        <v>219</v>
      </c>
      <c r="P53">
        <v>2021</v>
      </c>
      <c r="U53" s="4" t="s">
        <v>2689</v>
      </c>
      <c r="V53" s="6">
        <v>536.48</v>
      </c>
      <c r="X53" t="str">
        <f t="shared" si="1"/>
        <v>West Virginia</v>
      </c>
      <c r="Y53" s="7">
        <f t="shared" si="2"/>
        <v>536.48</v>
      </c>
    </row>
    <row r="54" spans="15:25" x14ac:dyDescent="0.2">
      <c r="O54" t="s">
        <v>220</v>
      </c>
      <c r="P54">
        <v>2021</v>
      </c>
      <c r="U54" s="4" t="s">
        <v>159</v>
      </c>
      <c r="V54" s="6">
        <v>29249.080000000009</v>
      </c>
      <c r="X54" t="str">
        <f t="shared" si="1"/>
        <v>Wisconsin</v>
      </c>
      <c r="Y54" s="7">
        <f t="shared" si="2"/>
        <v>29249.080000000009</v>
      </c>
    </row>
    <row r="55" spans="15:25" x14ac:dyDescent="0.2">
      <c r="O55" t="s">
        <v>222</v>
      </c>
      <c r="P55">
        <v>2021</v>
      </c>
      <c r="U55" s="4" t="s">
        <v>2622</v>
      </c>
      <c r="V55" s="6">
        <v>1603.14</v>
      </c>
      <c r="X55" t="str">
        <f t="shared" si="1"/>
        <v>Wyoming</v>
      </c>
      <c r="Y55" s="7">
        <f t="shared" si="2"/>
        <v>1603.14</v>
      </c>
    </row>
    <row r="56" spans="15:25" x14ac:dyDescent="0.2">
      <c r="O56" t="s">
        <v>225</v>
      </c>
      <c r="P56">
        <v>2021</v>
      </c>
      <c r="U56" s="4" t="s">
        <v>2714</v>
      </c>
      <c r="V56" s="6">
        <v>1928887.8600000013</v>
      </c>
    </row>
    <row r="57" spans="15:25" x14ac:dyDescent="0.2">
      <c r="O57" t="s">
        <v>227</v>
      </c>
      <c r="P57">
        <v>2021</v>
      </c>
    </row>
    <row r="58" spans="15:25" x14ac:dyDescent="0.2">
      <c r="O58" t="s">
        <v>229</v>
      </c>
      <c r="P58">
        <v>2021</v>
      </c>
    </row>
    <row r="59" spans="15:25" x14ac:dyDescent="0.2">
      <c r="O59" t="s">
        <v>230</v>
      </c>
      <c r="P59">
        <v>2021</v>
      </c>
    </row>
    <row r="60" spans="15:25" x14ac:dyDescent="0.2">
      <c r="O60" t="s">
        <v>232</v>
      </c>
      <c r="P60">
        <v>2021</v>
      </c>
    </row>
    <row r="61" spans="15:25" x14ac:dyDescent="0.2">
      <c r="O61" t="s">
        <v>235</v>
      </c>
      <c r="P61">
        <v>2021</v>
      </c>
    </row>
    <row r="62" spans="15:25" x14ac:dyDescent="0.2">
      <c r="O62" t="s">
        <v>239</v>
      </c>
      <c r="P62">
        <v>2021</v>
      </c>
    </row>
    <row r="63" spans="15:25" x14ac:dyDescent="0.2">
      <c r="O63" t="s">
        <v>241</v>
      </c>
      <c r="P63">
        <v>2021</v>
      </c>
    </row>
    <row r="64" spans="15:25" x14ac:dyDescent="0.2">
      <c r="O64" t="s">
        <v>243</v>
      </c>
      <c r="P64">
        <v>2021</v>
      </c>
    </row>
    <row r="65" spans="15:16" x14ac:dyDescent="0.2">
      <c r="O65" t="s">
        <v>246</v>
      </c>
      <c r="P65">
        <v>2021</v>
      </c>
    </row>
    <row r="66" spans="15:16" x14ac:dyDescent="0.2">
      <c r="O66" t="s">
        <v>248</v>
      </c>
      <c r="P66">
        <v>2021</v>
      </c>
    </row>
    <row r="67" spans="15:16" x14ac:dyDescent="0.2">
      <c r="O67" t="s">
        <v>251</v>
      </c>
      <c r="P67">
        <v>2021</v>
      </c>
    </row>
    <row r="68" spans="15:16" x14ac:dyDescent="0.2">
      <c r="O68" t="s">
        <v>254</v>
      </c>
      <c r="P68">
        <v>2021</v>
      </c>
    </row>
    <row r="69" spans="15:16" x14ac:dyDescent="0.2">
      <c r="O69" t="s">
        <v>256</v>
      </c>
      <c r="P69">
        <v>2021</v>
      </c>
    </row>
    <row r="70" spans="15:16" x14ac:dyDescent="0.2">
      <c r="O70" t="s">
        <v>258</v>
      </c>
      <c r="P70">
        <v>2021</v>
      </c>
    </row>
    <row r="71" spans="15:16" x14ac:dyDescent="0.2">
      <c r="O71" t="s">
        <v>261</v>
      </c>
      <c r="P71">
        <v>2021</v>
      </c>
    </row>
    <row r="72" spans="15:16" x14ac:dyDescent="0.2">
      <c r="O72" t="s">
        <v>270</v>
      </c>
      <c r="P72">
        <v>2021</v>
      </c>
    </row>
    <row r="73" spans="15:16" x14ac:dyDescent="0.2">
      <c r="O73" t="s">
        <v>272</v>
      </c>
      <c r="P73">
        <v>2021</v>
      </c>
    </row>
    <row r="74" spans="15:16" x14ac:dyDescent="0.2">
      <c r="O74" t="s">
        <v>277</v>
      </c>
      <c r="P74">
        <v>2021</v>
      </c>
    </row>
    <row r="75" spans="15:16" x14ac:dyDescent="0.2">
      <c r="O75" t="s">
        <v>279</v>
      </c>
      <c r="P75">
        <v>2021</v>
      </c>
    </row>
    <row r="76" spans="15:16" x14ac:dyDescent="0.2">
      <c r="O76" t="s">
        <v>282</v>
      </c>
      <c r="P76">
        <v>2021</v>
      </c>
    </row>
    <row r="77" spans="15:16" x14ac:dyDescent="0.2">
      <c r="O77" t="s">
        <v>285</v>
      </c>
      <c r="P77">
        <v>2021</v>
      </c>
    </row>
    <row r="78" spans="15:16" x14ac:dyDescent="0.2">
      <c r="O78" t="s">
        <v>287</v>
      </c>
      <c r="P78">
        <v>2021</v>
      </c>
    </row>
    <row r="79" spans="15:16" x14ac:dyDescent="0.2">
      <c r="O79" t="s">
        <v>291</v>
      </c>
      <c r="P79">
        <v>2021</v>
      </c>
    </row>
    <row r="80" spans="15:16" x14ac:dyDescent="0.2">
      <c r="O80" t="s">
        <v>293</v>
      </c>
      <c r="P80">
        <v>2021</v>
      </c>
    </row>
    <row r="81" spans="15:16" x14ac:dyDescent="0.2">
      <c r="O81" t="s">
        <v>295</v>
      </c>
      <c r="P81">
        <v>2021</v>
      </c>
    </row>
    <row r="82" spans="15:16" x14ac:dyDescent="0.2">
      <c r="O82" t="s">
        <v>297</v>
      </c>
      <c r="P82">
        <v>2021</v>
      </c>
    </row>
    <row r="83" spans="15:16" x14ac:dyDescent="0.2">
      <c r="O83" t="s">
        <v>303</v>
      </c>
      <c r="P83">
        <v>2021</v>
      </c>
    </row>
    <row r="84" spans="15:16" x14ac:dyDescent="0.2">
      <c r="O84" t="s">
        <v>307</v>
      </c>
      <c r="P84">
        <v>2021</v>
      </c>
    </row>
    <row r="85" spans="15:16" x14ac:dyDescent="0.2">
      <c r="O85" t="s">
        <v>309</v>
      </c>
      <c r="P85">
        <v>2021</v>
      </c>
    </row>
    <row r="86" spans="15:16" x14ac:dyDescent="0.2">
      <c r="O86" t="s">
        <v>316</v>
      </c>
      <c r="P86">
        <v>2021</v>
      </c>
    </row>
    <row r="87" spans="15:16" x14ac:dyDescent="0.2">
      <c r="O87" t="s">
        <v>321</v>
      </c>
      <c r="P87">
        <v>2021</v>
      </c>
    </row>
    <row r="88" spans="15:16" x14ac:dyDescent="0.2">
      <c r="O88" t="s">
        <v>327</v>
      </c>
      <c r="P88">
        <v>2021</v>
      </c>
    </row>
    <row r="89" spans="15:16" x14ac:dyDescent="0.2">
      <c r="O89" t="s">
        <v>336</v>
      </c>
      <c r="P89">
        <v>2021</v>
      </c>
    </row>
    <row r="90" spans="15:16" x14ac:dyDescent="0.2">
      <c r="O90" t="s">
        <v>338</v>
      </c>
      <c r="P90">
        <v>2021</v>
      </c>
    </row>
    <row r="91" spans="15:16" x14ac:dyDescent="0.2">
      <c r="O91" t="s">
        <v>343</v>
      </c>
      <c r="P91">
        <v>2021</v>
      </c>
    </row>
    <row r="92" spans="15:16" x14ac:dyDescent="0.2">
      <c r="O92" t="s">
        <v>345</v>
      </c>
      <c r="P92">
        <v>2021</v>
      </c>
    </row>
    <row r="93" spans="15:16" x14ac:dyDescent="0.2">
      <c r="O93" t="s">
        <v>348</v>
      </c>
      <c r="P93">
        <v>2021</v>
      </c>
    </row>
    <row r="94" spans="15:16" x14ac:dyDescent="0.2">
      <c r="O94" t="s">
        <v>354</v>
      </c>
      <c r="P94">
        <v>2021</v>
      </c>
    </row>
    <row r="95" spans="15:16" x14ac:dyDescent="0.2">
      <c r="O95" t="s">
        <v>357</v>
      </c>
      <c r="P95">
        <v>2021</v>
      </c>
    </row>
    <row r="96" spans="15:16" x14ac:dyDescent="0.2">
      <c r="O96" t="s">
        <v>359</v>
      </c>
      <c r="P96">
        <v>2021</v>
      </c>
    </row>
    <row r="97" spans="15:16" x14ac:dyDescent="0.2">
      <c r="O97" t="s">
        <v>365</v>
      </c>
      <c r="P97">
        <v>2021</v>
      </c>
    </row>
    <row r="98" spans="15:16" x14ac:dyDescent="0.2">
      <c r="O98" t="s">
        <v>368</v>
      </c>
      <c r="P98">
        <v>2021</v>
      </c>
    </row>
    <row r="99" spans="15:16" x14ac:dyDescent="0.2">
      <c r="O99" t="s">
        <v>371</v>
      </c>
      <c r="P99">
        <v>2021</v>
      </c>
    </row>
    <row r="100" spans="15:16" x14ac:dyDescent="0.2">
      <c r="O100" t="s">
        <v>374</v>
      </c>
      <c r="P100">
        <v>2021</v>
      </c>
    </row>
    <row r="101" spans="15:16" x14ac:dyDescent="0.2">
      <c r="O101" t="s">
        <v>375</v>
      </c>
      <c r="P101">
        <v>2021</v>
      </c>
    </row>
    <row r="102" spans="15:16" x14ac:dyDescent="0.2">
      <c r="O102" t="s">
        <v>378</v>
      </c>
      <c r="P102">
        <v>2021</v>
      </c>
    </row>
    <row r="103" spans="15:16" x14ac:dyDescent="0.2">
      <c r="O103" t="s">
        <v>380</v>
      </c>
      <c r="P103">
        <v>2021</v>
      </c>
    </row>
    <row r="104" spans="15:16" x14ac:dyDescent="0.2">
      <c r="O104" t="s">
        <v>382</v>
      </c>
      <c r="P104">
        <v>2021</v>
      </c>
    </row>
    <row r="105" spans="15:16" x14ac:dyDescent="0.2">
      <c r="O105" t="s">
        <v>385</v>
      </c>
      <c r="P105">
        <v>2021</v>
      </c>
    </row>
    <row r="106" spans="15:16" x14ac:dyDescent="0.2">
      <c r="O106" t="s">
        <v>389</v>
      </c>
      <c r="P106">
        <v>2021</v>
      </c>
    </row>
    <row r="107" spans="15:16" x14ac:dyDescent="0.2">
      <c r="O107" t="s">
        <v>391</v>
      </c>
      <c r="P107">
        <v>2021</v>
      </c>
    </row>
    <row r="108" spans="15:16" x14ac:dyDescent="0.2">
      <c r="O108" t="s">
        <v>394</v>
      </c>
      <c r="P108">
        <v>2021</v>
      </c>
    </row>
    <row r="109" spans="15:16" x14ac:dyDescent="0.2">
      <c r="O109" t="s">
        <v>396</v>
      </c>
      <c r="P109">
        <v>2021</v>
      </c>
    </row>
    <row r="110" spans="15:16" x14ac:dyDescent="0.2">
      <c r="O110" t="s">
        <v>400</v>
      </c>
      <c r="P110">
        <v>2021</v>
      </c>
    </row>
    <row r="111" spans="15:16" x14ac:dyDescent="0.2">
      <c r="O111" t="s">
        <v>403</v>
      </c>
      <c r="P111">
        <v>2021</v>
      </c>
    </row>
    <row r="112" spans="15:16" x14ac:dyDescent="0.2">
      <c r="O112" t="s">
        <v>405</v>
      </c>
      <c r="P112">
        <v>2021</v>
      </c>
    </row>
    <row r="113" spans="15:16" x14ac:dyDescent="0.2">
      <c r="O113" t="s">
        <v>407</v>
      </c>
      <c r="P113">
        <v>2021</v>
      </c>
    </row>
    <row r="114" spans="15:16" x14ac:dyDescent="0.2">
      <c r="O114" t="s">
        <v>409</v>
      </c>
      <c r="P114">
        <v>2021</v>
      </c>
    </row>
    <row r="115" spans="15:16" x14ac:dyDescent="0.2">
      <c r="O115" t="s">
        <v>412</v>
      </c>
      <c r="P115">
        <v>2021</v>
      </c>
    </row>
    <row r="116" spans="15:16" x14ac:dyDescent="0.2">
      <c r="O116" t="s">
        <v>415</v>
      </c>
      <c r="P116">
        <v>2021</v>
      </c>
    </row>
    <row r="117" spans="15:16" x14ac:dyDescent="0.2">
      <c r="O117" t="s">
        <v>419</v>
      </c>
      <c r="P117">
        <v>2021</v>
      </c>
    </row>
    <row r="118" spans="15:16" x14ac:dyDescent="0.2">
      <c r="O118" t="s">
        <v>421</v>
      </c>
      <c r="P118">
        <v>2021</v>
      </c>
    </row>
    <row r="119" spans="15:16" x14ac:dyDescent="0.2">
      <c r="O119" t="s">
        <v>424</v>
      </c>
      <c r="P119">
        <v>2021</v>
      </c>
    </row>
    <row r="120" spans="15:16" x14ac:dyDescent="0.2">
      <c r="O120" t="s">
        <v>426</v>
      </c>
      <c r="P120">
        <v>2021</v>
      </c>
    </row>
    <row r="121" spans="15:16" x14ac:dyDescent="0.2">
      <c r="O121" t="s">
        <v>429</v>
      </c>
      <c r="P121">
        <v>2021</v>
      </c>
    </row>
    <row r="122" spans="15:16" x14ac:dyDescent="0.2">
      <c r="O122" t="s">
        <v>431</v>
      </c>
      <c r="P122">
        <v>2021</v>
      </c>
    </row>
    <row r="123" spans="15:16" x14ac:dyDescent="0.2">
      <c r="O123" t="s">
        <v>435</v>
      </c>
      <c r="P123">
        <v>2021</v>
      </c>
    </row>
    <row r="124" spans="15:16" x14ac:dyDescent="0.2">
      <c r="O124" t="s">
        <v>439</v>
      </c>
      <c r="P124">
        <v>2021</v>
      </c>
    </row>
    <row r="125" spans="15:16" x14ac:dyDescent="0.2">
      <c r="O125" t="s">
        <v>445</v>
      </c>
      <c r="P125">
        <v>2021</v>
      </c>
    </row>
    <row r="126" spans="15:16" x14ac:dyDescent="0.2">
      <c r="O126" t="s">
        <v>447</v>
      </c>
      <c r="P126">
        <v>2021</v>
      </c>
    </row>
    <row r="127" spans="15:16" x14ac:dyDescent="0.2">
      <c r="O127" t="s">
        <v>448</v>
      </c>
      <c r="P127">
        <v>2021</v>
      </c>
    </row>
    <row r="128" spans="15:16" x14ac:dyDescent="0.2">
      <c r="O128" t="s">
        <v>452</v>
      </c>
      <c r="P128">
        <v>2021</v>
      </c>
    </row>
    <row r="129" spans="15:16" x14ac:dyDescent="0.2">
      <c r="O129" t="s">
        <v>454</v>
      </c>
      <c r="P129">
        <v>2021</v>
      </c>
    </row>
    <row r="130" spans="15:16" x14ac:dyDescent="0.2">
      <c r="O130" t="s">
        <v>458</v>
      </c>
      <c r="P130">
        <v>2021</v>
      </c>
    </row>
    <row r="131" spans="15:16" x14ac:dyDescent="0.2">
      <c r="O131" t="s">
        <v>460</v>
      </c>
      <c r="P131">
        <v>2021</v>
      </c>
    </row>
    <row r="132" spans="15:16" x14ac:dyDescent="0.2">
      <c r="O132" t="s">
        <v>464</v>
      </c>
      <c r="P132">
        <v>2021</v>
      </c>
    </row>
    <row r="133" spans="15:16" x14ac:dyDescent="0.2">
      <c r="O133" t="s">
        <v>467</v>
      </c>
      <c r="P133">
        <v>2021</v>
      </c>
    </row>
    <row r="134" spans="15:16" x14ac:dyDescent="0.2">
      <c r="O134" t="s">
        <v>470</v>
      </c>
      <c r="P134">
        <v>2021</v>
      </c>
    </row>
    <row r="135" spans="15:16" x14ac:dyDescent="0.2">
      <c r="O135" t="s">
        <v>472</v>
      </c>
      <c r="P135">
        <v>2021</v>
      </c>
    </row>
    <row r="136" spans="15:16" x14ac:dyDescent="0.2">
      <c r="O136" t="s">
        <v>477</v>
      </c>
      <c r="P136">
        <v>2021</v>
      </c>
    </row>
    <row r="137" spans="15:16" x14ac:dyDescent="0.2">
      <c r="O137" t="s">
        <v>480</v>
      </c>
      <c r="P137">
        <v>2021</v>
      </c>
    </row>
    <row r="138" spans="15:16" x14ac:dyDescent="0.2">
      <c r="O138" t="s">
        <v>485</v>
      </c>
      <c r="P138">
        <v>2021</v>
      </c>
    </row>
    <row r="139" spans="15:16" x14ac:dyDescent="0.2">
      <c r="O139" t="s">
        <v>489</v>
      </c>
      <c r="P139">
        <v>2021</v>
      </c>
    </row>
    <row r="140" spans="15:16" x14ac:dyDescent="0.2">
      <c r="O140" t="s">
        <v>492</v>
      </c>
      <c r="P140">
        <v>2021</v>
      </c>
    </row>
    <row r="141" spans="15:16" x14ac:dyDescent="0.2">
      <c r="O141" t="s">
        <v>494</v>
      </c>
      <c r="P141">
        <v>2021</v>
      </c>
    </row>
    <row r="142" spans="15:16" x14ac:dyDescent="0.2">
      <c r="O142" t="s">
        <v>497</v>
      </c>
      <c r="P142">
        <v>2021</v>
      </c>
    </row>
    <row r="143" spans="15:16" x14ac:dyDescent="0.2">
      <c r="O143" t="s">
        <v>500</v>
      </c>
      <c r="P143">
        <v>2021</v>
      </c>
    </row>
    <row r="144" spans="15:16" x14ac:dyDescent="0.2">
      <c r="O144" t="s">
        <v>502</v>
      </c>
      <c r="P144">
        <v>2021</v>
      </c>
    </row>
    <row r="145" spans="15:16" x14ac:dyDescent="0.2">
      <c r="O145" t="s">
        <v>505</v>
      </c>
      <c r="P145">
        <v>2021</v>
      </c>
    </row>
    <row r="146" spans="15:16" x14ac:dyDescent="0.2">
      <c r="O146" t="s">
        <v>507</v>
      </c>
      <c r="P146">
        <v>2021</v>
      </c>
    </row>
    <row r="147" spans="15:16" x14ac:dyDescent="0.2">
      <c r="O147" t="s">
        <v>511</v>
      </c>
      <c r="P147">
        <v>2021</v>
      </c>
    </row>
    <row r="148" spans="15:16" x14ac:dyDescent="0.2">
      <c r="O148" t="s">
        <v>514</v>
      </c>
      <c r="P148">
        <v>2021</v>
      </c>
    </row>
    <row r="149" spans="15:16" x14ac:dyDescent="0.2">
      <c r="O149" t="s">
        <v>516</v>
      </c>
      <c r="P149">
        <v>2021</v>
      </c>
    </row>
    <row r="150" spans="15:16" x14ac:dyDescent="0.2">
      <c r="O150" t="s">
        <v>521</v>
      </c>
      <c r="P150">
        <v>2021</v>
      </c>
    </row>
    <row r="151" spans="15:16" x14ac:dyDescent="0.2">
      <c r="O151" t="s">
        <v>525</v>
      </c>
      <c r="P151">
        <v>2021</v>
      </c>
    </row>
    <row r="152" spans="15:16" x14ac:dyDescent="0.2">
      <c r="O152" t="s">
        <v>527</v>
      </c>
      <c r="P152">
        <v>2021</v>
      </c>
    </row>
    <row r="153" spans="15:16" x14ac:dyDescent="0.2">
      <c r="O153" t="s">
        <v>532</v>
      </c>
      <c r="P153">
        <v>2021</v>
      </c>
    </row>
    <row r="154" spans="15:16" x14ac:dyDescent="0.2">
      <c r="O154" t="s">
        <v>535</v>
      </c>
      <c r="P154">
        <v>2021</v>
      </c>
    </row>
    <row r="155" spans="15:16" x14ac:dyDescent="0.2">
      <c r="O155" t="s">
        <v>538</v>
      </c>
      <c r="P155">
        <v>2021</v>
      </c>
    </row>
    <row r="156" spans="15:16" x14ac:dyDescent="0.2">
      <c r="O156" t="s">
        <v>539</v>
      </c>
      <c r="P156">
        <v>2021</v>
      </c>
    </row>
    <row r="157" spans="15:16" x14ac:dyDescent="0.2">
      <c r="O157" t="s">
        <v>547</v>
      </c>
      <c r="P157">
        <v>2021</v>
      </c>
    </row>
    <row r="158" spans="15:16" x14ac:dyDescent="0.2">
      <c r="O158" t="s">
        <v>549</v>
      </c>
      <c r="P158">
        <v>2021</v>
      </c>
    </row>
    <row r="159" spans="15:16" x14ac:dyDescent="0.2">
      <c r="O159" t="s">
        <v>554</v>
      </c>
      <c r="P159">
        <v>2021</v>
      </c>
    </row>
    <row r="160" spans="15:16" x14ac:dyDescent="0.2">
      <c r="O160" t="s">
        <v>556</v>
      </c>
      <c r="P160">
        <v>2021</v>
      </c>
    </row>
    <row r="161" spans="15:16" x14ac:dyDescent="0.2">
      <c r="O161" t="s">
        <v>558</v>
      </c>
      <c r="P161">
        <v>2021</v>
      </c>
    </row>
    <row r="162" spans="15:16" x14ac:dyDescent="0.2">
      <c r="O162" t="s">
        <v>560</v>
      </c>
      <c r="P162">
        <v>2021</v>
      </c>
    </row>
    <row r="163" spans="15:16" x14ac:dyDescent="0.2">
      <c r="O163" t="s">
        <v>562</v>
      </c>
      <c r="P163">
        <v>2021</v>
      </c>
    </row>
    <row r="164" spans="15:16" x14ac:dyDescent="0.2">
      <c r="O164" t="s">
        <v>564</v>
      </c>
      <c r="P164">
        <v>2021</v>
      </c>
    </row>
    <row r="165" spans="15:16" x14ac:dyDescent="0.2">
      <c r="O165" t="s">
        <v>566</v>
      </c>
      <c r="P165">
        <v>2021</v>
      </c>
    </row>
    <row r="166" spans="15:16" x14ac:dyDescent="0.2">
      <c r="O166" t="s">
        <v>569</v>
      </c>
      <c r="P166">
        <v>2021</v>
      </c>
    </row>
    <row r="167" spans="15:16" x14ac:dyDescent="0.2">
      <c r="O167" t="s">
        <v>571</v>
      </c>
      <c r="P167">
        <v>2021</v>
      </c>
    </row>
    <row r="168" spans="15:16" x14ac:dyDescent="0.2">
      <c r="O168" t="s">
        <v>575</v>
      </c>
      <c r="P168">
        <v>2021</v>
      </c>
    </row>
    <row r="169" spans="15:16" x14ac:dyDescent="0.2">
      <c r="O169" t="s">
        <v>578</v>
      </c>
      <c r="P169">
        <v>2021</v>
      </c>
    </row>
    <row r="170" spans="15:16" x14ac:dyDescent="0.2">
      <c r="O170" t="s">
        <v>580</v>
      </c>
      <c r="P170">
        <v>2021</v>
      </c>
    </row>
    <row r="171" spans="15:16" x14ac:dyDescent="0.2">
      <c r="O171" t="s">
        <v>585</v>
      </c>
      <c r="P171">
        <v>2021</v>
      </c>
    </row>
    <row r="172" spans="15:16" x14ac:dyDescent="0.2">
      <c r="O172" t="s">
        <v>589</v>
      </c>
      <c r="P172">
        <v>2021</v>
      </c>
    </row>
    <row r="173" spans="15:16" x14ac:dyDescent="0.2">
      <c r="O173" t="s">
        <v>591</v>
      </c>
      <c r="P173">
        <v>2021</v>
      </c>
    </row>
    <row r="174" spans="15:16" x14ac:dyDescent="0.2">
      <c r="O174" t="s">
        <v>592</v>
      </c>
      <c r="P174">
        <v>2021</v>
      </c>
    </row>
    <row r="175" spans="15:16" x14ac:dyDescent="0.2">
      <c r="O175" t="s">
        <v>594</v>
      </c>
      <c r="P175">
        <v>2021</v>
      </c>
    </row>
    <row r="176" spans="15:16" x14ac:dyDescent="0.2">
      <c r="O176" t="s">
        <v>595</v>
      </c>
      <c r="P176">
        <v>2021</v>
      </c>
    </row>
    <row r="177" spans="15:16" x14ac:dyDescent="0.2">
      <c r="O177" t="s">
        <v>598</v>
      </c>
      <c r="P177">
        <v>2021</v>
      </c>
    </row>
    <row r="178" spans="15:16" x14ac:dyDescent="0.2">
      <c r="O178" t="s">
        <v>601</v>
      </c>
      <c r="P178">
        <v>2021</v>
      </c>
    </row>
    <row r="179" spans="15:16" x14ac:dyDescent="0.2">
      <c r="O179" t="s">
        <v>603</v>
      </c>
      <c r="P179">
        <v>2021</v>
      </c>
    </row>
    <row r="180" spans="15:16" x14ac:dyDescent="0.2">
      <c r="O180" t="s">
        <v>604</v>
      </c>
      <c r="P180">
        <v>2021</v>
      </c>
    </row>
    <row r="181" spans="15:16" x14ac:dyDescent="0.2">
      <c r="O181" t="s">
        <v>607</v>
      </c>
      <c r="P181">
        <v>2021</v>
      </c>
    </row>
    <row r="182" spans="15:16" x14ac:dyDescent="0.2">
      <c r="O182" t="s">
        <v>609</v>
      </c>
      <c r="P182">
        <v>2021</v>
      </c>
    </row>
    <row r="183" spans="15:16" x14ac:dyDescent="0.2">
      <c r="O183" t="s">
        <v>612</v>
      </c>
      <c r="P183">
        <v>2021</v>
      </c>
    </row>
    <row r="184" spans="15:16" x14ac:dyDescent="0.2">
      <c r="O184" t="s">
        <v>614</v>
      </c>
      <c r="P184">
        <v>2021</v>
      </c>
    </row>
    <row r="185" spans="15:16" x14ac:dyDescent="0.2">
      <c r="O185" t="s">
        <v>617</v>
      </c>
      <c r="P185">
        <v>2021</v>
      </c>
    </row>
    <row r="186" spans="15:16" x14ac:dyDescent="0.2">
      <c r="O186" t="s">
        <v>620</v>
      </c>
      <c r="P186">
        <v>2021</v>
      </c>
    </row>
    <row r="187" spans="15:16" x14ac:dyDescent="0.2">
      <c r="O187" t="s">
        <v>624</v>
      </c>
      <c r="P187">
        <v>2021</v>
      </c>
    </row>
    <row r="188" spans="15:16" x14ac:dyDescent="0.2">
      <c r="O188" t="s">
        <v>626</v>
      </c>
      <c r="P188">
        <v>2021</v>
      </c>
    </row>
    <row r="189" spans="15:16" x14ac:dyDescent="0.2">
      <c r="O189" t="s">
        <v>628</v>
      </c>
      <c r="P189">
        <v>2021</v>
      </c>
    </row>
    <row r="190" spans="15:16" x14ac:dyDescent="0.2">
      <c r="O190" t="s">
        <v>630</v>
      </c>
      <c r="P190">
        <v>2021</v>
      </c>
    </row>
    <row r="191" spans="15:16" x14ac:dyDescent="0.2">
      <c r="O191" t="s">
        <v>632</v>
      </c>
      <c r="P191">
        <v>2021</v>
      </c>
    </row>
    <row r="192" spans="15:16" x14ac:dyDescent="0.2">
      <c r="O192" t="s">
        <v>637</v>
      </c>
      <c r="P192">
        <v>2021</v>
      </c>
    </row>
    <row r="193" spans="15:16" x14ac:dyDescent="0.2">
      <c r="O193" t="s">
        <v>639</v>
      </c>
      <c r="P193">
        <v>2021</v>
      </c>
    </row>
    <row r="194" spans="15:16" x14ac:dyDescent="0.2">
      <c r="O194" t="s">
        <v>645</v>
      </c>
      <c r="P194">
        <v>2021</v>
      </c>
    </row>
    <row r="195" spans="15:16" x14ac:dyDescent="0.2">
      <c r="O195" t="s">
        <v>648</v>
      </c>
      <c r="P195">
        <v>2021</v>
      </c>
    </row>
    <row r="196" spans="15:16" x14ac:dyDescent="0.2">
      <c r="O196" t="s">
        <v>653</v>
      </c>
      <c r="P196">
        <v>2021</v>
      </c>
    </row>
    <row r="197" spans="15:16" x14ac:dyDescent="0.2">
      <c r="O197" t="s">
        <v>657</v>
      </c>
      <c r="P197">
        <v>2021</v>
      </c>
    </row>
    <row r="198" spans="15:16" x14ac:dyDescent="0.2">
      <c r="O198" t="s">
        <v>659</v>
      </c>
      <c r="P198">
        <v>2021</v>
      </c>
    </row>
    <row r="199" spans="15:16" x14ac:dyDescent="0.2">
      <c r="O199" t="s">
        <v>661</v>
      </c>
      <c r="P199">
        <v>2021</v>
      </c>
    </row>
    <row r="200" spans="15:16" x14ac:dyDescent="0.2">
      <c r="O200" t="s">
        <v>663</v>
      </c>
      <c r="P200">
        <v>2021</v>
      </c>
    </row>
    <row r="201" spans="15:16" x14ac:dyDescent="0.2">
      <c r="O201" t="s">
        <v>666</v>
      </c>
      <c r="P201">
        <v>2021</v>
      </c>
    </row>
    <row r="202" spans="15:16" x14ac:dyDescent="0.2">
      <c r="O202" t="s">
        <v>667</v>
      </c>
      <c r="P202">
        <v>2021</v>
      </c>
    </row>
    <row r="203" spans="15:16" x14ac:dyDescent="0.2">
      <c r="O203" t="s">
        <v>669</v>
      </c>
      <c r="P203">
        <v>2021</v>
      </c>
    </row>
    <row r="204" spans="15:16" x14ac:dyDescent="0.2">
      <c r="O204" t="s">
        <v>671</v>
      </c>
      <c r="P204">
        <v>2021</v>
      </c>
    </row>
    <row r="205" spans="15:16" x14ac:dyDescent="0.2">
      <c r="O205" t="s">
        <v>673</v>
      </c>
      <c r="P205">
        <v>2021</v>
      </c>
    </row>
    <row r="206" spans="15:16" x14ac:dyDescent="0.2">
      <c r="O206" t="s">
        <v>674</v>
      </c>
      <c r="P206">
        <v>2021</v>
      </c>
    </row>
    <row r="207" spans="15:16" x14ac:dyDescent="0.2">
      <c r="O207" t="s">
        <v>676</v>
      </c>
      <c r="P207">
        <v>2021</v>
      </c>
    </row>
    <row r="208" spans="15:16" x14ac:dyDescent="0.2">
      <c r="O208" t="s">
        <v>677</v>
      </c>
      <c r="P208">
        <v>2021</v>
      </c>
    </row>
    <row r="209" spans="15:16" x14ac:dyDescent="0.2">
      <c r="O209" t="s">
        <v>679</v>
      </c>
      <c r="P209">
        <v>2021</v>
      </c>
    </row>
    <row r="210" spans="15:16" x14ac:dyDescent="0.2">
      <c r="O210" t="s">
        <v>682</v>
      </c>
      <c r="P210">
        <v>2021</v>
      </c>
    </row>
    <row r="211" spans="15:16" x14ac:dyDescent="0.2">
      <c r="O211" t="s">
        <v>683</v>
      </c>
      <c r="P211">
        <v>2021</v>
      </c>
    </row>
    <row r="212" spans="15:16" x14ac:dyDescent="0.2">
      <c r="O212" t="s">
        <v>685</v>
      </c>
      <c r="P212">
        <v>2021</v>
      </c>
    </row>
    <row r="213" spans="15:16" x14ac:dyDescent="0.2">
      <c r="O213" t="s">
        <v>686</v>
      </c>
      <c r="P213">
        <v>2021</v>
      </c>
    </row>
    <row r="214" spans="15:16" x14ac:dyDescent="0.2">
      <c r="O214" t="s">
        <v>691</v>
      </c>
      <c r="P214">
        <v>2021</v>
      </c>
    </row>
    <row r="215" spans="15:16" x14ac:dyDescent="0.2">
      <c r="O215" t="s">
        <v>694</v>
      </c>
      <c r="P215">
        <v>2021</v>
      </c>
    </row>
    <row r="216" spans="15:16" x14ac:dyDescent="0.2">
      <c r="O216" t="s">
        <v>697</v>
      </c>
      <c r="P216">
        <v>2021</v>
      </c>
    </row>
    <row r="217" spans="15:16" x14ac:dyDescent="0.2">
      <c r="O217" t="s">
        <v>698</v>
      </c>
      <c r="P217">
        <v>2021</v>
      </c>
    </row>
    <row r="218" spans="15:16" x14ac:dyDescent="0.2">
      <c r="O218" t="s">
        <v>704</v>
      </c>
      <c r="P218">
        <v>2021</v>
      </c>
    </row>
    <row r="219" spans="15:16" x14ac:dyDescent="0.2">
      <c r="O219" t="s">
        <v>711</v>
      </c>
      <c r="P219">
        <v>2021</v>
      </c>
    </row>
    <row r="220" spans="15:16" x14ac:dyDescent="0.2">
      <c r="O220" t="s">
        <v>714</v>
      </c>
      <c r="P220">
        <v>2021</v>
      </c>
    </row>
    <row r="221" spans="15:16" x14ac:dyDescent="0.2">
      <c r="O221" t="s">
        <v>716</v>
      </c>
      <c r="P221">
        <v>2021</v>
      </c>
    </row>
    <row r="222" spans="15:16" x14ac:dyDescent="0.2">
      <c r="O222" t="s">
        <v>719</v>
      </c>
      <c r="P222">
        <v>2021</v>
      </c>
    </row>
    <row r="223" spans="15:16" x14ac:dyDescent="0.2">
      <c r="O223" t="s">
        <v>724</v>
      </c>
      <c r="P223">
        <v>2021</v>
      </c>
    </row>
    <row r="224" spans="15:16" x14ac:dyDescent="0.2">
      <c r="O224" t="s">
        <v>726</v>
      </c>
      <c r="P224">
        <v>2021</v>
      </c>
    </row>
    <row r="225" spans="15:16" x14ac:dyDescent="0.2">
      <c r="O225" t="s">
        <v>729</v>
      </c>
      <c r="P225">
        <v>2021</v>
      </c>
    </row>
    <row r="226" spans="15:16" x14ac:dyDescent="0.2">
      <c r="O226" t="s">
        <v>734</v>
      </c>
      <c r="P226">
        <v>2021</v>
      </c>
    </row>
    <row r="227" spans="15:16" x14ac:dyDescent="0.2">
      <c r="O227" t="s">
        <v>736</v>
      </c>
      <c r="P227">
        <v>2021</v>
      </c>
    </row>
    <row r="228" spans="15:16" x14ac:dyDescent="0.2">
      <c r="O228" t="s">
        <v>738</v>
      </c>
      <c r="P228">
        <v>2021</v>
      </c>
    </row>
    <row r="229" spans="15:16" x14ac:dyDescent="0.2">
      <c r="O229" t="s">
        <v>740</v>
      </c>
      <c r="P229">
        <v>2021</v>
      </c>
    </row>
    <row r="230" spans="15:16" x14ac:dyDescent="0.2">
      <c r="O230" t="s">
        <v>742</v>
      </c>
      <c r="P230">
        <v>2021</v>
      </c>
    </row>
    <row r="231" spans="15:16" x14ac:dyDescent="0.2">
      <c r="O231" t="s">
        <v>744</v>
      </c>
      <c r="P231">
        <v>2021</v>
      </c>
    </row>
    <row r="232" spans="15:16" x14ac:dyDescent="0.2">
      <c r="O232" t="s">
        <v>745</v>
      </c>
      <c r="P232">
        <v>2021</v>
      </c>
    </row>
    <row r="233" spans="15:16" x14ac:dyDescent="0.2">
      <c r="O233" t="s">
        <v>750</v>
      </c>
      <c r="P233">
        <v>2021</v>
      </c>
    </row>
    <row r="234" spans="15:16" x14ac:dyDescent="0.2">
      <c r="O234" t="s">
        <v>751</v>
      </c>
      <c r="P234">
        <v>2021</v>
      </c>
    </row>
    <row r="235" spans="15:16" x14ac:dyDescent="0.2">
      <c r="O235" t="s">
        <v>754</v>
      </c>
      <c r="P235">
        <v>2021</v>
      </c>
    </row>
    <row r="236" spans="15:16" x14ac:dyDescent="0.2">
      <c r="O236" t="s">
        <v>759</v>
      </c>
      <c r="P236">
        <v>2021</v>
      </c>
    </row>
    <row r="237" spans="15:16" x14ac:dyDescent="0.2">
      <c r="O237" t="s">
        <v>762</v>
      </c>
      <c r="P237">
        <v>2021</v>
      </c>
    </row>
    <row r="238" spans="15:16" x14ac:dyDescent="0.2">
      <c r="O238" t="s">
        <v>770</v>
      </c>
      <c r="P238">
        <v>2021</v>
      </c>
    </row>
    <row r="239" spans="15:16" x14ac:dyDescent="0.2">
      <c r="O239" t="s">
        <v>771</v>
      </c>
      <c r="P239">
        <v>2021</v>
      </c>
    </row>
    <row r="240" spans="15:16" x14ac:dyDescent="0.2">
      <c r="O240" t="s">
        <v>773</v>
      </c>
      <c r="P240">
        <v>2021</v>
      </c>
    </row>
    <row r="241" spans="15:16" x14ac:dyDescent="0.2">
      <c r="O241" t="s">
        <v>776</v>
      </c>
      <c r="P241">
        <v>2021</v>
      </c>
    </row>
    <row r="242" spans="15:16" x14ac:dyDescent="0.2">
      <c r="O242" t="s">
        <v>780</v>
      </c>
      <c r="P242">
        <v>2021</v>
      </c>
    </row>
    <row r="243" spans="15:16" x14ac:dyDescent="0.2">
      <c r="O243" t="s">
        <v>782</v>
      </c>
      <c r="P243">
        <v>2021</v>
      </c>
    </row>
    <row r="244" spans="15:16" x14ac:dyDescent="0.2">
      <c r="O244" t="s">
        <v>786</v>
      </c>
      <c r="P244">
        <v>2021</v>
      </c>
    </row>
    <row r="245" spans="15:16" x14ac:dyDescent="0.2">
      <c r="O245" t="s">
        <v>788</v>
      </c>
      <c r="P245">
        <v>2021</v>
      </c>
    </row>
    <row r="246" spans="15:16" x14ac:dyDescent="0.2">
      <c r="O246" t="s">
        <v>790</v>
      </c>
      <c r="P246">
        <v>2021</v>
      </c>
    </row>
    <row r="247" spans="15:16" x14ac:dyDescent="0.2">
      <c r="O247" t="s">
        <v>791</v>
      </c>
      <c r="P247">
        <v>2021</v>
      </c>
    </row>
    <row r="248" spans="15:16" x14ac:dyDescent="0.2">
      <c r="O248" t="s">
        <v>793</v>
      </c>
      <c r="P248">
        <v>2021</v>
      </c>
    </row>
    <row r="249" spans="15:16" x14ac:dyDescent="0.2">
      <c r="O249" t="s">
        <v>796</v>
      </c>
      <c r="P249">
        <v>2021</v>
      </c>
    </row>
    <row r="250" spans="15:16" x14ac:dyDescent="0.2">
      <c r="O250" t="s">
        <v>798</v>
      </c>
      <c r="P250">
        <v>2021</v>
      </c>
    </row>
    <row r="251" spans="15:16" x14ac:dyDescent="0.2">
      <c r="O251" t="s">
        <v>805</v>
      </c>
      <c r="P251">
        <v>2021</v>
      </c>
    </row>
    <row r="252" spans="15:16" x14ac:dyDescent="0.2">
      <c r="O252" t="s">
        <v>808</v>
      </c>
      <c r="P252">
        <v>2021</v>
      </c>
    </row>
    <row r="253" spans="15:16" x14ac:dyDescent="0.2">
      <c r="O253" t="s">
        <v>811</v>
      </c>
      <c r="P253">
        <v>2021</v>
      </c>
    </row>
    <row r="254" spans="15:16" x14ac:dyDescent="0.2">
      <c r="O254" t="s">
        <v>815</v>
      </c>
      <c r="P254">
        <v>2021</v>
      </c>
    </row>
    <row r="255" spans="15:16" x14ac:dyDescent="0.2">
      <c r="O255" t="s">
        <v>817</v>
      </c>
      <c r="P255">
        <v>2021</v>
      </c>
    </row>
    <row r="256" spans="15:16" x14ac:dyDescent="0.2">
      <c r="O256" t="s">
        <v>819</v>
      </c>
      <c r="P256">
        <v>2021</v>
      </c>
    </row>
    <row r="257" spans="15:16" x14ac:dyDescent="0.2">
      <c r="O257" t="s">
        <v>822</v>
      </c>
      <c r="P257">
        <v>2021</v>
      </c>
    </row>
    <row r="258" spans="15:16" x14ac:dyDescent="0.2">
      <c r="O258" t="s">
        <v>824</v>
      </c>
      <c r="P258">
        <v>2021</v>
      </c>
    </row>
    <row r="259" spans="15:16" x14ac:dyDescent="0.2">
      <c r="O259" t="s">
        <v>826</v>
      </c>
      <c r="P259">
        <v>2021</v>
      </c>
    </row>
    <row r="260" spans="15:16" x14ac:dyDescent="0.2">
      <c r="O260" t="s">
        <v>828</v>
      </c>
      <c r="P260">
        <v>2021</v>
      </c>
    </row>
    <row r="261" spans="15:16" x14ac:dyDescent="0.2">
      <c r="O261" t="s">
        <v>831</v>
      </c>
      <c r="P261">
        <v>2021</v>
      </c>
    </row>
    <row r="262" spans="15:16" x14ac:dyDescent="0.2">
      <c r="O262" t="s">
        <v>833</v>
      </c>
      <c r="P262">
        <v>2021</v>
      </c>
    </row>
    <row r="263" spans="15:16" x14ac:dyDescent="0.2">
      <c r="O263" t="s">
        <v>841</v>
      </c>
      <c r="P263">
        <v>2021</v>
      </c>
    </row>
    <row r="264" spans="15:16" x14ac:dyDescent="0.2">
      <c r="O264" t="s">
        <v>850</v>
      </c>
      <c r="P264">
        <v>2021</v>
      </c>
    </row>
    <row r="265" spans="15:16" x14ac:dyDescent="0.2">
      <c r="O265" t="s">
        <v>855</v>
      </c>
      <c r="P265">
        <v>2021</v>
      </c>
    </row>
    <row r="266" spans="15:16" x14ac:dyDescent="0.2">
      <c r="O266" t="s">
        <v>859</v>
      </c>
      <c r="P266">
        <v>2021</v>
      </c>
    </row>
    <row r="267" spans="15:16" x14ac:dyDescent="0.2">
      <c r="O267" t="s">
        <v>861</v>
      </c>
      <c r="P267">
        <v>2021</v>
      </c>
    </row>
    <row r="268" spans="15:16" x14ac:dyDescent="0.2">
      <c r="O268" t="s">
        <v>863</v>
      </c>
      <c r="P268">
        <v>2021</v>
      </c>
    </row>
    <row r="269" spans="15:16" x14ac:dyDescent="0.2">
      <c r="O269" t="s">
        <v>868</v>
      </c>
      <c r="P269">
        <v>2021</v>
      </c>
    </row>
    <row r="270" spans="15:16" x14ac:dyDescent="0.2">
      <c r="O270" t="s">
        <v>870</v>
      </c>
      <c r="P270">
        <v>2021</v>
      </c>
    </row>
    <row r="271" spans="15:16" x14ac:dyDescent="0.2">
      <c r="O271" t="s">
        <v>873</v>
      </c>
      <c r="P271">
        <v>2021</v>
      </c>
    </row>
    <row r="272" spans="15:16" x14ac:dyDescent="0.2">
      <c r="O272" t="s">
        <v>875</v>
      </c>
      <c r="P272">
        <v>2021</v>
      </c>
    </row>
    <row r="273" spans="15:16" x14ac:dyDescent="0.2">
      <c r="O273" t="s">
        <v>877</v>
      </c>
      <c r="P273">
        <v>2021</v>
      </c>
    </row>
    <row r="274" spans="15:16" x14ac:dyDescent="0.2">
      <c r="O274" t="s">
        <v>880</v>
      </c>
      <c r="P274">
        <v>2021</v>
      </c>
    </row>
    <row r="275" spans="15:16" x14ac:dyDescent="0.2">
      <c r="O275" t="s">
        <v>881</v>
      </c>
      <c r="P275">
        <v>2021</v>
      </c>
    </row>
    <row r="276" spans="15:16" x14ac:dyDescent="0.2">
      <c r="O276" t="s">
        <v>885</v>
      </c>
      <c r="P276">
        <v>2021</v>
      </c>
    </row>
    <row r="277" spans="15:16" x14ac:dyDescent="0.2">
      <c r="O277" t="s">
        <v>886</v>
      </c>
      <c r="P277">
        <v>2021</v>
      </c>
    </row>
    <row r="278" spans="15:16" x14ac:dyDescent="0.2">
      <c r="O278" t="s">
        <v>889</v>
      </c>
      <c r="P278">
        <v>2021</v>
      </c>
    </row>
    <row r="279" spans="15:16" x14ac:dyDescent="0.2">
      <c r="O279" t="s">
        <v>891</v>
      </c>
      <c r="P279">
        <v>2021</v>
      </c>
    </row>
    <row r="280" spans="15:16" x14ac:dyDescent="0.2">
      <c r="O280" t="s">
        <v>893</v>
      </c>
      <c r="P280">
        <v>2021</v>
      </c>
    </row>
    <row r="281" spans="15:16" x14ac:dyDescent="0.2">
      <c r="O281" t="s">
        <v>894</v>
      </c>
      <c r="P281">
        <v>2021</v>
      </c>
    </row>
    <row r="282" spans="15:16" x14ac:dyDescent="0.2">
      <c r="O282" t="s">
        <v>897</v>
      </c>
      <c r="P282">
        <v>2021</v>
      </c>
    </row>
    <row r="283" spans="15:16" x14ac:dyDescent="0.2">
      <c r="O283" t="s">
        <v>902</v>
      </c>
      <c r="P283">
        <v>2021</v>
      </c>
    </row>
    <row r="284" spans="15:16" x14ac:dyDescent="0.2">
      <c r="O284" t="s">
        <v>904</v>
      </c>
      <c r="P284">
        <v>2021</v>
      </c>
    </row>
    <row r="285" spans="15:16" x14ac:dyDescent="0.2">
      <c r="O285" t="s">
        <v>906</v>
      </c>
      <c r="P285">
        <v>2021</v>
      </c>
    </row>
    <row r="286" spans="15:16" x14ac:dyDescent="0.2">
      <c r="O286" t="s">
        <v>909</v>
      </c>
      <c r="P286">
        <v>2021</v>
      </c>
    </row>
    <row r="287" spans="15:16" x14ac:dyDescent="0.2">
      <c r="O287" t="s">
        <v>912</v>
      </c>
      <c r="P287">
        <v>2021</v>
      </c>
    </row>
    <row r="288" spans="15:16" x14ac:dyDescent="0.2">
      <c r="O288" t="s">
        <v>914</v>
      </c>
      <c r="P288">
        <v>2021</v>
      </c>
    </row>
    <row r="289" spans="15:16" x14ac:dyDescent="0.2">
      <c r="O289" t="s">
        <v>917</v>
      </c>
      <c r="P289">
        <v>2021</v>
      </c>
    </row>
    <row r="290" spans="15:16" x14ac:dyDescent="0.2">
      <c r="O290" t="s">
        <v>919</v>
      </c>
      <c r="P290">
        <v>2021</v>
      </c>
    </row>
    <row r="291" spans="15:16" x14ac:dyDescent="0.2">
      <c r="O291" t="s">
        <v>923</v>
      </c>
      <c r="P291">
        <v>2021</v>
      </c>
    </row>
    <row r="292" spans="15:16" x14ac:dyDescent="0.2">
      <c r="O292" t="s">
        <v>924</v>
      </c>
      <c r="P292">
        <v>2021</v>
      </c>
    </row>
    <row r="293" spans="15:16" x14ac:dyDescent="0.2">
      <c r="O293" t="s">
        <v>925</v>
      </c>
      <c r="P293">
        <v>2021</v>
      </c>
    </row>
    <row r="294" spans="15:16" x14ac:dyDescent="0.2">
      <c r="O294" t="s">
        <v>927</v>
      </c>
      <c r="P294">
        <v>2021</v>
      </c>
    </row>
    <row r="295" spans="15:16" x14ac:dyDescent="0.2">
      <c r="O295" t="s">
        <v>930</v>
      </c>
      <c r="P295">
        <v>2021</v>
      </c>
    </row>
    <row r="296" spans="15:16" x14ac:dyDescent="0.2">
      <c r="O296" t="s">
        <v>937</v>
      </c>
      <c r="P296">
        <v>2021</v>
      </c>
    </row>
    <row r="297" spans="15:16" x14ac:dyDescent="0.2">
      <c r="O297" t="s">
        <v>940</v>
      </c>
      <c r="P297">
        <v>2021</v>
      </c>
    </row>
    <row r="298" spans="15:16" x14ac:dyDescent="0.2">
      <c r="O298" t="s">
        <v>942</v>
      </c>
      <c r="P298">
        <v>2021</v>
      </c>
    </row>
    <row r="299" spans="15:16" x14ac:dyDescent="0.2">
      <c r="O299" t="s">
        <v>947</v>
      </c>
      <c r="P299">
        <v>2021</v>
      </c>
    </row>
    <row r="300" spans="15:16" x14ac:dyDescent="0.2">
      <c r="O300" t="s">
        <v>949</v>
      </c>
      <c r="P300">
        <v>2021</v>
      </c>
    </row>
    <row r="301" spans="15:16" x14ac:dyDescent="0.2">
      <c r="O301" t="s">
        <v>953</v>
      </c>
      <c r="P301">
        <v>2021</v>
      </c>
    </row>
    <row r="302" spans="15:16" x14ac:dyDescent="0.2">
      <c r="O302" t="s">
        <v>955</v>
      </c>
      <c r="P302">
        <v>2021</v>
      </c>
    </row>
    <row r="303" spans="15:16" x14ac:dyDescent="0.2">
      <c r="O303" t="s">
        <v>959</v>
      </c>
      <c r="P303">
        <v>2021</v>
      </c>
    </row>
    <row r="304" spans="15:16" x14ac:dyDescent="0.2">
      <c r="O304" t="s">
        <v>961</v>
      </c>
      <c r="P304">
        <v>2021</v>
      </c>
    </row>
    <row r="305" spans="15:16" x14ac:dyDescent="0.2">
      <c r="O305" t="s">
        <v>965</v>
      </c>
      <c r="P305">
        <v>2021</v>
      </c>
    </row>
    <row r="306" spans="15:16" x14ac:dyDescent="0.2">
      <c r="O306" t="s">
        <v>967</v>
      </c>
      <c r="P306">
        <v>2021</v>
      </c>
    </row>
    <row r="307" spans="15:16" x14ac:dyDescent="0.2">
      <c r="O307" t="s">
        <v>969</v>
      </c>
      <c r="P307">
        <v>2021</v>
      </c>
    </row>
    <row r="308" spans="15:16" x14ac:dyDescent="0.2">
      <c r="O308" t="s">
        <v>973</v>
      </c>
      <c r="P308">
        <v>2021</v>
      </c>
    </row>
    <row r="309" spans="15:16" x14ac:dyDescent="0.2">
      <c r="O309" t="s">
        <v>975</v>
      </c>
      <c r="P309">
        <v>2021</v>
      </c>
    </row>
    <row r="310" spans="15:16" x14ac:dyDescent="0.2">
      <c r="O310" t="s">
        <v>979</v>
      </c>
      <c r="P310">
        <v>2021</v>
      </c>
    </row>
    <row r="311" spans="15:16" x14ac:dyDescent="0.2">
      <c r="O311" t="s">
        <v>980</v>
      </c>
      <c r="P311">
        <v>2021</v>
      </c>
    </row>
    <row r="312" spans="15:16" x14ac:dyDescent="0.2">
      <c r="O312" t="s">
        <v>985</v>
      </c>
      <c r="P312">
        <v>2021</v>
      </c>
    </row>
    <row r="313" spans="15:16" x14ac:dyDescent="0.2">
      <c r="O313" t="s">
        <v>991</v>
      </c>
      <c r="P313">
        <v>2021</v>
      </c>
    </row>
    <row r="314" spans="15:16" x14ac:dyDescent="0.2">
      <c r="O314" t="s">
        <v>994</v>
      </c>
      <c r="P314">
        <v>2021</v>
      </c>
    </row>
    <row r="315" spans="15:16" x14ac:dyDescent="0.2">
      <c r="O315" t="s">
        <v>999</v>
      </c>
      <c r="P315">
        <v>2021</v>
      </c>
    </row>
    <row r="316" spans="15:16" x14ac:dyDescent="0.2">
      <c r="O316" t="s">
        <v>1005</v>
      </c>
      <c r="P316">
        <v>2021</v>
      </c>
    </row>
    <row r="317" spans="15:16" x14ac:dyDescent="0.2">
      <c r="O317" t="s">
        <v>1006</v>
      </c>
      <c r="P317">
        <v>2021</v>
      </c>
    </row>
    <row r="318" spans="15:16" x14ac:dyDescent="0.2">
      <c r="O318" t="s">
        <v>1007</v>
      </c>
      <c r="P318">
        <v>2021</v>
      </c>
    </row>
    <row r="319" spans="15:16" x14ac:dyDescent="0.2">
      <c r="O319" t="s">
        <v>1011</v>
      </c>
      <c r="P319">
        <v>2021</v>
      </c>
    </row>
    <row r="320" spans="15:16" x14ac:dyDescent="0.2">
      <c r="O320" t="s">
        <v>1014</v>
      </c>
      <c r="P320">
        <v>2021</v>
      </c>
    </row>
    <row r="321" spans="15:16" x14ac:dyDescent="0.2">
      <c r="O321" t="s">
        <v>1018</v>
      </c>
      <c r="P321">
        <v>2021</v>
      </c>
    </row>
    <row r="322" spans="15:16" x14ac:dyDescent="0.2">
      <c r="O322" t="s">
        <v>1025</v>
      </c>
      <c r="P322">
        <v>2021</v>
      </c>
    </row>
    <row r="323" spans="15:16" x14ac:dyDescent="0.2">
      <c r="O323" t="s">
        <v>1029</v>
      </c>
      <c r="P323">
        <v>2021</v>
      </c>
    </row>
    <row r="324" spans="15:16" x14ac:dyDescent="0.2">
      <c r="O324" t="s">
        <v>1035</v>
      </c>
      <c r="P324">
        <v>2021</v>
      </c>
    </row>
    <row r="325" spans="15:16" x14ac:dyDescent="0.2">
      <c r="O325" t="s">
        <v>1037</v>
      </c>
      <c r="P325">
        <v>2021</v>
      </c>
    </row>
    <row r="326" spans="15:16" x14ac:dyDescent="0.2">
      <c r="O326" t="s">
        <v>1040</v>
      </c>
      <c r="P326">
        <v>2021</v>
      </c>
    </row>
    <row r="327" spans="15:16" x14ac:dyDescent="0.2">
      <c r="O327" t="s">
        <v>1044</v>
      </c>
      <c r="P327">
        <v>2021</v>
      </c>
    </row>
    <row r="328" spans="15:16" x14ac:dyDescent="0.2">
      <c r="O328" t="s">
        <v>1046</v>
      </c>
      <c r="P328">
        <v>2021</v>
      </c>
    </row>
    <row r="329" spans="15:16" x14ac:dyDescent="0.2">
      <c r="O329" t="s">
        <v>1048</v>
      </c>
      <c r="P329">
        <v>2021</v>
      </c>
    </row>
    <row r="330" spans="15:16" x14ac:dyDescent="0.2">
      <c r="O330" t="s">
        <v>1053</v>
      </c>
      <c r="P330">
        <v>2021</v>
      </c>
    </row>
    <row r="331" spans="15:16" x14ac:dyDescent="0.2">
      <c r="O331" t="s">
        <v>1057</v>
      </c>
      <c r="P331">
        <v>2021</v>
      </c>
    </row>
    <row r="332" spans="15:16" x14ac:dyDescent="0.2">
      <c r="O332" t="s">
        <v>1066</v>
      </c>
      <c r="P332">
        <v>2021</v>
      </c>
    </row>
    <row r="333" spans="15:16" x14ac:dyDescent="0.2">
      <c r="O333" t="s">
        <v>1069</v>
      </c>
      <c r="P333">
        <v>2021</v>
      </c>
    </row>
    <row r="334" spans="15:16" x14ac:dyDescent="0.2">
      <c r="O334" t="s">
        <v>1072</v>
      </c>
      <c r="P334">
        <v>2021</v>
      </c>
    </row>
    <row r="335" spans="15:16" x14ac:dyDescent="0.2">
      <c r="O335" t="s">
        <v>1076</v>
      </c>
      <c r="P335">
        <v>2021</v>
      </c>
    </row>
    <row r="336" spans="15:16" x14ac:dyDescent="0.2">
      <c r="O336" t="s">
        <v>1078</v>
      </c>
      <c r="P336">
        <v>2021</v>
      </c>
    </row>
    <row r="337" spans="15:16" x14ac:dyDescent="0.2">
      <c r="O337" t="s">
        <v>1079</v>
      </c>
      <c r="P337">
        <v>2021</v>
      </c>
    </row>
    <row r="338" spans="15:16" x14ac:dyDescent="0.2">
      <c r="O338" t="s">
        <v>1081</v>
      </c>
      <c r="P338">
        <v>2021</v>
      </c>
    </row>
    <row r="339" spans="15:16" x14ac:dyDescent="0.2">
      <c r="O339" t="s">
        <v>1086</v>
      </c>
      <c r="P339">
        <v>2021</v>
      </c>
    </row>
    <row r="340" spans="15:16" x14ac:dyDescent="0.2">
      <c r="O340" t="s">
        <v>1090</v>
      </c>
      <c r="P340">
        <v>2021</v>
      </c>
    </row>
    <row r="341" spans="15:16" x14ac:dyDescent="0.2">
      <c r="O341" t="s">
        <v>1095</v>
      </c>
      <c r="P341">
        <v>2021</v>
      </c>
    </row>
    <row r="342" spans="15:16" x14ac:dyDescent="0.2">
      <c r="O342" t="s">
        <v>1097</v>
      </c>
      <c r="P342">
        <v>2021</v>
      </c>
    </row>
    <row r="343" spans="15:16" x14ac:dyDescent="0.2">
      <c r="O343" t="s">
        <v>1099</v>
      </c>
      <c r="P343">
        <v>2021</v>
      </c>
    </row>
    <row r="344" spans="15:16" x14ac:dyDescent="0.2">
      <c r="O344" t="s">
        <v>1101</v>
      </c>
      <c r="P344">
        <v>2021</v>
      </c>
    </row>
    <row r="345" spans="15:16" x14ac:dyDescent="0.2">
      <c r="O345" t="s">
        <v>1104</v>
      </c>
      <c r="P345">
        <v>2021</v>
      </c>
    </row>
    <row r="346" spans="15:16" x14ac:dyDescent="0.2">
      <c r="O346" t="s">
        <v>1106</v>
      </c>
      <c r="P346">
        <v>2021</v>
      </c>
    </row>
    <row r="347" spans="15:16" x14ac:dyDescent="0.2">
      <c r="O347" t="s">
        <v>1113</v>
      </c>
      <c r="P347">
        <v>2021</v>
      </c>
    </row>
    <row r="348" spans="15:16" x14ac:dyDescent="0.2">
      <c r="O348" t="s">
        <v>1115</v>
      </c>
      <c r="P348">
        <v>2021</v>
      </c>
    </row>
    <row r="349" spans="15:16" x14ac:dyDescent="0.2">
      <c r="O349" t="s">
        <v>1117</v>
      </c>
      <c r="P349">
        <v>2021</v>
      </c>
    </row>
    <row r="350" spans="15:16" x14ac:dyDescent="0.2">
      <c r="O350" t="s">
        <v>1123</v>
      </c>
      <c r="P350">
        <v>2021</v>
      </c>
    </row>
    <row r="351" spans="15:16" x14ac:dyDescent="0.2">
      <c r="O351" t="s">
        <v>1124</v>
      </c>
      <c r="P351">
        <v>2021</v>
      </c>
    </row>
    <row r="352" spans="15:16" x14ac:dyDescent="0.2">
      <c r="O352" t="s">
        <v>1131</v>
      </c>
      <c r="P352">
        <v>2021</v>
      </c>
    </row>
    <row r="353" spans="15:16" x14ac:dyDescent="0.2">
      <c r="O353" t="s">
        <v>1133</v>
      </c>
      <c r="P353">
        <v>2021</v>
      </c>
    </row>
    <row r="354" spans="15:16" x14ac:dyDescent="0.2">
      <c r="O354" t="s">
        <v>1140</v>
      </c>
      <c r="P354">
        <v>2021</v>
      </c>
    </row>
    <row r="355" spans="15:16" x14ac:dyDescent="0.2">
      <c r="O355" t="s">
        <v>1142</v>
      </c>
      <c r="P355">
        <v>2021</v>
      </c>
    </row>
    <row r="356" spans="15:16" x14ac:dyDescent="0.2">
      <c r="O356" t="s">
        <v>1145</v>
      </c>
      <c r="P356">
        <v>2021</v>
      </c>
    </row>
    <row r="357" spans="15:16" x14ac:dyDescent="0.2">
      <c r="O357" t="s">
        <v>1147</v>
      </c>
      <c r="P357">
        <v>2021</v>
      </c>
    </row>
    <row r="358" spans="15:16" x14ac:dyDescent="0.2">
      <c r="O358" t="s">
        <v>1150</v>
      </c>
      <c r="P358">
        <v>2021</v>
      </c>
    </row>
    <row r="359" spans="15:16" x14ac:dyDescent="0.2">
      <c r="O359" t="s">
        <v>1153</v>
      </c>
      <c r="P359">
        <v>2021</v>
      </c>
    </row>
    <row r="360" spans="15:16" x14ac:dyDescent="0.2">
      <c r="O360" t="s">
        <v>1154</v>
      </c>
      <c r="P360">
        <v>2021</v>
      </c>
    </row>
    <row r="361" spans="15:16" x14ac:dyDescent="0.2">
      <c r="O361" t="s">
        <v>1163</v>
      </c>
      <c r="P361">
        <v>2021</v>
      </c>
    </row>
    <row r="362" spans="15:16" x14ac:dyDescent="0.2">
      <c r="O362" t="s">
        <v>1165</v>
      </c>
      <c r="P362">
        <v>2021</v>
      </c>
    </row>
    <row r="363" spans="15:16" x14ac:dyDescent="0.2">
      <c r="O363" t="s">
        <v>1166</v>
      </c>
      <c r="P363">
        <v>2021</v>
      </c>
    </row>
    <row r="364" spans="15:16" x14ac:dyDescent="0.2">
      <c r="O364" t="s">
        <v>1169</v>
      </c>
      <c r="P364">
        <v>2021</v>
      </c>
    </row>
    <row r="365" spans="15:16" x14ac:dyDescent="0.2">
      <c r="O365" t="s">
        <v>1174</v>
      </c>
      <c r="P365">
        <v>2021</v>
      </c>
    </row>
    <row r="366" spans="15:16" x14ac:dyDescent="0.2">
      <c r="O366" t="s">
        <v>1175</v>
      </c>
      <c r="P366">
        <v>2021</v>
      </c>
    </row>
    <row r="367" spans="15:16" x14ac:dyDescent="0.2">
      <c r="O367" t="s">
        <v>1179</v>
      </c>
      <c r="P367">
        <v>2021</v>
      </c>
    </row>
    <row r="368" spans="15:16" x14ac:dyDescent="0.2">
      <c r="O368" t="s">
        <v>1180</v>
      </c>
      <c r="P368">
        <v>2021</v>
      </c>
    </row>
    <row r="369" spans="15:16" x14ac:dyDescent="0.2">
      <c r="O369" t="s">
        <v>1183</v>
      </c>
      <c r="P369">
        <v>2021</v>
      </c>
    </row>
    <row r="370" spans="15:16" x14ac:dyDescent="0.2">
      <c r="O370" t="s">
        <v>1185</v>
      </c>
      <c r="P370">
        <v>2021</v>
      </c>
    </row>
    <row r="371" spans="15:16" x14ac:dyDescent="0.2">
      <c r="O371" t="s">
        <v>1188</v>
      </c>
      <c r="P371">
        <v>2021</v>
      </c>
    </row>
    <row r="372" spans="15:16" x14ac:dyDescent="0.2">
      <c r="O372" t="s">
        <v>1192</v>
      </c>
      <c r="P372">
        <v>2021</v>
      </c>
    </row>
    <row r="373" spans="15:16" x14ac:dyDescent="0.2">
      <c r="O373" t="s">
        <v>1195</v>
      </c>
      <c r="P373">
        <v>2021</v>
      </c>
    </row>
    <row r="374" spans="15:16" x14ac:dyDescent="0.2">
      <c r="O374" t="s">
        <v>1198</v>
      </c>
      <c r="P374">
        <v>2021</v>
      </c>
    </row>
    <row r="375" spans="15:16" x14ac:dyDescent="0.2">
      <c r="O375" t="s">
        <v>1200</v>
      </c>
      <c r="P375">
        <v>2021</v>
      </c>
    </row>
    <row r="376" spans="15:16" x14ac:dyDescent="0.2">
      <c r="O376" t="s">
        <v>1202</v>
      </c>
      <c r="P376">
        <v>2021</v>
      </c>
    </row>
    <row r="377" spans="15:16" x14ac:dyDescent="0.2">
      <c r="O377" t="s">
        <v>1209</v>
      </c>
      <c r="P377">
        <v>2021</v>
      </c>
    </row>
    <row r="378" spans="15:16" x14ac:dyDescent="0.2">
      <c r="O378" t="s">
        <v>1211</v>
      </c>
      <c r="P378">
        <v>2021</v>
      </c>
    </row>
    <row r="379" spans="15:16" x14ac:dyDescent="0.2">
      <c r="O379" t="s">
        <v>1213</v>
      </c>
      <c r="P379">
        <v>2021</v>
      </c>
    </row>
    <row r="380" spans="15:16" x14ac:dyDescent="0.2">
      <c r="O380" t="s">
        <v>1214</v>
      </c>
      <c r="P380">
        <v>2021</v>
      </c>
    </row>
    <row r="381" spans="15:16" x14ac:dyDescent="0.2">
      <c r="O381" t="s">
        <v>1216</v>
      </c>
      <c r="P381">
        <v>2021</v>
      </c>
    </row>
    <row r="382" spans="15:16" x14ac:dyDescent="0.2">
      <c r="O382" t="s">
        <v>1223</v>
      </c>
      <c r="P382">
        <v>2021</v>
      </c>
    </row>
    <row r="383" spans="15:16" x14ac:dyDescent="0.2">
      <c r="O383" t="s">
        <v>1225</v>
      </c>
      <c r="P383">
        <v>2021</v>
      </c>
    </row>
    <row r="384" spans="15:16" x14ac:dyDescent="0.2">
      <c r="O384" t="s">
        <v>1232</v>
      </c>
      <c r="P384">
        <v>2021</v>
      </c>
    </row>
    <row r="385" spans="15:16" x14ac:dyDescent="0.2">
      <c r="O385" t="s">
        <v>1236</v>
      </c>
      <c r="P385">
        <v>2021</v>
      </c>
    </row>
    <row r="386" spans="15:16" x14ac:dyDescent="0.2">
      <c r="O386" t="s">
        <v>1243</v>
      </c>
      <c r="P386">
        <v>2021</v>
      </c>
    </row>
    <row r="387" spans="15:16" x14ac:dyDescent="0.2">
      <c r="O387" t="s">
        <v>1244</v>
      </c>
      <c r="P387">
        <v>2021</v>
      </c>
    </row>
    <row r="388" spans="15:16" x14ac:dyDescent="0.2">
      <c r="O388" t="s">
        <v>1251</v>
      </c>
      <c r="P388">
        <v>2021</v>
      </c>
    </row>
    <row r="389" spans="15:16" x14ac:dyDescent="0.2">
      <c r="O389" t="s">
        <v>1253</v>
      </c>
      <c r="P389">
        <v>2021</v>
      </c>
    </row>
    <row r="390" spans="15:16" x14ac:dyDescent="0.2">
      <c r="O390" t="s">
        <v>1256</v>
      </c>
      <c r="P390">
        <v>2021</v>
      </c>
    </row>
    <row r="391" spans="15:16" x14ac:dyDescent="0.2">
      <c r="O391" t="s">
        <v>1260</v>
      </c>
      <c r="P391">
        <v>2021</v>
      </c>
    </row>
    <row r="392" spans="15:16" x14ac:dyDescent="0.2">
      <c r="O392" t="s">
        <v>1262</v>
      </c>
      <c r="P392">
        <v>2021</v>
      </c>
    </row>
    <row r="393" spans="15:16" x14ac:dyDescent="0.2">
      <c r="O393" t="s">
        <v>1265</v>
      </c>
      <c r="P393">
        <v>2021</v>
      </c>
    </row>
    <row r="394" spans="15:16" x14ac:dyDescent="0.2">
      <c r="O394" t="s">
        <v>1269</v>
      </c>
      <c r="P394">
        <v>2021</v>
      </c>
    </row>
    <row r="395" spans="15:16" x14ac:dyDescent="0.2">
      <c r="O395" t="s">
        <v>1273</v>
      </c>
      <c r="P395">
        <v>2021</v>
      </c>
    </row>
    <row r="396" spans="15:16" x14ac:dyDescent="0.2">
      <c r="O396" t="s">
        <v>1275</v>
      </c>
      <c r="P396">
        <v>2021</v>
      </c>
    </row>
    <row r="397" spans="15:16" x14ac:dyDescent="0.2">
      <c r="O397" t="s">
        <v>1277</v>
      </c>
      <c r="P397">
        <v>2021</v>
      </c>
    </row>
    <row r="398" spans="15:16" x14ac:dyDescent="0.2">
      <c r="O398" t="s">
        <v>1279</v>
      </c>
      <c r="P398">
        <v>2021</v>
      </c>
    </row>
    <row r="399" spans="15:16" x14ac:dyDescent="0.2">
      <c r="O399" t="s">
        <v>1281</v>
      </c>
      <c r="P399">
        <v>2021</v>
      </c>
    </row>
    <row r="400" spans="15:16" x14ac:dyDescent="0.2">
      <c r="O400" t="s">
        <v>1284</v>
      </c>
      <c r="P400">
        <v>2021</v>
      </c>
    </row>
    <row r="401" spans="15:16" x14ac:dyDescent="0.2">
      <c r="O401" t="s">
        <v>1288</v>
      </c>
      <c r="P401">
        <v>2021</v>
      </c>
    </row>
    <row r="402" spans="15:16" x14ac:dyDescent="0.2">
      <c r="O402" t="s">
        <v>1289</v>
      </c>
      <c r="P402">
        <v>2021</v>
      </c>
    </row>
    <row r="403" spans="15:16" x14ac:dyDescent="0.2">
      <c r="O403" t="s">
        <v>1290</v>
      </c>
      <c r="P403">
        <v>2021</v>
      </c>
    </row>
    <row r="404" spans="15:16" x14ac:dyDescent="0.2">
      <c r="O404" t="s">
        <v>1291</v>
      </c>
      <c r="P404">
        <v>2021</v>
      </c>
    </row>
    <row r="405" spans="15:16" x14ac:dyDescent="0.2">
      <c r="O405" t="s">
        <v>1297</v>
      </c>
      <c r="P405">
        <v>2021</v>
      </c>
    </row>
    <row r="406" spans="15:16" x14ac:dyDescent="0.2">
      <c r="O406" t="s">
        <v>1300</v>
      </c>
      <c r="P406">
        <v>2021</v>
      </c>
    </row>
    <row r="407" spans="15:16" x14ac:dyDescent="0.2">
      <c r="O407" t="s">
        <v>1303</v>
      </c>
      <c r="P407">
        <v>2021</v>
      </c>
    </row>
    <row r="408" spans="15:16" x14ac:dyDescent="0.2">
      <c r="O408" t="s">
        <v>1305</v>
      </c>
      <c r="P408">
        <v>2021</v>
      </c>
    </row>
    <row r="409" spans="15:16" x14ac:dyDescent="0.2">
      <c r="O409" t="s">
        <v>1312</v>
      </c>
      <c r="P409">
        <v>2021</v>
      </c>
    </row>
    <row r="410" spans="15:16" x14ac:dyDescent="0.2">
      <c r="O410" t="s">
        <v>1314</v>
      </c>
      <c r="P410">
        <v>2021</v>
      </c>
    </row>
    <row r="411" spans="15:16" x14ac:dyDescent="0.2">
      <c r="O411" t="s">
        <v>1322</v>
      </c>
      <c r="P411">
        <v>2021</v>
      </c>
    </row>
    <row r="412" spans="15:16" x14ac:dyDescent="0.2">
      <c r="O412" t="s">
        <v>1329</v>
      </c>
      <c r="P412">
        <v>2021</v>
      </c>
    </row>
    <row r="413" spans="15:16" x14ac:dyDescent="0.2">
      <c r="O413" t="s">
        <v>1332</v>
      </c>
      <c r="P413">
        <v>2021</v>
      </c>
    </row>
    <row r="414" spans="15:16" x14ac:dyDescent="0.2">
      <c r="O414" t="s">
        <v>1334</v>
      </c>
      <c r="P414">
        <v>2021</v>
      </c>
    </row>
    <row r="415" spans="15:16" x14ac:dyDescent="0.2">
      <c r="O415" t="s">
        <v>1336</v>
      </c>
      <c r="P415">
        <v>2021</v>
      </c>
    </row>
    <row r="416" spans="15:16" x14ac:dyDescent="0.2">
      <c r="O416" t="s">
        <v>1337</v>
      </c>
      <c r="P416">
        <v>2021</v>
      </c>
    </row>
    <row r="417" spans="15:16" x14ac:dyDescent="0.2">
      <c r="O417" t="s">
        <v>1340</v>
      </c>
      <c r="P417">
        <v>2021</v>
      </c>
    </row>
    <row r="418" spans="15:16" x14ac:dyDescent="0.2">
      <c r="O418" t="s">
        <v>1341</v>
      </c>
      <c r="P418">
        <v>2021</v>
      </c>
    </row>
    <row r="419" spans="15:16" x14ac:dyDescent="0.2">
      <c r="O419" t="s">
        <v>1343</v>
      </c>
      <c r="P419">
        <v>2021</v>
      </c>
    </row>
    <row r="420" spans="15:16" x14ac:dyDescent="0.2">
      <c r="O420" t="s">
        <v>1345</v>
      </c>
      <c r="P420">
        <v>2021</v>
      </c>
    </row>
    <row r="421" spans="15:16" x14ac:dyDescent="0.2">
      <c r="O421" t="s">
        <v>1348</v>
      </c>
      <c r="P421">
        <v>2021</v>
      </c>
    </row>
    <row r="422" spans="15:16" x14ac:dyDescent="0.2">
      <c r="O422" t="s">
        <v>1358</v>
      </c>
      <c r="P422">
        <v>2021</v>
      </c>
    </row>
    <row r="423" spans="15:16" x14ac:dyDescent="0.2">
      <c r="O423" t="s">
        <v>1359</v>
      </c>
      <c r="P423">
        <v>2021</v>
      </c>
    </row>
    <row r="424" spans="15:16" x14ac:dyDescent="0.2">
      <c r="O424" t="s">
        <v>1361</v>
      </c>
      <c r="P424">
        <v>2021</v>
      </c>
    </row>
    <row r="425" spans="15:16" x14ac:dyDescent="0.2">
      <c r="O425" t="s">
        <v>1363</v>
      </c>
      <c r="P425">
        <v>2021</v>
      </c>
    </row>
    <row r="426" spans="15:16" x14ac:dyDescent="0.2">
      <c r="O426" t="s">
        <v>1370</v>
      </c>
      <c r="P426">
        <v>2021</v>
      </c>
    </row>
    <row r="427" spans="15:16" x14ac:dyDescent="0.2">
      <c r="O427" t="s">
        <v>1371</v>
      </c>
      <c r="P427">
        <v>2021</v>
      </c>
    </row>
    <row r="428" spans="15:16" x14ac:dyDescent="0.2">
      <c r="O428" t="s">
        <v>1373</v>
      </c>
      <c r="P428">
        <v>2021</v>
      </c>
    </row>
    <row r="429" spans="15:16" x14ac:dyDescent="0.2">
      <c r="O429" t="s">
        <v>1375</v>
      </c>
      <c r="P429">
        <v>2021</v>
      </c>
    </row>
    <row r="430" spans="15:16" x14ac:dyDescent="0.2">
      <c r="O430" t="s">
        <v>1377</v>
      </c>
      <c r="P430">
        <v>2021</v>
      </c>
    </row>
    <row r="431" spans="15:16" x14ac:dyDescent="0.2">
      <c r="O431" t="s">
        <v>1380</v>
      </c>
      <c r="P431">
        <v>2021</v>
      </c>
    </row>
    <row r="432" spans="15:16" x14ac:dyDescent="0.2">
      <c r="O432" t="s">
        <v>1383</v>
      </c>
      <c r="P432">
        <v>2021</v>
      </c>
    </row>
    <row r="433" spans="15:16" x14ac:dyDescent="0.2">
      <c r="O433" t="s">
        <v>1385</v>
      </c>
      <c r="P433">
        <v>2021</v>
      </c>
    </row>
    <row r="434" spans="15:16" x14ac:dyDescent="0.2">
      <c r="O434" t="s">
        <v>1387</v>
      </c>
      <c r="P434">
        <v>2021</v>
      </c>
    </row>
    <row r="435" spans="15:16" x14ac:dyDescent="0.2">
      <c r="O435" t="s">
        <v>1394</v>
      </c>
      <c r="P435">
        <v>2021</v>
      </c>
    </row>
    <row r="436" spans="15:16" x14ac:dyDescent="0.2">
      <c r="O436" t="s">
        <v>1395</v>
      </c>
      <c r="P436">
        <v>2021</v>
      </c>
    </row>
    <row r="437" spans="15:16" x14ac:dyDescent="0.2">
      <c r="O437" t="s">
        <v>1396</v>
      </c>
      <c r="P437">
        <v>2021</v>
      </c>
    </row>
    <row r="438" spans="15:16" x14ac:dyDescent="0.2">
      <c r="O438" t="s">
        <v>1403</v>
      </c>
      <c r="P438">
        <v>2021</v>
      </c>
    </row>
    <row r="439" spans="15:16" x14ac:dyDescent="0.2">
      <c r="O439" t="s">
        <v>1407</v>
      </c>
      <c r="P439">
        <v>2021</v>
      </c>
    </row>
    <row r="440" spans="15:16" x14ac:dyDescent="0.2">
      <c r="O440" t="s">
        <v>1410</v>
      </c>
      <c r="P440">
        <v>2021</v>
      </c>
    </row>
    <row r="441" spans="15:16" x14ac:dyDescent="0.2">
      <c r="O441" t="s">
        <v>1414</v>
      </c>
      <c r="P441">
        <v>2021</v>
      </c>
    </row>
    <row r="442" spans="15:16" x14ac:dyDescent="0.2">
      <c r="O442" t="s">
        <v>1415</v>
      </c>
      <c r="P442">
        <v>2021</v>
      </c>
    </row>
    <row r="443" spans="15:16" x14ac:dyDescent="0.2">
      <c r="O443" t="s">
        <v>1416</v>
      </c>
      <c r="P443">
        <v>2021</v>
      </c>
    </row>
    <row r="444" spans="15:16" x14ac:dyDescent="0.2">
      <c r="O444" t="s">
        <v>1419</v>
      </c>
      <c r="P444">
        <v>2021</v>
      </c>
    </row>
    <row r="445" spans="15:16" x14ac:dyDescent="0.2">
      <c r="O445" t="s">
        <v>1425</v>
      </c>
      <c r="P445">
        <v>2021</v>
      </c>
    </row>
    <row r="446" spans="15:16" x14ac:dyDescent="0.2">
      <c r="O446" t="s">
        <v>1426</v>
      </c>
      <c r="P446">
        <v>2021</v>
      </c>
    </row>
    <row r="447" spans="15:16" x14ac:dyDescent="0.2">
      <c r="O447" t="s">
        <v>1428</v>
      </c>
      <c r="P447">
        <v>2021</v>
      </c>
    </row>
    <row r="448" spans="15:16" x14ac:dyDescent="0.2">
      <c r="O448" t="s">
        <v>1431</v>
      </c>
      <c r="P448">
        <v>2021</v>
      </c>
    </row>
    <row r="449" spans="15:16" x14ac:dyDescent="0.2">
      <c r="O449" t="s">
        <v>1433</v>
      </c>
      <c r="P449">
        <v>2021</v>
      </c>
    </row>
    <row r="450" spans="15:16" x14ac:dyDescent="0.2">
      <c r="O450" t="s">
        <v>1435</v>
      </c>
      <c r="P450">
        <v>2021</v>
      </c>
    </row>
    <row r="451" spans="15:16" x14ac:dyDescent="0.2">
      <c r="O451" t="s">
        <v>1438</v>
      </c>
      <c r="P451">
        <v>2021</v>
      </c>
    </row>
    <row r="452" spans="15:16" x14ac:dyDescent="0.2">
      <c r="O452" t="s">
        <v>1440</v>
      </c>
      <c r="P452">
        <v>2021</v>
      </c>
    </row>
    <row r="453" spans="15:16" x14ac:dyDescent="0.2">
      <c r="O453" t="s">
        <v>1445</v>
      </c>
      <c r="P453">
        <v>2021</v>
      </c>
    </row>
    <row r="454" spans="15:16" x14ac:dyDescent="0.2">
      <c r="O454" t="s">
        <v>1448</v>
      </c>
      <c r="P454">
        <v>2021</v>
      </c>
    </row>
    <row r="455" spans="15:16" x14ac:dyDescent="0.2">
      <c r="O455" t="s">
        <v>1450</v>
      </c>
      <c r="P455">
        <v>2021</v>
      </c>
    </row>
    <row r="456" spans="15:16" x14ac:dyDescent="0.2">
      <c r="O456" t="s">
        <v>1454</v>
      </c>
      <c r="P456">
        <v>2021</v>
      </c>
    </row>
    <row r="457" spans="15:16" x14ac:dyDescent="0.2">
      <c r="O457" t="s">
        <v>1459</v>
      </c>
      <c r="P457">
        <v>2021</v>
      </c>
    </row>
    <row r="458" spans="15:16" x14ac:dyDescent="0.2">
      <c r="O458" t="s">
        <v>1461</v>
      </c>
      <c r="P458">
        <v>2021</v>
      </c>
    </row>
    <row r="459" spans="15:16" x14ac:dyDescent="0.2">
      <c r="O459" t="s">
        <v>1465</v>
      </c>
      <c r="P459">
        <v>2021</v>
      </c>
    </row>
    <row r="460" spans="15:16" x14ac:dyDescent="0.2">
      <c r="O460" t="s">
        <v>1468</v>
      </c>
      <c r="P460">
        <v>2021</v>
      </c>
    </row>
    <row r="461" spans="15:16" x14ac:dyDescent="0.2">
      <c r="O461" t="s">
        <v>1469</v>
      </c>
      <c r="P461">
        <v>2021</v>
      </c>
    </row>
    <row r="462" spans="15:16" x14ac:dyDescent="0.2">
      <c r="O462" t="s">
        <v>1473</v>
      </c>
      <c r="P462">
        <v>2021</v>
      </c>
    </row>
    <row r="463" spans="15:16" x14ac:dyDescent="0.2">
      <c r="O463" t="s">
        <v>1476</v>
      </c>
      <c r="P463">
        <v>2021</v>
      </c>
    </row>
    <row r="464" spans="15:16" x14ac:dyDescent="0.2">
      <c r="O464" t="s">
        <v>1477</v>
      </c>
      <c r="P464">
        <v>2021</v>
      </c>
    </row>
    <row r="465" spans="15:16" x14ac:dyDescent="0.2">
      <c r="O465" t="s">
        <v>1479</v>
      </c>
      <c r="P465">
        <v>2021</v>
      </c>
    </row>
    <row r="466" spans="15:16" x14ac:dyDescent="0.2">
      <c r="O466" t="s">
        <v>1480</v>
      </c>
      <c r="P466">
        <v>2021</v>
      </c>
    </row>
    <row r="467" spans="15:16" x14ac:dyDescent="0.2">
      <c r="O467" t="s">
        <v>1485</v>
      </c>
      <c r="P467">
        <v>2021</v>
      </c>
    </row>
    <row r="468" spans="15:16" x14ac:dyDescent="0.2">
      <c r="O468" t="s">
        <v>1487</v>
      </c>
      <c r="P468">
        <v>2021</v>
      </c>
    </row>
    <row r="469" spans="15:16" x14ac:dyDescent="0.2">
      <c r="O469" t="s">
        <v>1489</v>
      </c>
      <c r="P469">
        <v>2021</v>
      </c>
    </row>
    <row r="470" spans="15:16" x14ac:dyDescent="0.2">
      <c r="O470" t="s">
        <v>1491</v>
      </c>
      <c r="P470">
        <v>2021</v>
      </c>
    </row>
    <row r="471" spans="15:16" x14ac:dyDescent="0.2">
      <c r="O471" t="s">
        <v>1496</v>
      </c>
      <c r="P471">
        <v>2021</v>
      </c>
    </row>
    <row r="472" spans="15:16" x14ac:dyDescent="0.2">
      <c r="O472" t="s">
        <v>1497</v>
      </c>
      <c r="P472">
        <v>2021</v>
      </c>
    </row>
    <row r="473" spans="15:16" x14ac:dyDescent="0.2">
      <c r="O473" t="s">
        <v>1499</v>
      </c>
      <c r="P473">
        <v>2021</v>
      </c>
    </row>
    <row r="474" spans="15:16" x14ac:dyDescent="0.2">
      <c r="O474" t="s">
        <v>1504</v>
      </c>
      <c r="P474">
        <v>2021</v>
      </c>
    </row>
    <row r="475" spans="15:16" x14ac:dyDescent="0.2">
      <c r="O475" t="s">
        <v>1507</v>
      </c>
      <c r="P475">
        <v>2021</v>
      </c>
    </row>
    <row r="476" spans="15:16" x14ac:dyDescent="0.2">
      <c r="O476" t="s">
        <v>1509</v>
      </c>
      <c r="P476">
        <v>2021</v>
      </c>
    </row>
    <row r="477" spans="15:16" x14ac:dyDescent="0.2">
      <c r="O477" t="s">
        <v>1513</v>
      </c>
      <c r="P477">
        <v>2021</v>
      </c>
    </row>
    <row r="478" spans="15:16" x14ac:dyDescent="0.2">
      <c r="O478" t="s">
        <v>1515</v>
      </c>
      <c r="P478">
        <v>2021</v>
      </c>
    </row>
    <row r="479" spans="15:16" x14ac:dyDescent="0.2">
      <c r="O479" t="s">
        <v>1516</v>
      </c>
      <c r="P479">
        <v>2021</v>
      </c>
    </row>
    <row r="480" spans="15:16" x14ac:dyDescent="0.2">
      <c r="O480" t="s">
        <v>1519</v>
      </c>
      <c r="P480">
        <v>2021</v>
      </c>
    </row>
    <row r="481" spans="15:16" x14ac:dyDescent="0.2">
      <c r="O481" t="s">
        <v>1521</v>
      </c>
      <c r="P481">
        <v>2021</v>
      </c>
    </row>
    <row r="482" spans="15:16" x14ac:dyDescent="0.2">
      <c r="O482" t="s">
        <v>1523</v>
      </c>
      <c r="P482">
        <v>2021</v>
      </c>
    </row>
    <row r="483" spans="15:16" x14ac:dyDescent="0.2">
      <c r="O483" t="s">
        <v>1530</v>
      </c>
      <c r="P483">
        <v>2021</v>
      </c>
    </row>
    <row r="484" spans="15:16" x14ac:dyDescent="0.2">
      <c r="O484" t="s">
        <v>1536</v>
      </c>
      <c r="P484">
        <v>2021</v>
      </c>
    </row>
    <row r="485" spans="15:16" x14ac:dyDescent="0.2">
      <c r="O485" t="s">
        <v>1537</v>
      </c>
      <c r="P485">
        <v>2021</v>
      </c>
    </row>
    <row r="486" spans="15:16" x14ac:dyDescent="0.2">
      <c r="O486" t="s">
        <v>1540</v>
      </c>
      <c r="P486">
        <v>2021</v>
      </c>
    </row>
    <row r="487" spans="15:16" x14ac:dyDescent="0.2">
      <c r="O487" t="s">
        <v>1543</v>
      </c>
      <c r="P487">
        <v>2021</v>
      </c>
    </row>
    <row r="488" spans="15:16" x14ac:dyDescent="0.2">
      <c r="O488" t="s">
        <v>1546</v>
      </c>
      <c r="P488">
        <v>2021</v>
      </c>
    </row>
    <row r="489" spans="15:16" x14ac:dyDescent="0.2">
      <c r="O489" t="s">
        <v>1548</v>
      </c>
      <c r="P489">
        <v>2021</v>
      </c>
    </row>
    <row r="490" spans="15:16" x14ac:dyDescent="0.2">
      <c r="O490" t="s">
        <v>1549</v>
      </c>
      <c r="P490">
        <v>2021</v>
      </c>
    </row>
    <row r="491" spans="15:16" x14ac:dyDescent="0.2">
      <c r="O491" t="s">
        <v>1550</v>
      </c>
      <c r="P491">
        <v>2021</v>
      </c>
    </row>
    <row r="492" spans="15:16" x14ac:dyDescent="0.2">
      <c r="O492" t="s">
        <v>1552</v>
      </c>
      <c r="P492">
        <v>2021</v>
      </c>
    </row>
    <row r="493" spans="15:16" x14ac:dyDescent="0.2">
      <c r="O493" t="s">
        <v>1557</v>
      </c>
      <c r="P493">
        <v>2021</v>
      </c>
    </row>
    <row r="494" spans="15:16" x14ac:dyDescent="0.2">
      <c r="O494" t="s">
        <v>1559</v>
      </c>
      <c r="P494">
        <v>2021</v>
      </c>
    </row>
    <row r="495" spans="15:16" x14ac:dyDescent="0.2">
      <c r="O495" t="s">
        <v>1564</v>
      </c>
      <c r="P495">
        <v>2021</v>
      </c>
    </row>
    <row r="496" spans="15:16" x14ac:dyDescent="0.2">
      <c r="O496" t="s">
        <v>1565</v>
      </c>
      <c r="P496">
        <v>2021</v>
      </c>
    </row>
    <row r="497" spans="15:16" x14ac:dyDescent="0.2">
      <c r="O497" t="s">
        <v>1570</v>
      </c>
      <c r="P497">
        <v>2021</v>
      </c>
    </row>
    <row r="498" spans="15:16" x14ac:dyDescent="0.2">
      <c r="O498" t="s">
        <v>1573</v>
      </c>
      <c r="P498">
        <v>2021</v>
      </c>
    </row>
    <row r="499" spans="15:16" x14ac:dyDescent="0.2">
      <c r="O499" t="s">
        <v>1576</v>
      </c>
      <c r="P499">
        <v>2021</v>
      </c>
    </row>
    <row r="500" spans="15:16" x14ac:dyDescent="0.2">
      <c r="O500" t="s">
        <v>1578</v>
      </c>
      <c r="P500">
        <v>2021</v>
      </c>
    </row>
    <row r="501" spans="15:16" x14ac:dyDescent="0.2">
      <c r="O501" t="s">
        <v>1586</v>
      </c>
      <c r="P501">
        <v>2021</v>
      </c>
    </row>
    <row r="502" spans="15:16" x14ac:dyDescent="0.2">
      <c r="O502" t="s">
        <v>1595</v>
      </c>
      <c r="P502">
        <v>2021</v>
      </c>
    </row>
    <row r="503" spans="15:16" x14ac:dyDescent="0.2">
      <c r="O503" t="s">
        <v>1597</v>
      </c>
      <c r="P503">
        <v>2021</v>
      </c>
    </row>
    <row r="504" spans="15:16" x14ac:dyDescent="0.2">
      <c r="O504" t="s">
        <v>1600</v>
      </c>
      <c r="P504">
        <v>2021</v>
      </c>
    </row>
    <row r="505" spans="15:16" x14ac:dyDescent="0.2">
      <c r="O505" t="s">
        <v>1612</v>
      </c>
      <c r="P505">
        <v>2021</v>
      </c>
    </row>
    <row r="506" spans="15:16" x14ac:dyDescent="0.2">
      <c r="O506" t="s">
        <v>1616</v>
      </c>
      <c r="P506">
        <v>2021</v>
      </c>
    </row>
    <row r="507" spans="15:16" x14ac:dyDescent="0.2">
      <c r="O507" t="s">
        <v>1618</v>
      </c>
      <c r="P507">
        <v>2021</v>
      </c>
    </row>
    <row r="508" spans="15:16" x14ac:dyDescent="0.2">
      <c r="O508" t="s">
        <v>1619</v>
      </c>
      <c r="P508">
        <v>2021</v>
      </c>
    </row>
    <row r="509" spans="15:16" x14ac:dyDescent="0.2">
      <c r="O509" t="s">
        <v>1620</v>
      </c>
      <c r="P509">
        <v>2021</v>
      </c>
    </row>
    <row r="510" spans="15:16" x14ac:dyDescent="0.2">
      <c r="O510" t="s">
        <v>1622</v>
      </c>
      <c r="P510">
        <v>2021</v>
      </c>
    </row>
    <row r="511" spans="15:16" x14ac:dyDescent="0.2">
      <c r="O511" t="s">
        <v>1625</v>
      </c>
      <c r="P511">
        <v>2021</v>
      </c>
    </row>
    <row r="512" spans="15:16" x14ac:dyDescent="0.2">
      <c r="O512" t="s">
        <v>1627</v>
      </c>
      <c r="P512">
        <v>2021</v>
      </c>
    </row>
    <row r="513" spans="15:16" x14ac:dyDescent="0.2">
      <c r="O513" t="s">
        <v>1631</v>
      </c>
      <c r="P513">
        <v>2021</v>
      </c>
    </row>
    <row r="514" spans="15:16" x14ac:dyDescent="0.2">
      <c r="O514" t="s">
        <v>1633</v>
      </c>
      <c r="P514">
        <v>2021</v>
      </c>
    </row>
    <row r="515" spans="15:16" x14ac:dyDescent="0.2">
      <c r="O515" t="s">
        <v>1635</v>
      </c>
      <c r="P515">
        <v>2021</v>
      </c>
    </row>
    <row r="516" spans="15:16" x14ac:dyDescent="0.2">
      <c r="O516" t="s">
        <v>1637</v>
      </c>
      <c r="P516">
        <v>2021</v>
      </c>
    </row>
    <row r="517" spans="15:16" x14ac:dyDescent="0.2">
      <c r="O517" t="s">
        <v>1640</v>
      </c>
      <c r="P517">
        <v>2021</v>
      </c>
    </row>
    <row r="518" spans="15:16" x14ac:dyDescent="0.2">
      <c r="O518" t="s">
        <v>1643</v>
      </c>
      <c r="P518">
        <v>2021</v>
      </c>
    </row>
    <row r="519" spans="15:16" x14ac:dyDescent="0.2">
      <c r="O519" t="s">
        <v>1645</v>
      </c>
      <c r="P519">
        <v>2021</v>
      </c>
    </row>
    <row r="520" spans="15:16" x14ac:dyDescent="0.2">
      <c r="O520" t="s">
        <v>1650</v>
      </c>
      <c r="P520">
        <v>2021</v>
      </c>
    </row>
    <row r="521" spans="15:16" x14ac:dyDescent="0.2">
      <c r="O521" t="s">
        <v>1654</v>
      </c>
      <c r="P521">
        <v>2021</v>
      </c>
    </row>
    <row r="522" spans="15:16" x14ac:dyDescent="0.2">
      <c r="O522" t="s">
        <v>1657</v>
      </c>
      <c r="P522">
        <v>2021</v>
      </c>
    </row>
    <row r="523" spans="15:16" x14ac:dyDescent="0.2">
      <c r="O523" t="s">
        <v>1659</v>
      </c>
      <c r="P523">
        <v>2021</v>
      </c>
    </row>
    <row r="524" spans="15:16" x14ac:dyDescent="0.2">
      <c r="O524" t="s">
        <v>1663</v>
      </c>
      <c r="P524">
        <v>2021</v>
      </c>
    </row>
    <row r="525" spans="15:16" x14ac:dyDescent="0.2">
      <c r="O525" t="s">
        <v>1664</v>
      </c>
      <c r="P525">
        <v>2021</v>
      </c>
    </row>
    <row r="526" spans="15:16" x14ac:dyDescent="0.2">
      <c r="O526" t="s">
        <v>1665</v>
      </c>
      <c r="P526">
        <v>2021</v>
      </c>
    </row>
    <row r="527" spans="15:16" x14ac:dyDescent="0.2">
      <c r="O527" t="s">
        <v>1667</v>
      </c>
      <c r="P527">
        <v>2021</v>
      </c>
    </row>
    <row r="528" spans="15:16" x14ac:dyDescent="0.2">
      <c r="O528" t="s">
        <v>1671</v>
      </c>
      <c r="P528">
        <v>2021</v>
      </c>
    </row>
    <row r="529" spans="15:16" x14ac:dyDescent="0.2">
      <c r="O529" t="s">
        <v>1673</v>
      </c>
      <c r="P529">
        <v>2021</v>
      </c>
    </row>
    <row r="530" spans="15:16" x14ac:dyDescent="0.2">
      <c r="O530" t="s">
        <v>1674</v>
      </c>
      <c r="P530">
        <v>2021</v>
      </c>
    </row>
    <row r="531" spans="15:16" x14ac:dyDescent="0.2">
      <c r="O531" t="s">
        <v>1678</v>
      </c>
      <c r="P531">
        <v>2021</v>
      </c>
    </row>
    <row r="532" spans="15:16" x14ac:dyDescent="0.2">
      <c r="O532" t="s">
        <v>1679</v>
      </c>
      <c r="P532">
        <v>2021</v>
      </c>
    </row>
    <row r="533" spans="15:16" x14ac:dyDescent="0.2">
      <c r="O533" t="s">
        <v>1682</v>
      </c>
      <c r="P533">
        <v>2021</v>
      </c>
    </row>
    <row r="534" spans="15:16" x14ac:dyDescent="0.2">
      <c r="O534" t="s">
        <v>1684</v>
      </c>
      <c r="P534">
        <v>2021</v>
      </c>
    </row>
    <row r="535" spans="15:16" x14ac:dyDescent="0.2">
      <c r="O535" t="s">
        <v>1686</v>
      </c>
      <c r="P535">
        <v>2021</v>
      </c>
    </row>
    <row r="536" spans="15:16" x14ac:dyDescent="0.2">
      <c r="O536" t="s">
        <v>1689</v>
      </c>
      <c r="P536">
        <v>2021</v>
      </c>
    </row>
    <row r="537" spans="15:16" x14ac:dyDescent="0.2">
      <c r="O537" t="s">
        <v>1690</v>
      </c>
      <c r="P537">
        <v>2021</v>
      </c>
    </row>
    <row r="538" spans="15:16" x14ac:dyDescent="0.2">
      <c r="O538" t="s">
        <v>1695</v>
      </c>
      <c r="P538">
        <v>2021</v>
      </c>
    </row>
    <row r="539" spans="15:16" x14ac:dyDescent="0.2">
      <c r="O539" t="s">
        <v>1698</v>
      </c>
      <c r="P539">
        <v>2021</v>
      </c>
    </row>
    <row r="540" spans="15:16" x14ac:dyDescent="0.2">
      <c r="O540" t="s">
        <v>1701</v>
      </c>
      <c r="P540">
        <v>2021</v>
      </c>
    </row>
    <row r="541" spans="15:16" x14ac:dyDescent="0.2">
      <c r="O541" t="s">
        <v>1707</v>
      </c>
      <c r="P541">
        <v>2021</v>
      </c>
    </row>
    <row r="542" spans="15:16" x14ac:dyDescent="0.2">
      <c r="O542" t="s">
        <v>1714</v>
      </c>
      <c r="P542">
        <v>2021</v>
      </c>
    </row>
    <row r="543" spans="15:16" x14ac:dyDescent="0.2">
      <c r="O543" t="s">
        <v>1716</v>
      </c>
      <c r="P543">
        <v>2021</v>
      </c>
    </row>
    <row r="544" spans="15:16" x14ac:dyDescent="0.2">
      <c r="O544" t="s">
        <v>1721</v>
      </c>
      <c r="P544">
        <v>2021</v>
      </c>
    </row>
    <row r="545" spans="15:16" x14ac:dyDescent="0.2">
      <c r="O545" t="s">
        <v>1722</v>
      </c>
      <c r="P545">
        <v>2021</v>
      </c>
    </row>
    <row r="546" spans="15:16" x14ac:dyDescent="0.2">
      <c r="O546" t="s">
        <v>1724</v>
      </c>
      <c r="P546">
        <v>2021</v>
      </c>
    </row>
    <row r="547" spans="15:16" x14ac:dyDescent="0.2">
      <c r="O547" t="s">
        <v>1725</v>
      </c>
      <c r="P547">
        <v>2021</v>
      </c>
    </row>
    <row r="548" spans="15:16" x14ac:dyDescent="0.2">
      <c r="O548" t="s">
        <v>1729</v>
      </c>
      <c r="P548">
        <v>2021</v>
      </c>
    </row>
    <row r="549" spans="15:16" x14ac:dyDescent="0.2">
      <c r="O549" t="s">
        <v>1735</v>
      </c>
      <c r="P549">
        <v>2021</v>
      </c>
    </row>
    <row r="550" spans="15:16" x14ac:dyDescent="0.2">
      <c r="O550" t="s">
        <v>1736</v>
      </c>
      <c r="P550">
        <v>2021</v>
      </c>
    </row>
    <row r="551" spans="15:16" x14ac:dyDescent="0.2">
      <c r="O551" t="s">
        <v>1738</v>
      </c>
      <c r="P551">
        <v>2021</v>
      </c>
    </row>
    <row r="552" spans="15:16" x14ac:dyDescent="0.2">
      <c r="O552" t="s">
        <v>1740</v>
      </c>
      <c r="P552">
        <v>2021</v>
      </c>
    </row>
    <row r="553" spans="15:16" x14ac:dyDescent="0.2">
      <c r="O553" t="s">
        <v>1743</v>
      </c>
      <c r="P553">
        <v>2021</v>
      </c>
    </row>
    <row r="554" spans="15:16" x14ac:dyDescent="0.2">
      <c r="O554" t="s">
        <v>1746</v>
      </c>
      <c r="P554">
        <v>2021</v>
      </c>
    </row>
    <row r="555" spans="15:16" x14ac:dyDescent="0.2">
      <c r="O555" t="s">
        <v>1748</v>
      </c>
      <c r="P555">
        <v>2021</v>
      </c>
    </row>
    <row r="556" spans="15:16" x14ac:dyDescent="0.2">
      <c r="O556" t="s">
        <v>1749</v>
      </c>
      <c r="P556">
        <v>2021</v>
      </c>
    </row>
    <row r="557" spans="15:16" x14ac:dyDescent="0.2">
      <c r="O557" t="s">
        <v>1750</v>
      </c>
      <c r="P557">
        <v>2021</v>
      </c>
    </row>
    <row r="558" spans="15:16" x14ac:dyDescent="0.2">
      <c r="O558" t="s">
        <v>1753</v>
      </c>
      <c r="P558">
        <v>2021</v>
      </c>
    </row>
    <row r="559" spans="15:16" x14ac:dyDescent="0.2">
      <c r="O559" t="s">
        <v>1754</v>
      </c>
      <c r="P559">
        <v>2021</v>
      </c>
    </row>
    <row r="560" spans="15:16" x14ac:dyDescent="0.2">
      <c r="O560" t="s">
        <v>1760</v>
      </c>
      <c r="P560">
        <v>2021</v>
      </c>
    </row>
    <row r="561" spans="15:16" x14ac:dyDescent="0.2">
      <c r="O561" t="s">
        <v>1762</v>
      </c>
      <c r="P561">
        <v>2021</v>
      </c>
    </row>
    <row r="562" spans="15:16" x14ac:dyDescent="0.2">
      <c r="O562" t="s">
        <v>1764</v>
      </c>
      <c r="P562">
        <v>2021</v>
      </c>
    </row>
    <row r="563" spans="15:16" x14ac:dyDescent="0.2">
      <c r="O563" t="s">
        <v>1768</v>
      </c>
      <c r="P563">
        <v>2021</v>
      </c>
    </row>
    <row r="564" spans="15:16" x14ac:dyDescent="0.2">
      <c r="O564" t="s">
        <v>1773</v>
      </c>
      <c r="P564">
        <v>2021</v>
      </c>
    </row>
    <row r="565" spans="15:16" x14ac:dyDescent="0.2">
      <c r="O565" t="s">
        <v>1778</v>
      </c>
      <c r="P565">
        <v>2021</v>
      </c>
    </row>
    <row r="566" spans="15:16" x14ac:dyDescent="0.2">
      <c r="O566" t="s">
        <v>1780</v>
      </c>
      <c r="P566">
        <v>2021</v>
      </c>
    </row>
    <row r="567" spans="15:16" x14ac:dyDescent="0.2">
      <c r="O567" t="s">
        <v>1783</v>
      </c>
      <c r="P567">
        <v>2021</v>
      </c>
    </row>
    <row r="568" spans="15:16" x14ac:dyDescent="0.2">
      <c r="O568" t="s">
        <v>1785</v>
      </c>
      <c r="P568">
        <v>2021</v>
      </c>
    </row>
    <row r="569" spans="15:16" x14ac:dyDescent="0.2">
      <c r="O569" t="s">
        <v>1787</v>
      </c>
      <c r="P569">
        <v>2021</v>
      </c>
    </row>
    <row r="570" spans="15:16" x14ac:dyDescent="0.2">
      <c r="O570" t="s">
        <v>1790</v>
      </c>
      <c r="P570">
        <v>2021</v>
      </c>
    </row>
    <row r="571" spans="15:16" x14ac:dyDescent="0.2">
      <c r="O571" t="s">
        <v>1793</v>
      </c>
      <c r="P571">
        <v>2021</v>
      </c>
    </row>
    <row r="572" spans="15:16" x14ac:dyDescent="0.2">
      <c r="O572" t="s">
        <v>1795</v>
      </c>
      <c r="P572">
        <v>2021</v>
      </c>
    </row>
    <row r="573" spans="15:16" x14ac:dyDescent="0.2">
      <c r="O573" t="s">
        <v>1799</v>
      </c>
      <c r="P573">
        <v>2021</v>
      </c>
    </row>
    <row r="574" spans="15:16" x14ac:dyDescent="0.2">
      <c r="O574" t="s">
        <v>1800</v>
      </c>
      <c r="P574">
        <v>2021</v>
      </c>
    </row>
    <row r="575" spans="15:16" x14ac:dyDescent="0.2">
      <c r="O575" t="s">
        <v>1801</v>
      </c>
      <c r="P575">
        <v>2021</v>
      </c>
    </row>
    <row r="576" spans="15:16" x14ac:dyDescent="0.2">
      <c r="O576" t="s">
        <v>1802</v>
      </c>
      <c r="P576">
        <v>2021</v>
      </c>
    </row>
    <row r="577" spans="15:16" x14ac:dyDescent="0.2">
      <c r="O577" t="s">
        <v>1803</v>
      </c>
      <c r="P577">
        <v>2021</v>
      </c>
    </row>
    <row r="578" spans="15:16" x14ac:dyDescent="0.2">
      <c r="O578" t="s">
        <v>1805</v>
      </c>
      <c r="P578">
        <v>2021</v>
      </c>
    </row>
    <row r="579" spans="15:16" x14ac:dyDescent="0.2">
      <c r="O579" t="s">
        <v>1813</v>
      </c>
      <c r="P579">
        <v>2021</v>
      </c>
    </row>
    <row r="580" spans="15:16" x14ac:dyDescent="0.2">
      <c r="O580" t="s">
        <v>1815</v>
      </c>
      <c r="P580">
        <v>2021</v>
      </c>
    </row>
    <row r="581" spans="15:16" x14ac:dyDescent="0.2">
      <c r="O581" t="s">
        <v>1819</v>
      </c>
      <c r="P581">
        <v>2021</v>
      </c>
    </row>
    <row r="582" spans="15:16" x14ac:dyDescent="0.2">
      <c r="O582" t="s">
        <v>1824</v>
      </c>
      <c r="P582">
        <v>2021</v>
      </c>
    </row>
    <row r="583" spans="15:16" x14ac:dyDescent="0.2">
      <c r="O583" t="s">
        <v>1828</v>
      </c>
      <c r="P583">
        <v>2021</v>
      </c>
    </row>
    <row r="584" spans="15:16" x14ac:dyDescent="0.2">
      <c r="O584" t="s">
        <v>1830</v>
      </c>
      <c r="P584">
        <v>2021</v>
      </c>
    </row>
    <row r="585" spans="15:16" x14ac:dyDescent="0.2">
      <c r="O585" t="s">
        <v>1833</v>
      </c>
      <c r="P585">
        <v>2021</v>
      </c>
    </row>
    <row r="586" spans="15:16" x14ac:dyDescent="0.2">
      <c r="O586" t="s">
        <v>1842</v>
      </c>
      <c r="P586">
        <v>2021</v>
      </c>
    </row>
    <row r="587" spans="15:16" x14ac:dyDescent="0.2">
      <c r="O587" t="s">
        <v>1844</v>
      </c>
      <c r="P587">
        <v>2021</v>
      </c>
    </row>
    <row r="588" spans="15:16" x14ac:dyDescent="0.2">
      <c r="O588" t="s">
        <v>1848</v>
      </c>
      <c r="P588">
        <v>2021</v>
      </c>
    </row>
    <row r="589" spans="15:16" x14ac:dyDescent="0.2">
      <c r="O589" t="s">
        <v>1858</v>
      </c>
      <c r="P589">
        <v>2021</v>
      </c>
    </row>
    <row r="590" spans="15:16" x14ac:dyDescent="0.2">
      <c r="O590" t="s">
        <v>1865</v>
      </c>
      <c r="P590">
        <v>2021</v>
      </c>
    </row>
    <row r="591" spans="15:16" x14ac:dyDescent="0.2">
      <c r="O591" t="s">
        <v>1867</v>
      </c>
      <c r="P591">
        <v>2021</v>
      </c>
    </row>
    <row r="592" spans="15:16" x14ac:dyDescent="0.2">
      <c r="O592" t="s">
        <v>1868</v>
      </c>
      <c r="P592">
        <v>2021</v>
      </c>
    </row>
    <row r="593" spans="15:16" x14ac:dyDescent="0.2">
      <c r="O593" t="s">
        <v>1869</v>
      </c>
      <c r="P593">
        <v>2021</v>
      </c>
    </row>
    <row r="594" spans="15:16" x14ac:dyDescent="0.2">
      <c r="O594" t="s">
        <v>1870</v>
      </c>
      <c r="P594">
        <v>2021</v>
      </c>
    </row>
    <row r="595" spans="15:16" x14ac:dyDescent="0.2">
      <c r="O595" t="s">
        <v>1873</v>
      </c>
      <c r="P595">
        <v>2021</v>
      </c>
    </row>
    <row r="596" spans="15:16" x14ac:dyDescent="0.2">
      <c r="O596" t="s">
        <v>1879</v>
      </c>
      <c r="P596">
        <v>2021</v>
      </c>
    </row>
    <row r="597" spans="15:16" x14ac:dyDescent="0.2">
      <c r="O597" t="s">
        <v>661</v>
      </c>
      <c r="P597">
        <v>2022</v>
      </c>
    </row>
    <row r="598" spans="15:16" x14ac:dyDescent="0.2">
      <c r="O598" t="s">
        <v>1885</v>
      </c>
      <c r="P598">
        <v>2022</v>
      </c>
    </row>
    <row r="599" spans="15:16" x14ac:dyDescent="0.2">
      <c r="O599" t="s">
        <v>1504</v>
      </c>
      <c r="P599">
        <v>2022</v>
      </c>
    </row>
    <row r="600" spans="15:16" x14ac:dyDescent="0.2">
      <c r="O600" t="s">
        <v>1887</v>
      </c>
      <c r="P600">
        <v>2022</v>
      </c>
    </row>
    <row r="601" spans="15:16" x14ac:dyDescent="0.2">
      <c r="O601" t="s">
        <v>63</v>
      </c>
      <c r="P601">
        <v>2022</v>
      </c>
    </row>
    <row r="602" spans="15:16" x14ac:dyDescent="0.2">
      <c r="O602" t="s">
        <v>1888</v>
      </c>
      <c r="P602">
        <v>2022</v>
      </c>
    </row>
    <row r="603" spans="15:16" x14ac:dyDescent="0.2">
      <c r="O603" t="s">
        <v>217</v>
      </c>
      <c r="P603">
        <v>2022</v>
      </c>
    </row>
    <row r="604" spans="15:16" x14ac:dyDescent="0.2">
      <c r="O604" t="s">
        <v>659</v>
      </c>
      <c r="P604">
        <v>2022</v>
      </c>
    </row>
    <row r="605" spans="15:16" x14ac:dyDescent="0.2">
      <c r="O605" t="s">
        <v>1879</v>
      </c>
      <c r="P605">
        <v>2022</v>
      </c>
    </row>
    <row r="606" spans="15:16" x14ac:dyDescent="0.2">
      <c r="O606" t="s">
        <v>1251</v>
      </c>
      <c r="P606">
        <v>2022</v>
      </c>
    </row>
    <row r="607" spans="15:16" x14ac:dyDescent="0.2">
      <c r="O607" t="s">
        <v>368</v>
      </c>
      <c r="P607">
        <v>2022</v>
      </c>
    </row>
    <row r="608" spans="15:16" x14ac:dyDescent="0.2">
      <c r="O608" t="s">
        <v>79</v>
      </c>
      <c r="P608">
        <v>2022</v>
      </c>
    </row>
    <row r="609" spans="15:16" x14ac:dyDescent="0.2">
      <c r="O609" t="s">
        <v>1893</v>
      </c>
      <c r="P609">
        <v>2022</v>
      </c>
    </row>
    <row r="610" spans="15:16" x14ac:dyDescent="0.2">
      <c r="O610" t="s">
        <v>1894</v>
      </c>
      <c r="P610">
        <v>2022</v>
      </c>
    </row>
    <row r="611" spans="15:16" x14ac:dyDescent="0.2">
      <c r="O611" t="s">
        <v>955</v>
      </c>
      <c r="P611">
        <v>2022</v>
      </c>
    </row>
    <row r="612" spans="15:16" x14ac:dyDescent="0.2">
      <c r="O612" t="s">
        <v>1900</v>
      </c>
      <c r="P612">
        <v>2022</v>
      </c>
    </row>
    <row r="613" spans="15:16" x14ac:dyDescent="0.2">
      <c r="O613" t="s">
        <v>607</v>
      </c>
      <c r="P613">
        <v>2022</v>
      </c>
    </row>
    <row r="614" spans="15:16" x14ac:dyDescent="0.2">
      <c r="O614" t="s">
        <v>477</v>
      </c>
      <c r="P614">
        <v>2022</v>
      </c>
    </row>
    <row r="615" spans="15:16" x14ac:dyDescent="0.2">
      <c r="O615" t="s">
        <v>612</v>
      </c>
      <c r="P615">
        <v>2022</v>
      </c>
    </row>
    <row r="616" spans="15:16" x14ac:dyDescent="0.2">
      <c r="O616" t="s">
        <v>805</v>
      </c>
      <c r="P616">
        <v>2022</v>
      </c>
    </row>
    <row r="617" spans="15:16" x14ac:dyDescent="0.2">
      <c r="O617" t="s">
        <v>1902</v>
      </c>
      <c r="P617">
        <v>2022</v>
      </c>
    </row>
    <row r="618" spans="15:16" x14ac:dyDescent="0.2">
      <c r="O618" t="s">
        <v>1743</v>
      </c>
      <c r="P618">
        <v>2022</v>
      </c>
    </row>
    <row r="619" spans="15:16" x14ac:dyDescent="0.2">
      <c r="O619" t="s">
        <v>60</v>
      </c>
      <c r="P619">
        <v>2022</v>
      </c>
    </row>
    <row r="620" spans="15:16" x14ac:dyDescent="0.2">
      <c r="O620" t="s">
        <v>1801</v>
      </c>
      <c r="P620">
        <v>2022</v>
      </c>
    </row>
    <row r="621" spans="15:16" x14ac:dyDescent="0.2">
      <c r="O621" t="s">
        <v>1104</v>
      </c>
      <c r="P621">
        <v>2022</v>
      </c>
    </row>
    <row r="622" spans="15:16" x14ac:dyDescent="0.2">
      <c r="O622" t="s">
        <v>1147</v>
      </c>
      <c r="P622">
        <v>2022</v>
      </c>
    </row>
    <row r="623" spans="15:16" x14ac:dyDescent="0.2">
      <c r="O623" t="s">
        <v>980</v>
      </c>
      <c r="P623">
        <v>2022</v>
      </c>
    </row>
    <row r="624" spans="15:16" x14ac:dyDescent="0.2">
      <c r="O624" t="s">
        <v>1180</v>
      </c>
      <c r="P624">
        <v>2022</v>
      </c>
    </row>
    <row r="625" spans="15:16" x14ac:dyDescent="0.2">
      <c r="O625" t="s">
        <v>556</v>
      </c>
      <c r="P625">
        <v>2022</v>
      </c>
    </row>
    <row r="626" spans="15:16" x14ac:dyDescent="0.2">
      <c r="O626" t="s">
        <v>1909</v>
      </c>
      <c r="P626">
        <v>2022</v>
      </c>
    </row>
    <row r="627" spans="15:16" x14ac:dyDescent="0.2">
      <c r="O627" t="s">
        <v>1540</v>
      </c>
      <c r="P627">
        <v>2022</v>
      </c>
    </row>
    <row r="628" spans="15:16" x14ac:dyDescent="0.2">
      <c r="O628" t="s">
        <v>811</v>
      </c>
      <c r="P628">
        <v>2022</v>
      </c>
    </row>
    <row r="629" spans="15:16" x14ac:dyDescent="0.2">
      <c r="O629" t="s">
        <v>673</v>
      </c>
      <c r="P629">
        <v>2022</v>
      </c>
    </row>
    <row r="630" spans="15:16" x14ac:dyDescent="0.2">
      <c r="O630" t="s">
        <v>1044</v>
      </c>
      <c r="P630">
        <v>2022</v>
      </c>
    </row>
    <row r="631" spans="15:16" x14ac:dyDescent="0.2">
      <c r="O631" t="s">
        <v>1912</v>
      </c>
      <c r="P631">
        <v>2022</v>
      </c>
    </row>
    <row r="632" spans="15:16" x14ac:dyDescent="0.2">
      <c r="O632" t="s">
        <v>1914</v>
      </c>
      <c r="P632">
        <v>2022</v>
      </c>
    </row>
    <row r="633" spans="15:16" x14ac:dyDescent="0.2">
      <c r="O633" t="s">
        <v>391</v>
      </c>
      <c r="P633">
        <v>2022</v>
      </c>
    </row>
    <row r="634" spans="15:16" x14ac:dyDescent="0.2">
      <c r="O634" t="s">
        <v>1243</v>
      </c>
      <c r="P634">
        <v>2022</v>
      </c>
    </row>
    <row r="635" spans="15:16" x14ac:dyDescent="0.2">
      <c r="O635" t="s">
        <v>798</v>
      </c>
      <c r="P635">
        <v>2022</v>
      </c>
    </row>
    <row r="636" spans="15:16" x14ac:dyDescent="0.2">
      <c r="O636" t="s">
        <v>894</v>
      </c>
      <c r="P636">
        <v>2022</v>
      </c>
    </row>
    <row r="637" spans="15:16" x14ac:dyDescent="0.2">
      <c r="O637" t="s">
        <v>1329</v>
      </c>
      <c r="P637">
        <v>2022</v>
      </c>
    </row>
    <row r="638" spans="15:16" x14ac:dyDescent="0.2">
      <c r="O638" t="s">
        <v>1918</v>
      </c>
      <c r="P638">
        <v>2022</v>
      </c>
    </row>
    <row r="639" spans="15:16" x14ac:dyDescent="0.2">
      <c r="O639" t="s">
        <v>1450</v>
      </c>
      <c r="P639">
        <v>2022</v>
      </c>
    </row>
    <row r="640" spans="15:16" x14ac:dyDescent="0.2">
      <c r="O640" t="s">
        <v>1750</v>
      </c>
      <c r="P640">
        <v>2022</v>
      </c>
    </row>
    <row r="641" spans="15:16" x14ac:dyDescent="0.2">
      <c r="O641" t="s">
        <v>679</v>
      </c>
      <c r="P641">
        <v>2022</v>
      </c>
    </row>
    <row r="642" spans="15:16" x14ac:dyDescent="0.2">
      <c r="O642" t="s">
        <v>470</v>
      </c>
      <c r="P642">
        <v>2022</v>
      </c>
    </row>
    <row r="643" spans="15:16" x14ac:dyDescent="0.2">
      <c r="O643" t="s">
        <v>601</v>
      </c>
      <c r="P643">
        <v>2022</v>
      </c>
    </row>
    <row r="644" spans="15:16" x14ac:dyDescent="0.2">
      <c r="O644" t="s">
        <v>1793</v>
      </c>
      <c r="P644">
        <v>2022</v>
      </c>
    </row>
    <row r="645" spans="15:16" x14ac:dyDescent="0.2">
      <c r="O645" t="s">
        <v>439</v>
      </c>
      <c r="P645">
        <v>2022</v>
      </c>
    </row>
    <row r="646" spans="15:16" x14ac:dyDescent="0.2">
      <c r="O646" t="s">
        <v>1650</v>
      </c>
      <c r="P646">
        <v>2022</v>
      </c>
    </row>
    <row r="647" spans="15:16" x14ac:dyDescent="0.2">
      <c r="O647" t="s">
        <v>1922</v>
      </c>
      <c r="P647">
        <v>2022</v>
      </c>
    </row>
    <row r="648" spans="15:16" x14ac:dyDescent="0.2">
      <c r="O648" t="s">
        <v>880</v>
      </c>
      <c r="P648">
        <v>2022</v>
      </c>
    </row>
    <row r="649" spans="15:16" x14ac:dyDescent="0.2">
      <c r="O649" t="s">
        <v>285</v>
      </c>
      <c r="P649">
        <v>2022</v>
      </c>
    </row>
    <row r="650" spans="15:16" x14ac:dyDescent="0.2">
      <c r="O650" t="s">
        <v>1175</v>
      </c>
      <c r="P650">
        <v>2022</v>
      </c>
    </row>
    <row r="651" spans="15:16" x14ac:dyDescent="0.2">
      <c r="O651" t="s">
        <v>1645</v>
      </c>
      <c r="P651">
        <v>2022</v>
      </c>
    </row>
    <row r="652" spans="15:16" x14ac:dyDescent="0.2">
      <c r="O652" t="s">
        <v>1813</v>
      </c>
      <c r="P652">
        <v>2022</v>
      </c>
    </row>
    <row r="653" spans="15:16" x14ac:dyDescent="0.2">
      <c r="O653" t="s">
        <v>1924</v>
      </c>
      <c r="P653">
        <v>2022</v>
      </c>
    </row>
    <row r="654" spans="15:16" x14ac:dyDescent="0.2">
      <c r="O654" t="s">
        <v>1787</v>
      </c>
      <c r="P654">
        <v>2022</v>
      </c>
    </row>
    <row r="655" spans="15:16" x14ac:dyDescent="0.2">
      <c r="O655" t="s">
        <v>1519</v>
      </c>
      <c r="P655">
        <v>2022</v>
      </c>
    </row>
    <row r="656" spans="15:16" x14ac:dyDescent="0.2">
      <c r="O656" t="s">
        <v>1419</v>
      </c>
      <c r="P656">
        <v>2022</v>
      </c>
    </row>
    <row r="657" spans="15:16" x14ac:dyDescent="0.2">
      <c r="O657" t="s">
        <v>1928</v>
      </c>
      <c r="P657">
        <v>2022</v>
      </c>
    </row>
    <row r="658" spans="15:16" x14ac:dyDescent="0.2">
      <c r="O658" t="s">
        <v>1057</v>
      </c>
      <c r="P658">
        <v>2022</v>
      </c>
    </row>
    <row r="659" spans="15:16" x14ac:dyDescent="0.2">
      <c r="O659" t="s">
        <v>197</v>
      </c>
      <c r="P659">
        <v>2022</v>
      </c>
    </row>
    <row r="660" spans="15:16" x14ac:dyDescent="0.2">
      <c r="O660" t="s">
        <v>1671</v>
      </c>
      <c r="P660">
        <v>2022</v>
      </c>
    </row>
    <row r="661" spans="15:16" x14ac:dyDescent="0.2">
      <c r="O661" t="s">
        <v>714</v>
      </c>
      <c r="P661">
        <v>2022</v>
      </c>
    </row>
    <row r="662" spans="15:16" x14ac:dyDescent="0.2">
      <c r="O662" t="s">
        <v>272</v>
      </c>
      <c r="P662">
        <v>2022</v>
      </c>
    </row>
    <row r="663" spans="15:16" x14ac:dyDescent="0.2">
      <c r="O663" t="s">
        <v>1933</v>
      </c>
      <c r="P663">
        <v>2022</v>
      </c>
    </row>
    <row r="664" spans="15:16" x14ac:dyDescent="0.2">
      <c r="O664" t="s">
        <v>1935</v>
      </c>
      <c r="P664">
        <v>2022</v>
      </c>
    </row>
    <row r="665" spans="15:16" x14ac:dyDescent="0.2">
      <c r="O665" t="s">
        <v>676</v>
      </c>
      <c r="P665">
        <v>2022</v>
      </c>
    </row>
    <row r="666" spans="15:16" x14ac:dyDescent="0.2">
      <c r="O666" t="s">
        <v>1029</v>
      </c>
      <c r="P666">
        <v>2022</v>
      </c>
    </row>
    <row r="667" spans="15:16" x14ac:dyDescent="0.2">
      <c r="O667" t="s">
        <v>1830</v>
      </c>
      <c r="P667">
        <v>2022</v>
      </c>
    </row>
    <row r="668" spans="15:16" x14ac:dyDescent="0.2">
      <c r="O668" t="s">
        <v>1738</v>
      </c>
      <c r="P668">
        <v>2022</v>
      </c>
    </row>
    <row r="669" spans="15:16" x14ac:dyDescent="0.2">
      <c r="O669" t="s">
        <v>1937</v>
      </c>
      <c r="P669">
        <v>2022</v>
      </c>
    </row>
    <row r="670" spans="15:16" x14ac:dyDescent="0.2">
      <c r="O670" t="s">
        <v>153</v>
      </c>
      <c r="P670">
        <v>2022</v>
      </c>
    </row>
    <row r="671" spans="15:16" x14ac:dyDescent="0.2">
      <c r="O671" t="s">
        <v>1939</v>
      </c>
      <c r="P671">
        <v>2022</v>
      </c>
    </row>
    <row r="672" spans="15:16" x14ac:dyDescent="0.2">
      <c r="O672" t="s">
        <v>1260</v>
      </c>
      <c r="P672">
        <v>2022</v>
      </c>
    </row>
    <row r="673" spans="15:16" x14ac:dyDescent="0.2">
      <c r="O673" t="s">
        <v>1006</v>
      </c>
      <c r="P673">
        <v>2022</v>
      </c>
    </row>
    <row r="674" spans="15:16" x14ac:dyDescent="0.2">
      <c r="O674" t="s">
        <v>973</v>
      </c>
      <c r="P674">
        <v>2022</v>
      </c>
    </row>
    <row r="675" spans="15:16" x14ac:dyDescent="0.2">
      <c r="O675" t="s">
        <v>1943</v>
      </c>
      <c r="P675">
        <v>2022</v>
      </c>
    </row>
    <row r="676" spans="15:16" x14ac:dyDescent="0.2">
      <c r="O676" t="s">
        <v>893</v>
      </c>
      <c r="P676">
        <v>2022</v>
      </c>
    </row>
    <row r="677" spans="15:16" x14ac:dyDescent="0.2">
      <c r="O677" t="s">
        <v>1448</v>
      </c>
      <c r="P677">
        <v>2022</v>
      </c>
    </row>
    <row r="678" spans="15:16" x14ac:dyDescent="0.2">
      <c r="O678" t="s">
        <v>875</v>
      </c>
      <c r="P678">
        <v>2022</v>
      </c>
    </row>
    <row r="679" spans="15:16" x14ac:dyDescent="0.2">
      <c r="O679" t="s">
        <v>1947</v>
      </c>
      <c r="P679">
        <v>2022</v>
      </c>
    </row>
    <row r="680" spans="15:16" x14ac:dyDescent="0.2">
      <c r="O680" t="s">
        <v>96</v>
      </c>
      <c r="P680">
        <v>2022</v>
      </c>
    </row>
    <row r="681" spans="15:16" x14ac:dyDescent="0.2">
      <c r="O681" t="s">
        <v>454</v>
      </c>
      <c r="P681">
        <v>2022</v>
      </c>
    </row>
    <row r="682" spans="15:16" x14ac:dyDescent="0.2">
      <c r="O682" t="s">
        <v>1948</v>
      </c>
      <c r="P682">
        <v>2022</v>
      </c>
    </row>
    <row r="683" spans="15:16" x14ac:dyDescent="0.2">
      <c r="O683" t="s">
        <v>1410</v>
      </c>
      <c r="P683">
        <v>2022</v>
      </c>
    </row>
    <row r="684" spans="15:16" x14ac:dyDescent="0.2">
      <c r="O684" t="s">
        <v>1253</v>
      </c>
      <c r="P684">
        <v>2022</v>
      </c>
    </row>
    <row r="685" spans="15:16" x14ac:dyDescent="0.2">
      <c r="O685" t="s">
        <v>547</v>
      </c>
      <c r="P685">
        <v>2022</v>
      </c>
    </row>
    <row r="686" spans="15:16" x14ac:dyDescent="0.2">
      <c r="O686" t="s">
        <v>917</v>
      </c>
      <c r="P686">
        <v>2022</v>
      </c>
    </row>
    <row r="687" spans="15:16" x14ac:dyDescent="0.2">
      <c r="O687" t="s">
        <v>589</v>
      </c>
      <c r="P687">
        <v>2022</v>
      </c>
    </row>
    <row r="688" spans="15:16" x14ac:dyDescent="0.2">
      <c r="O688" t="s">
        <v>1950</v>
      </c>
      <c r="P688">
        <v>2022</v>
      </c>
    </row>
    <row r="689" spans="15:16" x14ac:dyDescent="0.2">
      <c r="O689" t="s">
        <v>1953</v>
      </c>
      <c r="P689">
        <v>2022</v>
      </c>
    </row>
    <row r="690" spans="15:16" x14ac:dyDescent="0.2">
      <c r="O690" t="s">
        <v>1312</v>
      </c>
      <c r="P690">
        <v>2022</v>
      </c>
    </row>
    <row r="691" spans="15:16" x14ac:dyDescent="0.2">
      <c r="O691" t="s">
        <v>382</v>
      </c>
      <c r="P691">
        <v>2022</v>
      </c>
    </row>
    <row r="692" spans="15:16" x14ac:dyDescent="0.2">
      <c r="O692" t="s">
        <v>1334</v>
      </c>
      <c r="P692">
        <v>2022</v>
      </c>
    </row>
    <row r="693" spans="15:16" x14ac:dyDescent="0.2">
      <c r="O693" t="s">
        <v>1690</v>
      </c>
      <c r="P693">
        <v>2022</v>
      </c>
    </row>
    <row r="694" spans="15:16" x14ac:dyDescent="0.2">
      <c r="O694" t="s">
        <v>1959</v>
      </c>
      <c r="P694">
        <v>2022</v>
      </c>
    </row>
    <row r="695" spans="15:16" x14ac:dyDescent="0.2">
      <c r="O695" t="s">
        <v>1497</v>
      </c>
      <c r="P695">
        <v>2022</v>
      </c>
    </row>
    <row r="696" spans="15:16" x14ac:dyDescent="0.2">
      <c r="O696" t="s">
        <v>1053</v>
      </c>
      <c r="P696">
        <v>2022</v>
      </c>
    </row>
    <row r="697" spans="15:16" x14ac:dyDescent="0.2">
      <c r="O697" t="s">
        <v>909</v>
      </c>
      <c r="P697">
        <v>2022</v>
      </c>
    </row>
    <row r="698" spans="15:16" x14ac:dyDescent="0.2">
      <c r="O698" t="s">
        <v>1332</v>
      </c>
      <c r="P698">
        <v>2022</v>
      </c>
    </row>
    <row r="699" spans="15:16" x14ac:dyDescent="0.2">
      <c r="O699" t="s">
        <v>187</v>
      </c>
      <c r="P699">
        <v>2022</v>
      </c>
    </row>
    <row r="700" spans="15:16" x14ac:dyDescent="0.2">
      <c r="O700" t="s">
        <v>1964</v>
      </c>
      <c r="P700">
        <v>2022</v>
      </c>
    </row>
    <row r="701" spans="15:16" x14ac:dyDescent="0.2">
      <c r="O701" t="s">
        <v>1965</v>
      </c>
      <c r="P701">
        <v>2022</v>
      </c>
    </row>
    <row r="702" spans="15:16" x14ac:dyDescent="0.2">
      <c r="O702" t="s">
        <v>1654</v>
      </c>
      <c r="P702">
        <v>2022</v>
      </c>
    </row>
    <row r="703" spans="15:16" x14ac:dyDescent="0.2">
      <c r="O703" t="s">
        <v>780</v>
      </c>
      <c r="P703">
        <v>2022</v>
      </c>
    </row>
    <row r="704" spans="15:16" x14ac:dyDescent="0.2">
      <c r="O704" t="s">
        <v>1968</v>
      </c>
      <c r="P704">
        <v>2022</v>
      </c>
    </row>
    <row r="705" spans="15:16" x14ac:dyDescent="0.2">
      <c r="O705" t="s">
        <v>1970</v>
      </c>
      <c r="P705">
        <v>2022</v>
      </c>
    </row>
    <row r="706" spans="15:16" x14ac:dyDescent="0.2">
      <c r="O706" t="s">
        <v>467</v>
      </c>
      <c r="P706">
        <v>2022</v>
      </c>
    </row>
    <row r="707" spans="15:16" x14ac:dyDescent="0.2">
      <c r="O707" t="s">
        <v>1637</v>
      </c>
      <c r="P707">
        <v>2022</v>
      </c>
    </row>
    <row r="708" spans="15:16" x14ac:dyDescent="0.2">
      <c r="O708" t="s">
        <v>1973</v>
      </c>
      <c r="P708">
        <v>2022</v>
      </c>
    </row>
    <row r="709" spans="15:16" x14ac:dyDescent="0.2">
      <c r="O709" t="s">
        <v>1858</v>
      </c>
      <c r="P709">
        <v>2022</v>
      </c>
    </row>
    <row r="710" spans="15:16" x14ac:dyDescent="0.2">
      <c r="O710" t="s">
        <v>1375</v>
      </c>
      <c r="P710">
        <v>2022</v>
      </c>
    </row>
    <row r="711" spans="15:16" x14ac:dyDescent="0.2">
      <c r="O711" t="s">
        <v>1025</v>
      </c>
      <c r="P711">
        <v>2022</v>
      </c>
    </row>
    <row r="712" spans="15:16" x14ac:dyDescent="0.2">
      <c r="O712" t="s">
        <v>790</v>
      </c>
      <c r="P712">
        <v>2022</v>
      </c>
    </row>
    <row r="713" spans="15:16" x14ac:dyDescent="0.2">
      <c r="O713" t="s">
        <v>1440</v>
      </c>
      <c r="P713">
        <v>2022</v>
      </c>
    </row>
    <row r="714" spans="15:16" x14ac:dyDescent="0.2">
      <c r="O714" t="s">
        <v>912</v>
      </c>
      <c r="P714">
        <v>2022</v>
      </c>
    </row>
    <row r="715" spans="15:16" x14ac:dyDescent="0.2">
      <c r="O715" t="s">
        <v>1976</v>
      </c>
      <c r="P715">
        <v>2022</v>
      </c>
    </row>
    <row r="716" spans="15:16" x14ac:dyDescent="0.2">
      <c r="O716" t="s">
        <v>1746</v>
      </c>
      <c r="P716">
        <v>2022</v>
      </c>
    </row>
    <row r="717" spans="15:16" x14ac:dyDescent="0.2">
      <c r="O717" t="s">
        <v>1979</v>
      </c>
      <c r="P717">
        <v>2022</v>
      </c>
    </row>
    <row r="718" spans="15:16" x14ac:dyDescent="0.2">
      <c r="O718" t="s">
        <v>1106</v>
      </c>
      <c r="P718">
        <v>2022</v>
      </c>
    </row>
    <row r="719" spans="15:16" x14ac:dyDescent="0.2">
      <c r="O719" t="s">
        <v>740</v>
      </c>
      <c r="P719">
        <v>2022</v>
      </c>
    </row>
    <row r="720" spans="15:16" x14ac:dyDescent="0.2">
      <c r="O720" t="s">
        <v>1403</v>
      </c>
      <c r="P720">
        <v>2022</v>
      </c>
    </row>
    <row r="721" spans="15:16" x14ac:dyDescent="0.2">
      <c r="O721" t="s">
        <v>109</v>
      </c>
      <c r="P721">
        <v>2022</v>
      </c>
    </row>
    <row r="722" spans="15:16" x14ac:dyDescent="0.2">
      <c r="O722" t="s">
        <v>1635</v>
      </c>
      <c r="P722">
        <v>2022</v>
      </c>
    </row>
    <row r="723" spans="15:16" x14ac:dyDescent="0.2">
      <c r="O723" t="s">
        <v>282</v>
      </c>
      <c r="P723">
        <v>2022</v>
      </c>
    </row>
    <row r="724" spans="15:16" x14ac:dyDescent="0.2">
      <c r="O724" t="s">
        <v>683</v>
      </c>
      <c r="P724">
        <v>2022</v>
      </c>
    </row>
    <row r="725" spans="15:16" x14ac:dyDescent="0.2">
      <c r="O725" t="s">
        <v>1359</v>
      </c>
      <c r="P725">
        <v>2022</v>
      </c>
    </row>
    <row r="726" spans="15:16" x14ac:dyDescent="0.2">
      <c r="O726" t="s">
        <v>1428</v>
      </c>
      <c r="P726">
        <v>2022</v>
      </c>
    </row>
    <row r="727" spans="15:16" x14ac:dyDescent="0.2">
      <c r="O727" t="s">
        <v>291</v>
      </c>
      <c r="P727">
        <v>2022</v>
      </c>
    </row>
    <row r="728" spans="15:16" x14ac:dyDescent="0.2">
      <c r="O728" t="s">
        <v>309</v>
      </c>
      <c r="P728">
        <v>2022</v>
      </c>
    </row>
    <row r="729" spans="15:16" x14ac:dyDescent="0.2">
      <c r="O729" t="s">
        <v>1988</v>
      </c>
      <c r="P729">
        <v>2022</v>
      </c>
    </row>
    <row r="730" spans="15:16" x14ac:dyDescent="0.2">
      <c r="O730" t="s">
        <v>400</v>
      </c>
      <c r="P730">
        <v>2022</v>
      </c>
    </row>
    <row r="731" spans="15:16" x14ac:dyDescent="0.2">
      <c r="O731" t="s">
        <v>924</v>
      </c>
      <c r="P731">
        <v>2022</v>
      </c>
    </row>
    <row r="732" spans="15:16" x14ac:dyDescent="0.2">
      <c r="O732" t="s">
        <v>1993</v>
      </c>
      <c r="P732">
        <v>2022</v>
      </c>
    </row>
    <row r="733" spans="15:16" x14ac:dyDescent="0.2">
      <c r="O733" t="s">
        <v>1790</v>
      </c>
      <c r="P733">
        <v>2022</v>
      </c>
    </row>
    <row r="734" spans="15:16" x14ac:dyDescent="0.2">
      <c r="O734" t="s">
        <v>1996</v>
      </c>
      <c r="P734">
        <v>2022</v>
      </c>
    </row>
    <row r="735" spans="15:16" x14ac:dyDescent="0.2">
      <c r="O735" t="s">
        <v>419</v>
      </c>
      <c r="P735">
        <v>2022</v>
      </c>
    </row>
    <row r="736" spans="15:16" x14ac:dyDescent="0.2">
      <c r="O736" t="s">
        <v>1523</v>
      </c>
      <c r="P736">
        <v>2022</v>
      </c>
    </row>
    <row r="737" spans="15:16" x14ac:dyDescent="0.2">
      <c r="O737" t="s">
        <v>788</v>
      </c>
      <c r="P737">
        <v>2022</v>
      </c>
    </row>
    <row r="738" spans="15:16" x14ac:dyDescent="0.2">
      <c r="O738" t="s">
        <v>141</v>
      </c>
      <c r="P738">
        <v>2022</v>
      </c>
    </row>
    <row r="739" spans="15:16" x14ac:dyDescent="0.2">
      <c r="O739" t="s">
        <v>831</v>
      </c>
      <c r="P739">
        <v>2022</v>
      </c>
    </row>
    <row r="740" spans="15:16" x14ac:dyDescent="0.2">
      <c r="O740" t="s">
        <v>1373</v>
      </c>
      <c r="P740">
        <v>2022</v>
      </c>
    </row>
    <row r="741" spans="15:16" x14ac:dyDescent="0.2">
      <c r="O741" t="s">
        <v>937</v>
      </c>
      <c r="P741">
        <v>2022</v>
      </c>
    </row>
    <row r="742" spans="15:16" x14ac:dyDescent="0.2">
      <c r="O742" t="s">
        <v>620</v>
      </c>
      <c r="P742">
        <v>2022</v>
      </c>
    </row>
    <row r="743" spans="15:16" x14ac:dyDescent="0.2">
      <c r="O743" t="s">
        <v>1179</v>
      </c>
      <c r="P743">
        <v>2022</v>
      </c>
    </row>
    <row r="744" spans="15:16" x14ac:dyDescent="0.2">
      <c r="O744" t="s">
        <v>507</v>
      </c>
      <c r="P744">
        <v>2022</v>
      </c>
    </row>
    <row r="745" spans="15:16" x14ac:dyDescent="0.2">
      <c r="O745" t="s">
        <v>833</v>
      </c>
      <c r="P745">
        <v>2022</v>
      </c>
    </row>
    <row r="746" spans="15:16" x14ac:dyDescent="0.2">
      <c r="O746" t="s">
        <v>1487</v>
      </c>
      <c r="P746">
        <v>2022</v>
      </c>
    </row>
    <row r="747" spans="15:16" x14ac:dyDescent="0.2">
      <c r="O747" t="s">
        <v>1416</v>
      </c>
      <c r="P747">
        <v>2022</v>
      </c>
    </row>
    <row r="748" spans="15:16" x14ac:dyDescent="0.2">
      <c r="O748" t="s">
        <v>1496</v>
      </c>
      <c r="P748">
        <v>2022</v>
      </c>
    </row>
    <row r="749" spans="15:16" x14ac:dyDescent="0.2">
      <c r="O749" t="s">
        <v>511</v>
      </c>
      <c r="P749">
        <v>2022</v>
      </c>
    </row>
    <row r="750" spans="15:16" x14ac:dyDescent="0.2">
      <c r="O750" t="s">
        <v>1214</v>
      </c>
      <c r="P750">
        <v>2022</v>
      </c>
    </row>
    <row r="751" spans="15:16" x14ac:dyDescent="0.2">
      <c r="O751" t="s">
        <v>1707</v>
      </c>
      <c r="P751">
        <v>2022</v>
      </c>
    </row>
    <row r="752" spans="15:16" x14ac:dyDescent="0.2">
      <c r="O752" t="s">
        <v>2013</v>
      </c>
      <c r="P752">
        <v>2022</v>
      </c>
    </row>
    <row r="753" spans="15:16" x14ac:dyDescent="0.2">
      <c r="O753" t="s">
        <v>1461</v>
      </c>
      <c r="P753">
        <v>2022</v>
      </c>
    </row>
    <row r="754" spans="15:16" x14ac:dyDescent="0.2">
      <c r="O754" t="s">
        <v>2014</v>
      </c>
      <c r="P754">
        <v>2022</v>
      </c>
    </row>
    <row r="755" spans="15:16" x14ac:dyDescent="0.2">
      <c r="O755" t="s">
        <v>2015</v>
      </c>
      <c r="P755">
        <v>2022</v>
      </c>
    </row>
    <row r="756" spans="15:16" x14ac:dyDescent="0.2">
      <c r="O756" t="s">
        <v>1069</v>
      </c>
      <c r="P756">
        <v>2022</v>
      </c>
    </row>
    <row r="757" spans="15:16" x14ac:dyDescent="0.2">
      <c r="O757" t="s">
        <v>2019</v>
      </c>
      <c r="P757">
        <v>2022</v>
      </c>
    </row>
    <row r="758" spans="15:16" x14ac:dyDescent="0.2">
      <c r="O758" t="s">
        <v>1394</v>
      </c>
      <c r="P758">
        <v>2022</v>
      </c>
    </row>
    <row r="759" spans="15:16" x14ac:dyDescent="0.2">
      <c r="O759" t="s">
        <v>1760</v>
      </c>
      <c r="P759">
        <v>2022</v>
      </c>
    </row>
    <row r="760" spans="15:16" x14ac:dyDescent="0.2">
      <c r="O760" t="s">
        <v>2023</v>
      </c>
      <c r="P760">
        <v>2022</v>
      </c>
    </row>
    <row r="761" spans="15:16" x14ac:dyDescent="0.2">
      <c r="O761" t="s">
        <v>562</v>
      </c>
      <c r="P761">
        <v>2022</v>
      </c>
    </row>
    <row r="762" spans="15:16" x14ac:dyDescent="0.2">
      <c r="O762" t="s">
        <v>1279</v>
      </c>
      <c r="P762">
        <v>2022</v>
      </c>
    </row>
    <row r="763" spans="15:16" x14ac:dyDescent="0.2">
      <c r="O763" t="s">
        <v>1343</v>
      </c>
      <c r="P763">
        <v>2022</v>
      </c>
    </row>
    <row r="764" spans="15:16" x14ac:dyDescent="0.2">
      <c r="O764" t="s">
        <v>592</v>
      </c>
      <c r="P764">
        <v>2022</v>
      </c>
    </row>
    <row r="765" spans="15:16" x14ac:dyDescent="0.2">
      <c r="O765" t="s">
        <v>1557</v>
      </c>
      <c r="P765">
        <v>2022</v>
      </c>
    </row>
    <row r="766" spans="15:16" x14ac:dyDescent="0.2">
      <c r="O766" t="s">
        <v>682</v>
      </c>
      <c r="P766">
        <v>2022</v>
      </c>
    </row>
    <row r="767" spans="15:16" x14ac:dyDescent="0.2">
      <c r="O767" t="s">
        <v>1290</v>
      </c>
      <c r="P767">
        <v>2022</v>
      </c>
    </row>
    <row r="768" spans="15:16" x14ac:dyDescent="0.2">
      <c r="O768" t="s">
        <v>11</v>
      </c>
      <c r="P768">
        <v>2022</v>
      </c>
    </row>
    <row r="769" spans="15:16" x14ac:dyDescent="0.2">
      <c r="O769" t="s">
        <v>1414</v>
      </c>
      <c r="P769">
        <v>2022</v>
      </c>
    </row>
    <row r="770" spans="15:16" x14ac:dyDescent="0.2">
      <c r="O770" t="s">
        <v>1078</v>
      </c>
      <c r="P770">
        <v>2022</v>
      </c>
    </row>
    <row r="771" spans="15:16" x14ac:dyDescent="0.2">
      <c r="O771" t="s">
        <v>1145</v>
      </c>
      <c r="P771">
        <v>2022</v>
      </c>
    </row>
    <row r="772" spans="15:16" x14ac:dyDescent="0.2">
      <c r="O772" t="s">
        <v>609</v>
      </c>
      <c r="P772">
        <v>2022</v>
      </c>
    </row>
    <row r="773" spans="15:16" x14ac:dyDescent="0.2">
      <c r="O773" t="s">
        <v>2035</v>
      </c>
      <c r="P773">
        <v>2022</v>
      </c>
    </row>
    <row r="774" spans="15:16" x14ac:dyDescent="0.2">
      <c r="O774" t="s">
        <v>637</v>
      </c>
      <c r="P774">
        <v>2022</v>
      </c>
    </row>
    <row r="775" spans="15:16" x14ac:dyDescent="0.2">
      <c r="O775" t="s">
        <v>1337</v>
      </c>
      <c r="P775">
        <v>2022</v>
      </c>
    </row>
    <row r="776" spans="15:16" x14ac:dyDescent="0.2">
      <c r="O776" t="s">
        <v>2039</v>
      </c>
      <c r="P776">
        <v>2022</v>
      </c>
    </row>
    <row r="777" spans="15:16" x14ac:dyDescent="0.2">
      <c r="O777" t="s">
        <v>2041</v>
      </c>
      <c r="P777">
        <v>2022</v>
      </c>
    </row>
    <row r="778" spans="15:16" x14ac:dyDescent="0.2">
      <c r="O778" t="s">
        <v>327</v>
      </c>
      <c r="P778">
        <v>2022</v>
      </c>
    </row>
    <row r="779" spans="15:16" x14ac:dyDescent="0.2">
      <c r="O779" t="s">
        <v>169</v>
      </c>
      <c r="P779">
        <v>2022</v>
      </c>
    </row>
    <row r="780" spans="15:16" x14ac:dyDescent="0.2">
      <c r="O780" t="s">
        <v>251</v>
      </c>
      <c r="P780">
        <v>2022</v>
      </c>
    </row>
    <row r="781" spans="15:16" x14ac:dyDescent="0.2">
      <c r="O781" t="s">
        <v>2044</v>
      </c>
      <c r="P781">
        <v>2022</v>
      </c>
    </row>
    <row r="782" spans="15:16" x14ac:dyDescent="0.2">
      <c r="O782" t="s">
        <v>859</v>
      </c>
      <c r="P782">
        <v>2022</v>
      </c>
    </row>
    <row r="783" spans="15:16" x14ac:dyDescent="0.2">
      <c r="O783" t="s">
        <v>220</v>
      </c>
      <c r="P783">
        <v>2022</v>
      </c>
    </row>
    <row r="784" spans="15:16" x14ac:dyDescent="0.2">
      <c r="O784" t="s">
        <v>711</v>
      </c>
      <c r="P784">
        <v>2022</v>
      </c>
    </row>
    <row r="785" spans="15:16" x14ac:dyDescent="0.2">
      <c r="O785" t="s">
        <v>1678</v>
      </c>
      <c r="P785">
        <v>2022</v>
      </c>
    </row>
    <row r="786" spans="15:16" x14ac:dyDescent="0.2">
      <c r="O786" t="s">
        <v>891</v>
      </c>
      <c r="P786">
        <v>2022</v>
      </c>
    </row>
    <row r="787" spans="15:16" x14ac:dyDescent="0.2">
      <c r="O787" t="s">
        <v>133</v>
      </c>
      <c r="P787">
        <v>2022</v>
      </c>
    </row>
    <row r="788" spans="15:16" x14ac:dyDescent="0.2">
      <c r="O788" t="s">
        <v>535</v>
      </c>
      <c r="P788">
        <v>2022</v>
      </c>
    </row>
    <row r="789" spans="15:16" x14ac:dyDescent="0.2">
      <c r="O789" t="s">
        <v>554</v>
      </c>
      <c r="P789">
        <v>2022</v>
      </c>
    </row>
    <row r="790" spans="15:16" x14ac:dyDescent="0.2">
      <c r="O790" t="s">
        <v>2050</v>
      </c>
      <c r="P790">
        <v>2022</v>
      </c>
    </row>
    <row r="791" spans="15:16" x14ac:dyDescent="0.2">
      <c r="O791" t="s">
        <v>1297</v>
      </c>
      <c r="P791">
        <v>2022</v>
      </c>
    </row>
    <row r="792" spans="15:16" x14ac:dyDescent="0.2">
      <c r="O792" t="s">
        <v>2055</v>
      </c>
      <c r="P792">
        <v>2022</v>
      </c>
    </row>
    <row r="793" spans="15:16" x14ac:dyDescent="0.2">
      <c r="O793" t="s">
        <v>1548</v>
      </c>
      <c r="P793">
        <v>2022</v>
      </c>
    </row>
    <row r="794" spans="15:16" x14ac:dyDescent="0.2">
      <c r="O794" t="s">
        <v>1521</v>
      </c>
      <c r="P794">
        <v>2022</v>
      </c>
    </row>
    <row r="795" spans="15:16" x14ac:dyDescent="0.2">
      <c r="O795" t="s">
        <v>2059</v>
      </c>
      <c r="P795">
        <v>2022</v>
      </c>
    </row>
    <row r="796" spans="15:16" x14ac:dyDescent="0.2">
      <c r="O796" t="s">
        <v>525</v>
      </c>
      <c r="P796">
        <v>2022</v>
      </c>
    </row>
    <row r="797" spans="15:16" x14ac:dyDescent="0.2">
      <c r="O797" t="s">
        <v>2062</v>
      </c>
      <c r="P797">
        <v>2022</v>
      </c>
    </row>
    <row r="798" spans="15:16" x14ac:dyDescent="0.2">
      <c r="O798" t="s">
        <v>1480</v>
      </c>
      <c r="P798">
        <v>2022</v>
      </c>
    </row>
    <row r="799" spans="15:16" x14ac:dyDescent="0.2">
      <c r="O799" t="s">
        <v>595</v>
      </c>
      <c r="P799">
        <v>2022</v>
      </c>
    </row>
    <row r="800" spans="15:16" x14ac:dyDescent="0.2">
      <c r="O800" t="s">
        <v>445</v>
      </c>
      <c r="P800">
        <v>2022</v>
      </c>
    </row>
    <row r="801" spans="15:16" x14ac:dyDescent="0.2">
      <c r="O801" t="s">
        <v>2066</v>
      </c>
      <c r="P801">
        <v>2022</v>
      </c>
    </row>
    <row r="802" spans="15:16" x14ac:dyDescent="0.2">
      <c r="O802" t="s">
        <v>2067</v>
      </c>
      <c r="P802">
        <v>2022</v>
      </c>
    </row>
    <row r="803" spans="15:16" x14ac:dyDescent="0.2">
      <c r="O803" t="s">
        <v>1273</v>
      </c>
      <c r="P803">
        <v>2022</v>
      </c>
    </row>
    <row r="804" spans="15:16" x14ac:dyDescent="0.2">
      <c r="O804" t="s">
        <v>1269</v>
      </c>
      <c r="P804">
        <v>2022</v>
      </c>
    </row>
    <row r="805" spans="15:16" x14ac:dyDescent="0.2">
      <c r="O805" t="s">
        <v>1005</v>
      </c>
      <c r="P805">
        <v>2022</v>
      </c>
    </row>
    <row r="806" spans="15:16" x14ac:dyDescent="0.2">
      <c r="O806" t="s">
        <v>850</v>
      </c>
      <c r="P806">
        <v>2022</v>
      </c>
    </row>
    <row r="807" spans="15:16" x14ac:dyDescent="0.2">
      <c r="O807" t="s">
        <v>947</v>
      </c>
      <c r="P807">
        <v>2022</v>
      </c>
    </row>
    <row r="808" spans="15:16" x14ac:dyDescent="0.2">
      <c r="O808" t="s">
        <v>394</v>
      </c>
      <c r="P808">
        <v>2022</v>
      </c>
    </row>
    <row r="809" spans="15:16" x14ac:dyDescent="0.2">
      <c r="O809" t="s">
        <v>1202</v>
      </c>
      <c r="P809">
        <v>2022</v>
      </c>
    </row>
    <row r="810" spans="15:16" x14ac:dyDescent="0.2">
      <c r="O810" t="s">
        <v>2073</v>
      </c>
      <c r="P810">
        <v>2022</v>
      </c>
    </row>
    <row r="811" spans="15:16" x14ac:dyDescent="0.2">
      <c r="O811" t="s">
        <v>744</v>
      </c>
      <c r="P811">
        <v>2022</v>
      </c>
    </row>
    <row r="812" spans="15:16" x14ac:dyDescent="0.2">
      <c r="O812" t="s">
        <v>532</v>
      </c>
      <c r="P812">
        <v>2022</v>
      </c>
    </row>
    <row r="813" spans="15:16" x14ac:dyDescent="0.2">
      <c r="O813" t="s">
        <v>1469</v>
      </c>
      <c r="P813">
        <v>2022</v>
      </c>
    </row>
    <row r="814" spans="15:16" x14ac:dyDescent="0.2">
      <c r="O814" t="s">
        <v>458</v>
      </c>
      <c r="P814">
        <v>2022</v>
      </c>
    </row>
    <row r="815" spans="15:16" x14ac:dyDescent="0.2">
      <c r="O815" t="s">
        <v>1291</v>
      </c>
      <c r="P815">
        <v>2022</v>
      </c>
    </row>
    <row r="816" spans="15:16" x14ac:dyDescent="0.2">
      <c r="O816" t="s">
        <v>861</v>
      </c>
      <c r="P816">
        <v>2022</v>
      </c>
    </row>
    <row r="817" spans="15:16" x14ac:dyDescent="0.2">
      <c r="O817" t="s">
        <v>56</v>
      </c>
      <c r="P817">
        <v>2022</v>
      </c>
    </row>
    <row r="818" spans="15:16" x14ac:dyDescent="0.2">
      <c r="O818" t="s">
        <v>991</v>
      </c>
      <c r="P818">
        <v>2022</v>
      </c>
    </row>
    <row r="819" spans="15:16" x14ac:dyDescent="0.2">
      <c r="O819" t="s">
        <v>1345</v>
      </c>
      <c r="P819">
        <v>2022</v>
      </c>
    </row>
    <row r="820" spans="15:16" x14ac:dyDescent="0.2">
      <c r="O820" t="s">
        <v>1289</v>
      </c>
      <c r="P820">
        <v>2022</v>
      </c>
    </row>
    <row r="821" spans="15:16" x14ac:dyDescent="0.2">
      <c r="O821" t="s">
        <v>624</v>
      </c>
      <c r="P821">
        <v>2022</v>
      </c>
    </row>
    <row r="822" spans="15:16" x14ac:dyDescent="0.2">
      <c r="O822" t="s">
        <v>359</v>
      </c>
      <c r="P822">
        <v>2022</v>
      </c>
    </row>
    <row r="823" spans="15:16" x14ac:dyDescent="0.2">
      <c r="O823" t="s">
        <v>182</v>
      </c>
      <c r="P823">
        <v>2022</v>
      </c>
    </row>
    <row r="824" spans="15:16" x14ac:dyDescent="0.2">
      <c r="O824" t="s">
        <v>48</v>
      </c>
      <c r="P824">
        <v>2022</v>
      </c>
    </row>
    <row r="825" spans="15:16" x14ac:dyDescent="0.2">
      <c r="O825" t="s">
        <v>2081</v>
      </c>
      <c r="P825">
        <v>2022</v>
      </c>
    </row>
    <row r="826" spans="15:16" x14ac:dyDescent="0.2">
      <c r="O826" t="s">
        <v>270</v>
      </c>
      <c r="P826">
        <v>2022</v>
      </c>
    </row>
    <row r="827" spans="15:16" x14ac:dyDescent="0.2">
      <c r="O827" t="s">
        <v>1778</v>
      </c>
      <c r="P827">
        <v>2022</v>
      </c>
    </row>
    <row r="828" spans="15:16" x14ac:dyDescent="0.2">
      <c r="O828" t="s">
        <v>121</v>
      </c>
      <c r="P828">
        <v>2022</v>
      </c>
    </row>
    <row r="829" spans="15:16" x14ac:dyDescent="0.2">
      <c r="O829" t="s">
        <v>822</v>
      </c>
      <c r="P829">
        <v>2022</v>
      </c>
    </row>
    <row r="830" spans="15:16" x14ac:dyDescent="0.2">
      <c r="O830" t="s">
        <v>2085</v>
      </c>
      <c r="P830">
        <v>2022</v>
      </c>
    </row>
    <row r="831" spans="15:16" x14ac:dyDescent="0.2">
      <c r="O831" t="s">
        <v>904</v>
      </c>
      <c r="P831">
        <v>2022</v>
      </c>
    </row>
    <row r="832" spans="15:16" x14ac:dyDescent="0.2">
      <c r="O832" t="s">
        <v>1079</v>
      </c>
      <c r="P832">
        <v>2022</v>
      </c>
    </row>
    <row r="833" spans="15:16" x14ac:dyDescent="0.2">
      <c r="O833" t="s">
        <v>1216</v>
      </c>
      <c r="P833">
        <v>2022</v>
      </c>
    </row>
    <row r="834" spans="15:16" x14ac:dyDescent="0.2">
      <c r="O834" t="s">
        <v>1795</v>
      </c>
      <c r="P834">
        <v>2022</v>
      </c>
    </row>
    <row r="835" spans="15:16" x14ac:dyDescent="0.2">
      <c r="O835" t="s">
        <v>2090</v>
      </c>
      <c r="P835">
        <v>2022</v>
      </c>
    </row>
    <row r="836" spans="15:16" x14ac:dyDescent="0.2">
      <c r="O836" t="s">
        <v>2093</v>
      </c>
      <c r="P836">
        <v>2022</v>
      </c>
    </row>
    <row r="837" spans="15:16" x14ac:dyDescent="0.2">
      <c r="O837" t="s">
        <v>538</v>
      </c>
      <c r="P837">
        <v>2022</v>
      </c>
    </row>
    <row r="838" spans="15:16" x14ac:dyDescent="0.2">
      <c r="O838" t="s">
        <v>345</v>
      </c>
      <c r="P838">
        <v>2022</v>
      </c>
    </row>
    <row r="839" spans="15:16" x14ac:dyDescent="0.2">
      <c r="O839" t="s">
        <v>219</v>
      </c>
      <c r="P839">
        <v>2022</v>
      </c>
    </row>
    <row r="840" spans="15:16" x14ac:dyDescent="0.2">
      <c r="O840" t="s">
        <v>2096</v>
      </c>
      <c r="P840">
        <v>2022</v>
      </c>
    </row>
    <row r="841" spans="15:16" x14ac:dyDescent="0.2">
      <c r="O841" t="s">
        <v>2097</v>
      </c>
      <c r="P841">
        <v>2022</v>
      </c>
    </row>
    <row r="842" spans="15:16" x14ac:dyDescent="0.2">
      <c r="O842" t="s">
        <v>1169</v>
      </c>
      <c r="P842">
        <v>2022</v>
      </c>
    </row>
    <row r="843" spans="15:16" x14ac:dyDescent="0.2">
      <c r="O843" t="s">
        <v>447</v>
      </c>
      <c r="P843">
        <v>2022</v>
      </c>
    </row>
    <row r="844" spans="15:16" x14ac:dyDescent="0.2">
      <c r="O844" t="s">
        <v>246</v>
      </c>
      <c r="P844">
        <v>2022</v>
      </c>
    </row>
    <row r="845" spans="15:16" x14ac:dyDescent="0.2">
      <c r="O845" t="s">
        <v>2102</v>
      </c>
      <c r="P845">
        <v>2022</v>
      </c>
    </row>
    <row r="846" spans="15:16" x14ac:dyDescent="0.2">
      <c r="O846" t="s">
        <v>1559</v>
      </c>
      <c r="P846">
        <v>2022</v>
      </c>
    </row>
    <row r="847" spans="15:16" x14ac:dyDescent="0.2">
      <c r="O847" t="s">
        <v>2103</v>
      </c>
      <c r="P847">
        <v>2022</v>
      </c>
    </row>
    <row r="848" spans="15:16" x14ac:dyDescent="0.2">
      <c r="O848" t="s">
        <v>2105</v>
      </c>
      <c r="P848">
        <v>2022</v>
      </c>
    </row>
    <row r="849" spans="15:16" x14ac:dyDescent="0.2">
      <c r="O849" t="s">
        <v>2106</v>
      </c>
      <c r="P849">
        <v>2022</v>
      </c>
    </row>
    <row r="850" spans="15:16" x14ac:dyDescent="0.2">
      <c r="O850" t="s">
        <v>663</v>
      </c>
      <c r="P850">
        <v>2022</v>
      </c>
    </row>
    <row r="851" spans="15:16" x14ac:dyDescent="0.2">
      <c r="O851" t="s">
        <v>1844</v>
      </c>
      <c r="P851">
        <v>2022</v>
      </c>
    </row>
    <row r="852" spans="15:16" x14ac:dyDescent="0.2">
      <c r="O852" t="s">
        <v>1314</v>
      </c>
      <c r="P852">
        <v>2022</v>
      </c>
    </row>
    <row r="853" spans="15:16" x14ac:dyDescent="0.2">
      <c r="O853" t="s">
        <v>431</v>
      </c>
      <c r="P853">
        <v>2022</v>
      </c>
    </row>
    <row r="854" spans="15:16" x14ac:dyDescent="0.2">
      <c r="O854" t="s">
        <v>2109</v>
      </c>
      <c r="P854">
        <v>2022</v>
      </c>
    </row>
    <row r="855" spans="15:16" x14ac:dyDescent="0.2">
      <c r="O855" t="s">
        <v>74</v>
      </c>
      <c r="P855">
        <v>2022</v>
      </c>
    </row>
    <row r="856" spans="15:16" x14ac:dyDescent="0.2">
      <c r="O856" t="s">
        <v>1468</v>
      </c>
      <c r="P856">
        <v>2022</v>
      </c>
    </row>
    <row r="857" spans="15:16" x14ac:dyDescent="0.2">
      <c r="O857" t="s">
        <v>2113</v>
      </c>
      <c r="P857">
        <v>2022</v>
      </c>
    </row>
    <row r="858" spans="15:16" x14ac:dyDescent="0.2">
      <c r="O858" t="s">
        <v>734</v>
      </c>
      <c r="P858">
        <v>2022</v>
      </c>
    </row>
    <row r="859" spans="15:16" x14ac:dyDescent="0.2">
      <c r="O859" t="s">
        <v>2114</v>
      </c>
      <c r="P859">
        <v>2022</v>
      </c>
    </row>
    <row r="860" spans="15:16" x14ac:dyDescent="0.2">
      <c r="O860" t="s">
        <v>1225</v>
      </c>
      <c r="P860">
        <v>2022</v>
      </c>
    </row>
    <row r="861" spans="15:16" x14ac:dyDescent="0.2">
      <c r="O861" t="s">
        <v>961</v>
      </c>
      <c r="P861">
        <v>2022</v>
      </c>
    </row>
    <row r="862" spans="15:16" x14ac:dyDescent="0.2">
      <c r="O862" t="s">
        <v>2117</v>
      </c>
      <c r="P862">
        <v>2022</v>
      </c>
    </row>
    <row r="863" spans="15:16" x14ac:dyDescent="0.2">
      <c r="O863" t="s">
        <v>1667</v>
      </c>
      <c r="P863">
        <v>2022</v>
      </c>
    </row>
    <row r="864" spans="15:16" x14ac:dyDescent="0.2">
      <c r="O864" t="s">
        <v>1536</v>
      </c>
      <c r="P864">
        <v>2022</v>
      </c>
    </row>
    <row r="865" spans="15:16" x14ac:dyDescent="0.2">
      <c r="O865" t="s">
        <v>877</v>
      </c>
      <c r="P865">
        <v>2022</v>
      </c>
    </row>
    <row r="866" spans="15:16" x14ac:dyDescent="0.2">
      <c r="O866" t="s">
        <v>28</v>
      </c>
      <c r="P866">
        <v>2022</v>
      </c>
    </row>
    <row r="867" spans="15:16" x14ac:dyDescent="0.2">
      <c r="O867" t="s">
        <v>569</v>
      </c>
      <c r="P867">
        <v>2022</v>
      </c>
    </row>
    <row r="868" spans="15:16" x14ac:dyDescent="0.2">
      <c r="O868" t="s">
        <v>2119</v>
      </c>
      <c r="P868">
        <v>2022</v>
      </c>
    </row>
    <row r="869" spans="15:16" x14ac:dyDescent="0.2">
      <c r="O869" t="s">
        <v>378</v>
      </c>
      <c r="P869">
        <v>2022</v>
      </c>
    </row>
    <row r="870" spans="15:16" x14ac:dyDescent="0.2">
      <c r="O870" t="s">
        <v>1123</v>
      </c>
      <c r="P870">
        <v>2022</v>
      </c>
    </row>
    <row r="871" spans="15:16" x14ac:dyDescent="0.2">
      <c r="O871" t="s">
        <v>1780</v>
      </c>
      <c r="P871">
        <v>2022</v>
      </c>
    </row>
    <row r="872" spans="15:16" x14ac:dyDescent="0.2">
      <c r="O872" t="s">
        <v>34</v>
      </c>
      <c r="P872">
        <v>2022</v>
      </c>
    </row>
    <row r="873" spans="15:16" x14ac:dyDescent="0.2">
      <c r="O873" t="s">
        <v>975</v>
      </c>
      <c r="P873">
        <v>2022</v>
      </c>
    </row>
    <row r="874" spans="15:16" x14ac:dyDescent="0.2">
      <c r="O874" t="s">
        <v>1183</v>
      </c>
      <c r="P874">
        <v>2022</v>
      </c>
    </row>
    <row r="875" spans="15:16" x14ac:dyDescent="0.2">
      <c r="O875" t="s">
        <v>2126</v>
      </c>
      <c r="P875">
        <v>2022</v>
      </c>
    </row>
    <row r="876" spans="15:16" x14ac:dyDescent="0.2">
      <c r="O876" t="s">
        <v>919</v>
      </c>
      <c r="P876">
        <v>2022</v>
      </c>
    </row>
    <row r="877" spans="15:16" x14ac:dyDescent="0.2">
      <c r="O877" t="s">
        <v>1014</v>
      </c>
      <c r="P877">
        <v>2022</v>
      </c>
    </row>
    <row r="878" spans="15:16" x14ac:dyDescent="0.2">
      <c r="O878" t="s">
        <v>222</v>
      </c>
      <c r="P878">
        <v>2022</v>
      </c>
    </row>
    <row r="879" spans="15:16" x14ac:dyDescent="0.2">
      <c r="O879" t="s">
        <v>2128</v>
      </c>
      <c r="P879">
        <v>2022</v>
      </c>
    </row>
    <row r="880" spans="15:16" x14ac:dyDescent="0.2">
      <c r="O880" t="s">
        <v>796</v>
      </c>
      <c r="P880">
        <v>2022</v>
      </c>
    </row>
    <row r="881" spans="15:16" x14ac:dyDescent="0.2">
      <c r="O881" t="s">
        <v>1124</v>
      </c>
      <c r="P881">
        <v>2022</v>
      </c>
    </row>
    <row r="882" spans="15:16" x14ac:dyDescent="0.2">
      <c r="O882" t="s">
        <v>686</v>
      </c>
      <c r="P882">
        <v>2022</v>
      </c>
    </row>
    <row r="883" spans="15:16" x14ac:dyDescent="0.2">
      <c r="O883" t="s">
        <v>2133</v>
      </c>
      <c r="P883">
        <v>2022</v>
      </c>
    </row>
    <row r="884" spans="15:16" x14ac:dyDescent="0.2">
      <c r="O884" t="s">
        <v>1665</v>
      </c>
      <c r="P884">
        <v>2022</v>
      </c>
    </row>
    <row r="885" spans="15:16" x14ac:dyDescent="0.2">
      <c r="O885" t="s">
        <v>1165</v>
      </c>
      <c r="P885">
        <v>2022</v>
      </c>
    </row>
    <row r="886" spans="15:16" x14ac:dyDescent="0.2">
      <c r="O886" t="s">
        <v>415</v>
      </c>
      <c r="P886">
        <v>2022</v>
      </c>
    </row>
    <row r="887" spans="15:16" x14ac:dyDescent="0.2">
      <c r="O887" t="s">
        <v>770</v>
      </c>
      <c r="P887">
        <v>2022</v>
      </c>
    </row>
    <row r="888" spans="15:16" x14ac:dyDescent="0.2">
      <c r="O888" t="s">
        <v>516</v>
      </c>
      <c r="P888">
        <v>2022</v>
      </c>
    </row>
    <row r="889" spans="15:16" x14ac:dyDescent="0.2">
      <c r="O889" t="s">
        <v>307</v>
      </c>
      <c r="P889">
        <v>2022</v>
      </c>
    </row>
    <row r="890" spans="15:16" x14ac:dyDescent="0.2">
      <c r="O890" t="s">
        <v>2139</v>
      </c>
      <c r="P890">
        <v>2022</v>
      </c>
    </row>
    <row r="891" spans="15:16" x14ac:dyDescent="0.2">
      <c r="O891" t="s">
        <v>2140</v>
      </c>
      <c r="P891">
        <v>2022</v>
      </c>
    </row>
    <row r="892" spans="15:16" x14ac:dyDescent="0.2">
      <c r="O892" t="s">
        <v>1546</v>
      </c>
      <c r="P892">
        <v>2022</v>
      </c>
    </row>
    <row r="893" spans="15:16" x14ac:dyDescent="0.2">
      <c r="O893" t="s">
        <v>1805</v>
      </c>
      <c r="P893">
        <v>2022</v>
      </c>
    </row>
    <row r="894" spans="15:16" x14ac:dyDescent="0.2">
      <c r="O894" t="s">
        <v>1371</v>
      </c>
      <c r="P894">
        <v>2022</v>
      </c>
    </row>
    <row r="895" spans="15:16" x14ac:dyDescent="0.2">
      <c r="O895" t="s">
        <v>2147</v>
      </c>
      <c r="P895">
        <v>2022</v>
      </c>
    </row>
    <row r="896" spans="15:16" x14ac:dyDescent="0.2">
      <c r="O896" t="s">
        <v>1174</v>
      </c>
      <c r="P896">
        <v>2022</v>
      </c>
    </row>
    <row r="897" spans="15:16" x14ac:dyDescent="0.2">
      <c r="O897" t="s">
        <v>492</v>
      </c>
      <c r="P897">
        <v>2022</v>
      </c>
    </row>
    <row r="898" spans="15:16" x14ac:dyDescent="0.2">
      <c r="O898" t="s">
        <v>2149</v>
      </c>
      <c r="P898">
        <v>2022</v>
      </c>
    </row>
    <row r="899" spans="15:16" x14ac:dyDescent="0.2">
      <c r="O899" t="s">
        <v>1305</v>
      </c>
      <c r="P899">
        <v>2022</v>
      </c>
    </row>
    <row r="900" spans="15:16" x14ac:dyDescent="0.2">
      <c r="O900" t="s">
        <v>1721</v>
      </c>
      <c r="P900">
        <v>2022</v>
      </c>
    </row>
    <row r="901" spans="15:16" x14ac:dyDescent="0.2">
      <c r="O901" t="s">
        <v>1740</v>
      </c>
      <c r="P901">
        <v>2022</v>
      </c>
    </row>
    <row r="902" spans="15:16" x14ac:dyDescent="0.2">
      <c r="O902" t="s">
        <v>521</v>
      </c>
      <c r="P902">
        <v>2022</v>
      </c>
    </row>
    <row r="903" spans="15:16" x14ac:dyDescent="0.2">
      <c r="O903" t="s">
        <v>902</v>
      </c>
      <c r="P903">
        <v>2022</v>
      </c>
    </row>
    <row r="904" spans="15:16" x14ac:dyDescent="0.2">
      <c r="O904" t="s">
        <v>1842</v>
      </c>
      <c r="P904">
        <v>2022</v>
      </c>
    </row>
    <row r="905" spans="15:16" x14ac:dyDescent="0.2">
      <c r="O905" t="s">
        <v>235</v>
      </c>
      <c r="P905">
        <v>2022</v>
      </c>
    </row>
    <row r="906" spans="15:16" x14ac:dyDescent="0.2">
      <c r="O906" t="s">
        <v>1516</v>
      </c>
      <c r="P906">
        <v>2022</v>
      </c>
    </row>
    <row r="907" spans="15:16" x14ac:dyDescent="0.2">
      <c r="O907" t="s">
        <v>1753</v>
      </c>
      <c r="P907">
        <v>2022</v>
      </c>
    </row>
    <row r="908" spans="15:16" x14ac:dyDescent="0.2">
      <c r="O908" t="s">
        <v>2158</v>
      </c>
      <c r="P908">
        <v>2022</v>
      </c>
    </row>
    <row r="909" spans="15:16" x14ac:dyDescent="0.2">
      <c r="O909" t="s">
        <v>71</v>
      </c>
      <c r="P909">
        <v>2022</v>
      </c>
    </row>
    <row r="910" spans="15:16" x14ac:dyDescent="0.2">
      <c r="O910" t="s">
        <v>173</v>
      </c>
      <c r="P910">
        <v>2022</v>
      </c>
    </row>
    <row r="911" spans="15:16" x14ac:dyDescent="0.2">
      <c r="O911" t="s">
        <v>1865</v>
      </c>
      <c r="P911">
        <v>2022</v>
      </c>
    </row>
    <row r="912" spans="15:16" x14ac:dyDescent="0.2">
      <c r="O912" t="s">
        <v>2164</v>
      </c>
      <c r="P912">
        <v>2022</v>
      </c>
    </row>
    <row r="913" spans="15:16" x14ac:dyDescent="0.2">
      <c r="O913" t="s">
        <v>1244</v>
      </c>
      <c r="P913">
        <v>2022</v>
      </c>
    </row>
    <row r="914" spans="15:16" x14ac:dyDescent="0.2">
      <c r="O914" t="s">
        <v>489</v>
      </c>
      <c r="P914">
        <v>2022</v>
      </c>
    </row>
    <row r="915" spans="15:16" x14ac:dyDescent="0.2">
      <c r="O915" t="s">
        <v>2166</v>
      </c>
      <c r="P915">
        <v>2022</v>
      </c>
    </row>
    <row r="916" spans="15:16" x14ac:dyDescent="0.2">
      <c r="O916" t="s">
        <v>2168</v>
      </c>
      <c r="P916">
        <v>2022</v>
      </c>
    </row>
    <row r="917" spans="15:16" x14ac:dyDescent="0.2">
      <c r="O917" t="s">
        <v>52</v>
      </c>
      <c r="P917">
        <v>2022</v>
      </c>
    </row>
    <row r="918" spans="15:16" x14ac:dyDescent="0.2">
      <c r="O918" t="s">
        <v>959</v>
      </c>
      <c r="P918">
        <v>2022</v>
      </c>
    </row>
    <row r="919" spans="15:16" x14ac:dyDescent="0.2">
      <c r="O919" t="s">
        <v>771</v>
      </c>
      <c r="P919">
        <v>2022</v>
      </c>
    </row>
    <row r="920" spans="15:16" x14ac:dyDescent="0.2">
      <c r="O920" t="s">
        <v>923</v>
      </c>
      <c r="P920">
        <v>2022</v>
      </c>
    </row>
    <row r="921" spans="15:16" x14ac:dyDescent="0.2">
      <c r="O921" t="s">
        <v>1431</v>
      </c>
      <c r="P921">
        <v>2022</v>
      </c>
    </row>
    <row r="922" spans="15:16" x14ac:dyDescent="0.2">
      <c r="O922" t="s">
        <v>881</v>
      </c>
      <c r="P922">
        <v>2022</v>
      </c>
    </row>
    <row r="923" spans="15:16" x14ac:dyDescent="0.2">
      <c r="O923" t="s">
        <v>1454</v>
      </c>
      <c r="P923">
        <v>2022</v>
      </c>
    </row>
    <row r="924" spans="15:16" x14ac:dyDescent="0.2">
      <c r="O924" t="s">
        <v>178</v>
      </c>
      <c r="P924">
        <v>2022</v>
      </c>
    </row>
    <row r="925" spans="15:16" x14ac:dyDescent="0.2">
      <c r="O925" t="s">
        <v>1188</v>
      </c>
      <c r="P925">
        <v>2022</v>
      </c>
    </row>
    <row r="926" spans="15:16" x14ac:dyDescent="0.2">
      <c r="O926" t="s">
        <v>927</v>
      </c>
      <c r="P926">
        <v>2022</v>
      </c>
    </row>
    <row r="927" spans="15:16" x14ac:dyDescent="0.2">
      <c r="O927" t="s">
        <v>1150</v>
      </c>
      <c r="P927">
        <v>2022</v>
      </c>
    </row>
    <row r="928" spans="15:16" x14ac:dyDescent="0.2">
      <c r="O928" t="s">
        <v>1426</v>
      </c>
      <c r="P928">
        <v>2022</v>
      </c>
    </row>
    <row r="929" spans="15:16" x14ac:dyDescent="0.2">
      <c r="O929" t="s">
        <v>1799</v>
      </c>
      <c r="P929">
        <v>2022</v>
      </c>
    </row>
    <row r="930" spans="15:16" x14ac:dyDescent="0.2">
      <c r="O930" t="s">
        <v>502</v>
      </c>
      <c r="P930">
        <v>2022</v>
      </c>
    </row>
    <row r="931" spans="15:16" x14ac:dyDescent="0.2">
      <c r="O931" t="s">
        <v>841</v>
      </c>
      <c r="P931">
        <v>2022</v>
      </c>
    </row>
    <row r="932" spans="15:16" x14ac:dyDescent="0.2">
      <c r="O932" t="s">
        <v>2176</v>
      </c>
      <c r="P932">
        <v>2022</v>
      </c>
    </row>
    <row r="933" spans="15:16" x14ac:dyDescent="0.2">
      <c r="O933" t="s">
        <v>1695</v>
      </c>
      <c r="P933">
        <v>2022</v>
      </c>
    </row>
    <row r="934" spans="15:16" x14ac:dyDescent="0.2">
      <c r="O934" t="s">
        <v>1491</v>
      </c>
      <c r="P934">
        <v>2022</v>
      </c>
    </row>
    <row r="935" spans="15:16" x14ac:dyDescent="0.2">
      <c r="O935" t="s">
        <v>2178</v>
      </c>
      <c r="P935">
        <v>2022</v>
      </c>
    </row>
    <row r="936" spans="15:16" x14ac:dyDescent="0.2">
      <c r="O936" t="s">
        <v>751</v>
      </c>
      <c r="P936">
        <v>2022</v>
      </c>
    </row>
    <row r="937" spans="15:16" x14ac:dyDescent="0.2">
      <c r="O937" t="s">
        <v>2181</v>
      </c>
      <c r="P937">
        <v>2022</v>
      </c>
    </row>
    <row r="938" spans="15:16" x14ac:dyDescent="0.2">
      <c r="O938" t="s">
        <v>2185</v>
      </c>
      <c r="P938">
        <v>2022</v>
      </c>
    </row>
    <row r="939" spans="15:16" x14ac:dyDescent="0.2">
      <c r="O939" t="s">
        <v>591</v>
      </c>
      <c r="P939">
        <v>2022</v>
      </c>
    </row>
    <row r="940" spans="15:16" x14ac:dyDescent="0.2">
      <c r="O940" t="s">
        <v>669</v>
      </c>
      <c r="P940">
        <v>2022</v>
      </c>
    </row>
    <row r="941" spans="15:16" x14ac:dyDescent="0.2">
      <c r="O941" t="s">
        <v>500</v>
      </c>
      <c r="P941">
        <v>2022</v>
      </c>
    </row>
    <row r="942" spans="15:16" x14ac:dyDescent="0.2">
      <c r="O942" t="s">
        <v>230</v>
      </c>
      <c r="P942">
        <v>2022</v>
      </c>
    </row>
    <row r="943" spans="15:16" x14ac:dyDescent="0.2">
      <c r="O943" t="s">
        <v>1549</v>
      </c>
      <c r="P943">
        <v>2022</v>
      </c>
    </row>
    <row r="944" spans="15:16" x14ac:dyDescent="0.2">
      <c r="O944" t="s">
        <v>1565</v>
      </c>
      <c r="P944">
        <v>2022</v>
      </c>
    </row>
    <row r="945" spans="15:16" x14ac:dyDescent="0.2">
      <c r="O945" t="s">
        <v>719</v>
      </c>
      <c r="P945">
        <v>2022</v>
      </c>
    </row>
    <row r="946" spans="15:16" x14ac:dyDescent="0.2">
      <c r="O946" t="s">
        <v>2190</v>
      </c>
      <c r="P946">
        <v>2022</v>
      </c>
    </row>
    <row r="947" spans="15:16" x14ac:dyDescent="0.2">
      <c r="O947" t="s">
        <v>1783</v>
      </c>
      <c r="P947">
        <v>2022</v>
      </c>
    </row>
    <row r="948" spans="15:16" x14ac:dyDescent="0.2">
      <c r="O948" t="s">
        <v>145</v>
      </c>
      <c r="P948">
        <v>2022</v>
      </c>
    </row>
    <row r="949" spans="15:16" x14ac:dyDescent="0.2">
      <c r="O949" t="s">
        <v>1275</v>
      </c>
      <c r="P949">
        <v>2022</v>
      </c>
    </row>
    <row r="950" spans="15:16" x14ac:dyDescent="0.2">
      <c r="O950" t="s">
        <v>2192</v>
      </c>
      <c r="P950">
        <v>2022</v>
      </c>
    </row>
    <row r="951" spans="15:16" x14ac:dyDescent="0.2">
      <c r="O951" t="s">
        <v>773</v>
      </c>
      <c r="P951">
        <v>2022</v>
      </c>
    </row>
    <row r="952" spans="15:16" x14ac:dyDescent="0.2">
      <c r="O952" t="s">
        <v>1663</v>
      </c>
      <c r="P952">
        <v>2022</v>
      </c>
    </row>
    <row r="953" spans="15:16" x14ac:dyDescent="0.2">
      <c r="O953" t="s">
        <v>2199</v>
      </c>
      <c r="P953">
        <v>2022</v>
      </c>
    </row>
    <row r="954" spans="15:16" x14ac:dyDescent="0.2">
      <c r="O954" t="s">
        <v>2201</v>
      </c>
      <c r="P954">
        <v>2022</v>
      </c>
    </row>
    <row r="955" spans="15:16" x14ac:dyDescent="0.2">
      <c r="O955" t="s">
        <v>1048</v>
      </c>
      <c r="P955">
        <v>2022</v>
      </c>
    </row>
    <row r="956" spans="15:16" x14ac:dyDescent="0.2">
      <c r="O956" t="s">
        <v>338</v>
      </c>
      <c r="P956">
        <v>2022</v>
      </c>
    </row>
    <row r="957" spans="15:16" x14ac:dyDescent="0.2">
      <c r="O957" t="s">
        <v>2207</v>
      </c>
      <c r="P957">
        <v>2022</v>
      </c>
    </row>
    <row r="958" spans="15:16" x14ac:dyDescent="0.2">
      <c r="O958" t="s">
        <v>2208</v>
      </c>
      <c r="P958">
        <v>2022</v>
      </c>
    </row>
    <row r="959" spans="15:16" x14ac:dyDescent="0.2">
      <c r="O959" t="s">
        <v>685</v>
      </c>
      <c r="P959">
        <v>2022</v>
      </c>
    </row>
    <row r="960" spans="15:16" x14ac:dyDescent="0.2">
      <c r="O960" t="s">
        <v>2211</v>
      </c>
      <c r="P960">
        <v>2022</v>
      </c>
    </row>
    <row r="961" spans="15:16" x14ac:dyDescent="0.2">
      <c r="O961" t="s">
        <v>354</v>
      </c>
      <c r="P961">
        <v>2022</v>
      </c>
    </row>
    <row r="962" spans="15:16" x14ac:dyDescent="0.2">
      <c r="O962" t="s">
        <v>2214</v>
      </c>
      <c r="P962">
        <v>2022</v>
      </c>
    </row>
    <row r="963" spans="15:16" x14ac:dyDescent="0.2">
      <c r="O963" t="s">
        <v>1537</v>
      </c>
      <c r="P963">
        <v>2022</v>
      </c>
    </row>
    <row r="964" spans="15:16" x14ac:dyDescent="0.2">
      <c r="O964" t="s">
        <v>1195</v>
      </c>
      <c r="P964">
        <v>2022</v>
      </c>
    </row>
    <row r="965" spans="15:16" x14ac:dyDescent="0.2">
      <c r="O965" t="s">
        <v>1336</v>
      </c>
      <c r="P965">
        <v>2022</v>
      </c>
    </row>
    <row r="966" spans="15:16" x14ac:dyDescent="0.2">
      <c r="O966" t="s">
        <v>603</v>
      </c>
      <c r="P966">
        <v>2022</v>
      </c>
    </row>
    <row r="967" spans="15:16" x14ac:dyDescent="0.2">
      <c r="O967" t="s">
        <v>1631</v>
      </c>
      <c r="P967">
        <v>2022</v>
      </c>
    </row>
    <row r="968" spans="15:16" x14ac:dyDescent="0.2">
      <c r="O968" t="s">
        <v>1415</v>
      </c>
      <c r="P968">
        <v>2022</v>
      </c>
    </row>
    <row r="969" spans="15:16" x14ac:dyDescent="0.2">
      <c r="O969" t="s">
        <v>1657</v>
      </c>
      <c r="P969">
        <v>2022</v>
      </c>
    </row>
    <row r="970" spans="15:16" x14ac:dyDescent="0.2">
      <c r="O970" t="s">
        <v>405</v>
      </c>
      <c r="P970">
        <v>2022</v>
      </c>
    </row>
    <row r="971" spans="15:16" x14ac:dyDescent="0.2">
      <c r="O971" t="s">
        <v>1046</v>
      </c>
      <c r="P971">
        <v>2022</v>
      </c>
    </row>
    <row r="972" spans="15:16" x14ac:dyDescent="0.2">
      <c r="O972" t="s">
        <v>1007</v>
      </c>
      <c r="P972">
        <v>2022</v>
      </c>
    </row>
    <row r="973" spans="15:16" x14ac:dyDescent="0.2">
      <c r="O973" t="s">
        <v>2224</v>
      </c>
      <c r="P973">
        <v>2022</v>
      </c>
    </row>
    <row r="974" spans="15:16" x14ac:dyDescent="0.2">
      <c r="O974" t="s">
        <v>1828</v>
      </c>
      <c r="P974">
        <v>2022</v>
      </c>
    </row>
    <row r="975" spans="15:16" x14ac:dyDescent="0.2">
      <c r="O975" t="s">
        <v>571</v>
      </c>
      <c r="P975">
        <v>2022</v>
      </c>
    </row>
    <row r="976" spans="15:16" x14ac:dyDescent="0.2">
      <c r="O976" t="s">
        <v>2227</v>
      </c>
      <c r="P976">
        <v>2022</v>
      </c>
    </row>
    <row r="977" spans="15:16" x14ac:dyDescent="0.2">
      <c r="O977" t="s">
        <v>1701</v>
      </c>
      <c r="P977">
        <v>2022</v>
      </c>
    </row>
    <row r="978" spans="15:16" x14ac:dyDescent="0.2">
      <c r="O978" t="s">
        <v>83</v>
      </c>
      <c r="P978">
        <v>2022</v>
      </c>
    </row>
    <row r="979" spans="15:16" x14ac:dyDescent="0.2">
      <c r="O979" t="s">
        <v>1097</v>
      </c>
      <c r="P979">
        <v>2022</v>
      </c>
    </row>
    <row r="980" spans="15:16" x14ac:dyDescent="0.2">
      <c r="O980" t="s">
        <v>1232</v>
      </c>
      <c r="P980">
        <v>2022</v>
      </c>
    </row>
    <row r="981" spans="15:16" x14ac:dyDescent="0.2">
      <c r="O981" t="s">
        <v>1445</v>
      </c>
      <c r="P981">
        <v>2022</v>
      </c>
    </row>
    <row r="982" spans="15:16" x14ac:dyDescent="0.2">
      <c r="O982" t="s">
        <v>2232</v>
      </c>
      <c r="P982">
        <v>2022</v>
      </c>
    </row>
    <row r="983" spans="15:16" x14ac:dyDescent="0.2">
      <c r="O983" t="s">
        <v>261</v>
      </c>
      <c r="P983">
        <v>2022</v>
      </c>
    </row>
    <row r="984" spans="15:16" x14ac:dyDescent="0.2">
      <c r="O984" t="s">
        <v>527</v>
      </c>
      <c r="P984">
        <v>2022</v>
      </c>
    </row>
    <row r="985" spans="15:16" x14ac:dyDescent="0.2">
      <c r="O985" t="s">
        <v>2234</v>
      </c>
      <c r="P985">
        <v>2022</v>
      </c>
    </row>
    <row r="986" spans="15:16" x14ac:dyDescent="0.2">
      <c r="O986" t="s">
        <v>1870</v>
      </c>
      <c r="P986">
        <v>2022</v>
      </c>
    </row>
    <row r="987" spans="15:16" x14ac:dyDescent="0.2">
      <c r="O987" t="s">
        <v>639</v>
      </c>
      <c r="P987">
        <v>2022</v>
      </c>
    </row>
    <row r="988" spans="15:16" x14ac:dyDescent="0.2">
      <c r="O988" t="s">
        <v>914</v>
      </c>
      <c r="P988">
        <v>2022</v>
      </c>
    </row>
    <row r="989" spans="15:16" x14ac:dyDescent="0.2">
      <c r="O989" t="s">
        <v>585</v>
      </c>
      <c r="P989">
        <v>2022</v>
      </c>
    </row>
    <row r="990" spans="15:16" x14ac:dyDescent="0.2">
      <c r="O990" t="s">
        <v>653</v>
      </c>
      <c r="P990">
        <v>2022</v>
      </c>
    </row>
    <row r="991" spans="15:16" x14ac:dyDescent="0.2">
      <c r="O991" t="s">
        <v>1833</v>
      </c>
      <c r="P991">
        <v>2022</v>
      </c>
    </row>
    <row r="992" spans="15:16" x14ac:dyDescent="0.2">
      <c r="O992" t="s">
        <v>594</v>
      </c>
      <c r="P992">
        <v>2022</v>
      </c>
    </row>
    <row r="993" spans="15:16" x14ac:dyDescent="0.2">
      <c r="O993" t="s">
        <v>1530</v>
      </c>
      <c r="P993">
        <v>2022</v>
      </c>
    </row>
    <row r="994" spans="15:16" x14ac:dyDescent="0.2">
      <c r="O994" t="s">
        <v>2244</v>
      </c>
      <c r="P994">
        <v>2022</v>
      </c>
    </row>
    <row r="995" spans="15:16" x14ac:dyDescent="0.2">
      <c r="O995" t="s">
        <v>385</v>
      </c>
      <c r="P995">
        <v>2022</v>
      </c>
    </row>
    <row r="996" spans="15:16" x14ac:dyDescent="0.2">
      <c r="O996" t="s">
        <v>1698</v>
      </c>
      <c r="P996">
        <v>2022</v>
      </c>
    </row>
    <row r="997" spans="15:16" x14ac:dyDescent="0.2">
      <c r="O997" t="s">
        <v>632</v>
      </c>
      <c r="P997">
        <v>2022</v>
      </c>
    </row>
    <row r="998" spans="15:16" x14ac:dyDescent="0.2">
      <c r="O998" t="s">
        <v>2246</v>
      </c>
      <c r="P998">
        <v>2022</v>
      </c>
    </row>
    <row r="999" spans="15:16" x14ac:dyDescent="0.2">
      <c r="O999" t="s">
        <v>2248</v>
      </c>
      <c r="P999">
        <v>2022</v>
      </c>
    </row>
    <row r="1000" spans="15:16" x14ac:dyDescent="0.2">
      <c r="O1000" t="s">
        <v>158</v>
      </c>
      <c r="P1000">
        <v>2022</v>
      </c>
    </row>
    <row r="1001" spans="15:16" x14ac:dyDescent="0.2">
      <c r="O1001" t="s">
        <v>1479</v>
      </c>
      <c r="P1001">
        <v>2022</v>
      </c>
    </row>
    <row r="1002" spans="15:16" x14ac:dyDescent="0.2">
      <c r="O1002" t="s">
        <v>2250</v>
      </c>
      <c r="P1002">
        <v>2022</v>
      </c>
    </row>
    <row r="1003" spans="15:16" x14ac:dyDescent="0.2">
      <c r="O1003" t="s">
        <v>1499</v>
      </c>
      <c r="P1003">
        <v>2022</v>
      </c>
    </row>
    <row r="1004" spans="15:16" x14ac:dyDescent="0.2">
      <c r="O1004" t="s">
        <v>2254</v>
      </c>
      <c r="P1004">
        <v>2022</v>
      </c>
    </row>
    <row r="1005" spans="15:16" x14ac:dyDescent="0.2">
      <c r="O1005" t="s">
        <v>2255</v>
      </c>
      <c r="P1005">
        <v>2022</v>
      </c>
    </row>
    <row r="1006" spans="15:16" x14ac:dyDescent="0.2">
      <c r="O1006" t="s">
        <v>2256</v>
      </c>
      <c r="P1006">
        <v>2022</v>
      </c>
    </row>
    <row r="1007" spans="15:16" x14ac:dyDescent="0.2">
      <c r="O1007" t="s">
        <v>243</v>
      </c>
      <c r="P1007">
        <v>2022</v>
      </c>
    </row>
    <row r="1008" spans="15:16" x14ac:dyDescent="0.2">
      <c r="O1008" t="s">
        <v>239</v>
      </c>
      <c r="P1008">
        <v>2022</v>
      </c>
    </row>
    <row r="1009" spans="15:16" x14ac:dyDescent="0.2">
      <c r="O1009" t="s">
        <v>578</v>
      </c>
      <c r="P1009">
        <v>2022</v>
      </c>
    </row>
    <row r="1010" spans="15:16" x14ac:dyDescent="0.2">
      <c r="O1010" t="s">
        <v>666</v>
      </c>
      <c r="P1010">
        <v>2022</v>
      </c>
    </row>
    <row r="1011" spans="15:16" x14ac:dyDescent="0.2">
      <c r="O1011" t="s">
        <v>1578</v>
      </c>
      <c r="P1011">
        <v>2022</v>
      </c>
    </row>
    <row r="1012" spans="15:16" x14ac:dyDescent="0.2">
      <c r="O1012" t="s">
        <v>1576</v>
      </c>
      <c r="P1012">
        <v>2022</v>
      </c>
    </row>
    <row r="1013" spans="15:16" x14ac:dyDescent="0.2">
      <c r="O1013" t="s">
        <v>1066</v>
      </c>
      <c r="P1013">
        <v>2022</v>
      </c>
    </row>
    <row r="1014" spans="15:16" x14ac:dyDescent="0.2">
      <c r="O1014" t="s">
        <v>161</v>
      </c>
      <c r="P1014">
        <v>2022</v>
      </c>
    </row>
    <row r="1015" spans="15:16" x14ac:dyDescent="0.2">
      <c r="O1015" t="s">
        <v>1117</v>
      </c>
      <c r="P1015">
        <v>2022</v>
      </c>
    </row>
    <row r="1016" spans="15:16" x14ac:dyDescent="0.2">
      <c r="O1016" t="s">
        <v>2261</v>
      </c>
      <c r="P1016">
        <v>2022</v>
      </c>
    </row>
    <row r="1017" spans="15:16" x14ac:dyDescent="0.2">
      <c r="O1017" t="s">
        <v>1674</v>
      </c>
      <c r="P1017">
        <v>2022</v>
      </c>
    </row>
    <row r="1018" spans="15:16" x14ac:dyDescent="0.2">
      <c r="O1018" t="s">
        <v>2264</v>
      </c>
      <c r="P1018">
        <v>2022</v>
      </c>
    </row>
    <row r="1019" spans="15:16" x14ac:dyDescent="0.2">
      <c r="O1019" t="s">
        <v>407</v>
      </c>
      <c r="P1019">
        <v>2022</v>
      </c>
    </row>
    <row r="1020" spans="15:16" x14ac:dyDescent="0.2">
      <c r="O1020" t="s">
        <v>1086</v>
      </c>
      <c r="P1020">
        <v>2022</v>
      </c>
    </row>
    <row r="1021" spans="15:16" x14ac:dyDescent="0.2">
      <c r="O1021" t="s">
        <v>1625</v>
      </c>
      <c r="P1021">
        <v>2022</v>
      </c>
    </row>
    <row r="1022" spans="15:16" x14ac:dyDescent="0.2">
      <c r="O1022" t="s">
        <v>16</v>
      </c>
      <c r="P1022">
        <v>2022</v>
      </c>
    </row>
    <row r="1023" spans="15:16" x14ac:dyDescent="0.2">
      <c r="O1023" t="s">
        <v>2267</v>
      </c>
      <c r="P1023">
        <v>2022</v>
      </c>
    </row>
    <row r="1024" spans="15:16" x14ac:dyDescent="0.2">
      <c r="O1024" t="s">
        <v>85</v>
      </c>
      <c r="P1024">
        <v>2022</v>
      </c>
    </row>
    <row r="1025" spans="15:16" x14ac:dyDescent="0.2">
      <c r="O1025" t="s">
        <v>1773</v>
      </c>
      <c r="P1025">
        <v>2022</v>
      </c>
    </row>
    <row r="1026" spans="15:16" x14ac:dyDescent="0.2">
      <c r="O1026" t="s">
        <v>199</v>
      </c>
      <c r="P1026">
        <v>2022</v>
      </c>
    </row>
    <row r="1027" spans="15:16" x14ac:dyDescent="0.2">
      <c r="O1027" t="s">
        <v>793</v>
      </c>
      <c r="P1027">
        <v>2022</v>
      </c>
    </row>
    <row r="1028" spans="15:16" x14ac:dyDescent="0.2">
      <c r="O1028" t="s">
        <v>2272</v>
      </c>
      <c r="P1028">
        <v>2022</v>
      </c>
    </row>
    <row r="1029" spans="15:16" x14ac:dyDescent="0.2">
      <c r="O1029" t="s">
        <v>2273</v>
      </c>
      <c r="P1029">
        <v>2022</v>
      </c>
    </row>
    <row r="1030" spans="15:16" x14ac:dyDescent="0.2">
      <c r="O1030" t="s">
        <v>940</v>
      </c>
      <c r="P1030">
        <v>2022</v>
      </c>
    </row>
    <row r="1031" spans="15:16" x14ac:dyDescent="0.2">
      <c r="O1031" t="s">
        <v>1682</v>
      </c>
      <c r="P1031">
        <v>2022</v>
      </c>
    </row>
    <row r="1032" spans="15:16" x14ac:dyDescent="0.2">
      <c r="O1032" t="s">
        <v>1622</v>
      </c>
      <c r="P1032">
        <v>2022</v>
      </c>
    </row>
    <row r="1033" spans="15:16" x14ac:dyDescent="0.2">
      <c r="O1033" t="s">
        <v>2278</v>
      </c>
      <c r="P1033">
        <v>2022</v>
      </c>
    </row>
    <row r="1034" spans="15:16" x14ac:dyDescent="0.2">
      <c r="O1034" t="s">
        <v>1163</v>
      </c>
      <c r="P1034">
        <v>2022</v>
      </c>
    </row>
    <row r="1035" spans="15:16" x14ac:dyDescent="0.2">
      <c r="O1035" t="s">
        <v>1385</v>
      </c>
      <c r="P1035">
        <v>2022</v>
      </c>
    </row>
    <row r="1036" spans="15:16" x14ac:dyDescent="0.2">
      <c r="O1036" t="s">
        <v>2279</v>
      </c>
      <c r="P1036">
        <v>2022</v>
      </c>
    </row>
    <row r="1037" spans="15:16" x14ac:dyDescent="0.2">
      <c r="O1037" t="s">
        <v>452</v>
      </c>
      <c r="P1037">
        <v>2022</v>
      </c>
    </row>
    <row r="1038" spans="15:16" x14ac:dyDescent="0.2">
      <c r="O1038" t="s">
        <v>677</v>
      </c>
      <c r="P1038">
        <v>2022</v>
      </c>
    </row>
    <row r="1039" spans="15:16" x14ac:dyDescent="0.2">
      <c r="O1039" t="s">
        <v>1768</v>
      </c>
      <c r="P1039">
        <v>2022</v>
      </c>
    </row>
    <row r="1040" spans="15:16" x14ac:dyDescent="0.2">
      <c r="O1040" t="s">
        <v>421</v>
      </c>
      <c r="P1040">
        <v>2022</v>
      </c>
    </row>
    <row r="1041" spans="15:16" x14ac:dyDescent="0.2">
      <c r="O1041" t="s">
        <v>2282</v>
      </c>
      <c r="P1041">
        <v>2022</v>
      </c>
    </row>
    <row r="1042" spans="15:16" x14ac:dyDescent="0.2">
      <c r="O1042" t="s">
        <v>1489</v>
      </c>
      <c r="P1042">
        <v>2022</v>
      </c>
    </row>
    <row r="1043" spans="15:16" x14ac:dyDescent="0.2">
      <c r="O1043" t="s">
        <v>2284</v>
      </c>
      <c r="P1043">
        <v>2022</v>
      </c>
    </row>
    <row r="1044" spans="15:16" x14ac:dyDescent="0.2">
      <c r="O1044" t="s">
        <v>1764</v>
      </c>
      <c r="P1044">
        <v>2022</v>
      </c>
    </row>
    <row r="1045" spans="15:16" x14ac:dyDescent="0.2">
      <c r="O1045" t="s">
        <v>925</v>
      </c>
      <c r="P1045">
        <v>2022</v>
      </c>
    </row>
    <row r="1046" spans="15:16" x14ac:dyDescent="0.2">
      <c r="O1046" t="s">
        <v>824</v>
      </c>
      <c r="P1046">
        <v>2022</v>
      </c>
    </row>
    <row r="1047" spans="15:16" x14ac:dyDescent="0.2">
      <c r="O1047" t="s">
        <v>1735</v>
      </c>
      <c r="P1047">
        <v>2022</v>
      </c>
    </row>
    <row r="1048" spans="15:16" x14ac:dyDescent="0.2">
      <c r="O1048" t="s">
        <v>2286</v>
      </c>
      <c r="P1048">
        <v>2022</v>
      </c>
    </row>
    <row r="1049" spans="15:16" x14ac:dyDescent="0.2">
      <c r="O1049" t="s">
        <v>1550</v>
      </c>
      <c r="P1049">
        <v>2022</v>
      </c>
    </row>
    <row r="1050" spans="15:16" x14ac:dyDescent="0.2">
      <c r="O1050" t="s">
        <v>645</v>
      </c>
      <c r="P1050">
        <v>2022</v>
      </c>
    </row>
    <row r="1051" spans="15:16" x14ac:dyDescent="0.2">
      <c r="O1051" t="s">
        <v>2288</v>
      </c>
      <c r="P1051">
        <v>2022</v>
      </c>
    </row>
    <row r="1052" spans="15:16" x14ac:dyDescent="0.2">
      <c r="O1052" t="s">
        <v>241</v>
      </c>
      <c r="P1052">
        <v>2022</v>
      </c>
    </row>
    <row r="1053" spans="15:16" x14ac:dyDescent="0.2">
      <c r="O1053" t="s">
        <v>1303</v>
      </c>
      <c r="P1053">
        <v>2022</v>
      </c>
    </row>
    <row r="1054" spans="15:16" x14ac:dyDescent="0.2">
      <c r="O1054" t="s">
        <v>604</v>
      </c>
      <c r="P1054">
        <v>2022</v>
      </c>
    </row>
    <row r="1055" spans="15:16" x14ac:dyDescent="0.2">
      <c r="O1055" t="s">
        <v>762</v>
      </c>
      <c r="P1055">
        <v>2022</v>
      </c>
    </row>
    <row r="1056" spans="15:16" x14ac:dyDescent="0.2">
      <c r="O1056" t="s">
        <v>2296</v>
      </c>
      <c r="P1056">
        <v>2022</v>
      </c>
    </row>
    <row r="1057" spans="15:16" x14ac:dyDescent="0.2">
      <c r="O1057" t="s">
        <v>1377</v>
      </c>
      <c r="P1057">
        <v>2022</v>
      </c>
    </row>
    <row r="1058" spans="15:16" x14ac:dyDescent="0.2">
      <c r="O1058" t="s">
        <v>815</v>
      </c>
      <c r="P1058">
        <v>2022</v>
      </c>
    </row>
    <row r="1059" spans="15:16" x14ac:dyDescent="0.2">
      <c r="O1059" t="s">
        <v>2300</v>
      </c>
      <c r="P1059">
        <v>2022</v>
      </c>
    </row>
    <row r="1060" spans="15:16" x14ac:dyDescent="0.2">
      <c r="O1060" t="s">
        <v>204</v>
      </c>
      <c r="P1060">
        <v>2022</v>
      </c>
    </row>
    <row r="1061" spans="15:16" x14ac:dyDescent="0.2">
      <c r="O1061" t="s">
        <v>628</v>
      </c>
      <c r="P1061">
        <v>2022</v>
      </c>
    </row>
    <row r="1062" spans="15:16" x14ac:dyDescent="0.2">
      <c r="O1062" t="s">
        <v>279</v>
      </c>
      <c r="P1062">
        <v>2022</v>
      </c>
    </row>
    <row r="1063" spans="15:16" x14ac:dyDescent="0.2">
      <c r="O1063" t="s">
        <v>2308</v>
      </c>
      <c r="P1063">
        <v>2022</v>
      </c>
    </row>
    <row r="1064" spans="15:16" x14ac:dyDescent="0.2">
      <c r="O1064" t="s">
        <v>494</v>
      </c>
      <c r="P1064">
        <v>2022</v>
      </c>
    </row>
    <row r="1065" spans="15:16" x14ac:dyDescent="0.2">
      <c r="O1065" t="s">
        <v>336</v>
      </c>
      <c r="P1065">
        <v>2022</v>
      </c>
    </row>
    <row r="1066" spans="15:16" x14ac:dyDescent="0.2">
      <c r="O1066" t="s">
        <v>1564</v>
      </c>
      <c r="P1066">
        <v>2022</v>
      </c>
    </row>
    <row r="1067" spans="15:16" x14ac:dyDescent="0.2">
      <c r="O1067" t="s">
        <v>424</v>
      </c>
      <c r="P1067">
        <v>2022</v>
      </c>
    </row>
    <row r="1068" spans="15:16" x14ac:dyDescent="0.2">
      <c r="O1068" t="s">
        <v>2310</v>
      </c>
      <c r="P1068">
        <v>2022</v>
      </c>
    </row>
    <row r="1069" spans="15:16" x14ac:dyDescent="0.2">
      <c r="O1069" t="s">
        <v>979</v>
      </c>
      <c r="P1069">
        <v>2022</v>
      </c>
    </row>
    <row r="1070" spans="15:16" x14ac:dyDescent="0.2">
      <c r="O1070" t="s">
        <v>1099</v>
      </c>
      <c r="P1070">
        <v>2022</v>
      </c>
    </row>
    <row r="1071" spans="15:16" x14ac:dyDescent="0.2">
      <c r="O1071" t="s">
        <v>1037</v>
      </c>
      <c r="P1071">
        <v>2022</v>
      </c>
    </row>
    <row r="1072" spans="15:16" x14ac:dyDescent="0.2">
      <c r="O1072" t="s">
        <v>2315</v>
      </c>
      <c r="P1072">
        <v>2022</v>
      </c>
    </row>
    <row r="1073" spans="15:16" x14ac:dyDescent="0.2">
      <c r="O1073" t="s">
        <v>782</v>
      </c>
      <c r="P1073">
        <v>2022</v>
      </c>
    </row>
    <row r="1074" spans="15:16" x14ac:dyDescent="0.2">
      <c r="O1074" t="s">
        <v>1689</v>
      </c>
      <c r="P1074">
        <v>2022</v>
      </c>
    </row>
    <row r="1075" spans="15:16" x14ac:dyDescent="0.2">
      <c r="O1075" t="s">
        <v>2320</v>
      </c>
      <c r="P1075">
        <v>2022</v>
      </c>
    </row>
    <row r="1076" spans="15:16" x14ac:dyDescent="0.2">
      <c r="O1076" t="s">
        <v>2321</v>
      </c>
      <c r="P1076">
        <v>2022</v>
      </c>
    </row>
    <row r="1077" spans="15:16" x14ac:dyDescent="0.2">
      <c r="O1077" t="s">
        <v>429</v>
      </c>
      <c r="P1077">
        <v>2022</v>
      </c>
    </row>
    <row r="1078" spans="15:16" x14ac:dyDescent="0.2">
      <c r="O1078" t="s">
        <v>321</v>
      </c>
      <c r="P1078">
        <v>2022</v>
      </c>
    </row>
    <row r="1079" spans="15:16" x14ac:dyDescent="0.2">
      <c r="O1079" t="s">
        <v>2325</v>
      </c>
      <c r="P1079">
        <v>2022</v>
      </c>
    </row>
    <row r="1080" spans="15:16" x14ac:dyDescent="0.2">
      <c r="O1080" t="s">
        <v>1819</v>
      </c>
      <c r="P1080">
        <v>2022</v>
      </c>
    </row>
    <row r="1081" spans="15:16" x14ac:dyDescent="0.2">
      <c r="O1081" t="s">
        <v>889</v>
      </c>
      <c r="P1081">
        <v>2022</v>
      </c>
    </row>
    <row r="1082" spans="15:16" x14ac:dyDescent="0.2">
      <c r="O1082" t="s">
        <v>2328</v>
      </c>
      <c r="P1082">
        <v>2022</v>
      </c>
    </row>
    <row r="1083" spans="15:16" x14ac:dyDescent="0.2">
      <c r="O1083" t="s">
        <v>195</v>
      </c>
      <c r="P1083">
        <v>2022</v>
      </c>
    </row>
    <row r="1084" spans="15:16" x14ac:dyDescent="0.2">
      <c r="O1084" t="s">
        <v>826</v>
      </c>
      <c r="P1084">
        <v>2022</v>
      </c>
    </row>
    <row r="1085" spans="15:16" x14ac:dyDescent="0.2">
      <c r="O1085" t="s">
        <v>1396</v>
      </c>
      <c r="P1085">
        <v>2022</v>
      </c>
    </row>
    <row r="1086" spans="15:16" x14ac:dyDescent="0.2">
      <c r="O1086" t="s">
        <v>1363</v>
      </c>
      <c r="P1086">
        <v>2022</v>
      </c>
    </row>
    <row r="1087" spans="15:16" x14ac:dyDescent="0.2">
      <c r="O1087" t="s">
        <v>726</v>
      </c>
      <c r="P1087">
        <v>2022</v>
      </c>
    </row>
    <row r="1088" spans="15:16" x14ac:dyDescent="0.2">
      <c r="O1088" t="s">
        <v>1725</v>
      </c>
      <c r="P1088">
        <v>2022</v>
      </c>
    </row>
    <row r="1089" spans="15:16" x14ac:dyDescent="0.2">
      <c r="O1089" t="s">
        <v>254</v>
      </c>
      <c r="P1089">
        <v>2022</v>
      </c>
    </row>
    <row r="1090" spans="15:16" x14ac:dyDescent="0.2">
      <c r="O1090" t="s">
        <v>1640</v>
      </c>
      <c r="P1090">
        <v>2022</v>
      </c>
    </row>
    <row r="1091" spans="15:16" x14ac:dyDescent="0.2">
      <c r="O1091" t="s">
        <v>953</v>
      </c>
      <c r="P1091">
        <v>2022</v>
      </c>
    </row>
    <row r="1092" spans="15:16" x14ac:dyDescent="0.2">
      <c r="O1092" t="s">
        <v>736</v>
      </c>
      <c r="P1092">
        <v>2022</v>
      </c>
    </row>
    <row r="1093" spans="15:16" x14ac:dyDescent="0.2">
      <c r="O1093" t="s">
        <v>1507</v>
      </c>
      <c r="P1093">
        <v>2022</v>
      </c>
    </row>
    <row r="1094" spans="15:16" x14ac:dyDescent="0.2">
      <c r="O1094" t="s">
        <v>1076</v>
      </c>
      <c r="P1094">
        <v>2022</v>
      </c>
    </row>
    <row r="1095" spans="15:16" x14ac:dyDescent="0.2">
      <c r="O1095" t="s">
        <v>293</v>
      </c>
      <c r="P1095">
        <v>2022</v>
      </c>
    </row>
    <row r="1096" spans="15:16" x14ac:dyDescent="0.2">
      <c r="O1096" t="s">
        <v>729</v>
      </c>
      <c r="P1096">
        <v>2022</v>
      </c>
    </row>
    <row r="1097" spans="15:16" x14ac:dyDescent="0.2">
      <c r="O1097" t="s">
        <v>403</v>
      </c>
      <c r="P1097">
        <v>2022</v>
      </c>
    </row>
    <row r="1098" spans="15:16" x14ac:dyDescent="0.2">
      <c r="O1098" t="s">
        <v>348</v>
      </c>
      <c r="P1098">
        <v>2022</v>
      </c>
    </row>
    <row r="1099" spans="15:16" x14ac:dyDescent="0.2">
      <c r="O1099" t="s">
        <v>464</v>
      </c>
      <c r="P1099">
        <v>2022</v>
      </c>
    </row>
    <row r="1100" spans="15:16" x14ac:dyDescent="0.2">
      <c r="O1100" t="s">
        <v>2345</v>
      </c>
      <c r="P1100">
        <v>2022</v>
      </c>
    </row>
    <row r="1101" spans="15:16" x14ac:dyDescent="0.2">
      <c r="O1101" t="s">
        <v>868</v>
      </c>
      <c r="P1101">
        <v>2022</v>
      </c>
    </row>
    <row r="1102" spans="15:16" x14ac:dyDescent="0.2">
      <c r="O1102" t="s">
        <v>863</v>
      </c>
      <c r="P1102">
        <v>2022</v>
      </c>
    </row>
    <row r="1103" spans="15:16" x14ac:dyDescent="0.2">
      <c r="O1103" t="s">
        <v>575</v>
      </c>
      <c r="P1103">
        <v>2022</v>
      </c>
    </row>
    <row r="1104" spans="15:16" x14ac:dyDescent="0.2">
      <c r="O1104" t="s">
        <v>1209</v>
      </c>
      <c r="P1104">
        <v>2022</v>
      </c>
    </row>
    <row r="1105" spans="15:16" x14ac:dyDescent="0.2">
      <c r="O1105" t="s">
        <v>886</v>
      </c>
      <c r="P1105">
        <v>2022</v>
      </c>
    </row>
    <row r="1106" spans="15:16" x14ac:dyDescent="0.2">
      <c r="O1106" t="s">
        <v>2348</v>
      </c>
      <c r="P1106">
        <v>2022</v>
      </c>
    </row>
    <row r="1107" spans="15:16" x14ac:dyDescent="0.2">
      <c r="O1107" t="s">
        <v>2349</v>
      </c>
      <c r="P1107">
        <v>2022</v>
      </c>
    </row>
    <row r="1108" spans="15:16" x14ac:dyDescent="0.2">
      <c r="O1108" t="s">
        <v>870</v>
      </c>
      <c r="P1108">
        <v>2022</v>
      </c>
    </row>
    <row r="1109" spans="15:16" x14ac:dyDescent="0.2">
      <c r="O1109" t="s">
        <v>742</v>
      </c>
      <c r="P1109">
        <v>2022</v>
      </c>
    </row>
    <row r="1110" spans="15:16" x14ac:dyDescent="0.2">
      <c r="O1110" t="s">
        <v>248</v>
      </c>
      <c r="P1110">
        <v>2022</v>
      </c>
    </row>
    <row r="1111" spans="15:16" x14ac:dyDescent="0.2">
      <c r="O1111" t="s">
        <v>1198</v>
      </c>
      <c r="P1111">
        <v>2022</v>
      </c>
    </row>
    <row r="1112" spans="15:16" x14ac:dyDescent="0.2">
      <c r="O1112" t="s">
        <v>472</v>
      </c>
      <c r="P1112">
        <v>2022</v>
      </c>
    </row>
    <row r="1113" spans="15:16" x14ac:dyDescent="0.2">
      <c r="O1113" t="s">
        <v>1800</v>
      </c>
      <c r="P1113">
        <v>2022</v>
      </c>
    </row>
    <row r="1114" spans="15:16" x14ac:dyDescent="0.2">
      <c r="O1114" t="s">
        <v>380</v>
      </c>
      <c r="P1114">
        <v>2022</v>
      </c>
    </row>
    <row r="1115" spans="15:16" x14ac:dyDescent="0.2">
      <c r="O1115" t="s">
        <v>1848</v>
      </c>
      <c r="P1115">
        <v>2022</v>
      </c>
    </row>
    <row r="1116" spans="15:16" x14ac:dyDescent="0.2">
      <c r="O1116" t="s">
        <v>630</v>
      </c>
      <c r="P1116">
        <v>2022</v>
      </c>
    </row>
    <row r="1117" spans="15:16" x14ac:dyDescent="0.2">
      <c r="O1117" t="s">
        <v>1090</v>
      </c>
      <c r="P1117">
        <v>2022</v>
      </c>
    </row>
    <row r="1118" spans="15:16" x14ac:dyDescent="0.2">
      <c r="O1118" t="s">
        <v>2367</v>
      </c>
      <c r="P1118">
        <v>2022</v>
      </c>
    </row>
    <row r="1119" spans="15:16" x14ac:dyDescent="0.2">
      <c r="O1119" t="s">
        <v>750</v>
      </c>
      <c r="P1119">
        <v>2022</v>
      </c>
    </row>
    <row r="1120" spans="15:16" x14ac:dyDescent="0.2">
      <c r="O1120" t="s">
        <v>1340</v>
      </c>
      <c r="P1120">
        <v>2022</v>
      </c>
    </row>
    <row r="1121" spans="15:16" x14ac:dyDescent="0.2">
      <c r="O1121" t="s">
        <v>343</v>
      </c>
      <c r="P1121">
        <v>2022</v>
      </c>
    </row>
    <row r="1122" spans="15:16" x14ac:dyDescent="0.2">
      <c r="O1122" t="s">
        <v>657</v>
      </c>
      <c r="P1122">
        <v>2022</v>
      </c>
    </row>
    <row r="1123" spans="15:16" x14ac:dyDescent="0.2">
      <c r="O1123" t="s">
        <v>716</v>
      </c>
      <c r="P1123">
        <v>2022</v>
      </c>
    </row>
    <row r="1124" spans="15:16" x14ac:dyDescent="0.2">
      <c r="O1124" t="s">
        <v>1081</v>
      </c>
      <c r="P1124">
        <v>2022</v>
      </c>
    </row>
    <row r="1125" spans="15:16" x14ac:dyDescent="0.2">
      <c r="O1125" t="s">
        <v>1265</v>
      </c>
      <c r="P1125">
        <v>2022</v>
      </c>
    </row>
    <row r="1126" spans="15:16" x14ac:dyDescent="0.2">
      <c r="O1126" t="s">
        <v>1724</v>
      </c>
      <c r="P1126">
        <v>2022</v>
      </c>
    </row>
    <row r="1127" spans="15:16" x14ac:dyDescent="0.2">
      <c r="O1127" t="s">
        <v>1348</v>
      </c>
      <c r="P1127">
        <v>2022</v>
      </c>
    </row>
    <row r="1128" spans="15:16" x14ac:dyDescent="0.2">
      <c r="O1128" t="s">
        <v>2380</v>
      </c>
      <c r="P1128">
        <v>2022</v>
      </c>
    </row>
    <row r="1129" spans="15:16" x14ac:dyDescent="0.2">
      <c r="O1129" t="s">
        <v>994</v>
      </c>
      <c r="P1129">
        <v>2022</v>
      </c>
    </row>
    <row r="1130" spans="15:16" x14ac:dyDescent="0.2">
      <c r="O1130" t="s">
        <v>1597</v>
      </c>
      <c r="P1130">
        <v>2022</v>
      </c>
    </row>
    <row r="1131" spans="15:16" x14ac:dyDescent="0.2">
      <c r="O1131" t="s">
        <v>2382</v>
      </c>
      <c r="P1131">
        <v>2022</v>
      </c>
    </row>
    <row r="1132" spans="15:16" x14ac:dyDescent="0.2">
      <c r="O1132" t="s">
        <v>2383</v>
      </c>
      <c r="P1132">
        <v>2022</v>
      </c>
    </row>
    <row r="1133" spans="15:16" x14ac:dyDescent="0.2">
      <c r="O1133" t="s">
        <v>1438</v>
      </c>
      <c r="P1133">
        <v>2022</v>
      </c>
    </row>
    <row r="1134" spans="15:16" x14ac:dyDescent="0.2">
      <c r="O1134" t="s">
        <v>1262</v>
      </c>
      <c r="P1134">
        <v>2022</v>
      </c>
    </row>
    <row r="1135" spans="15:16" x14ac:dyDescent="0.2">
      <c r="O1135" t="s">
        <v>828</v>
      </c>
      <c r="P1135">
        <v>2022</v>
      </c>
    </row>
    <row r="1136" spans="15:16" x14ac:dyDescent="0.2">
      <c r="O1136" t="s">
        <v>1223</v>
      </c>
      <c r="P1136">
        <v>2022</v>
      </c>
    </row>
    <row r="1137" spans="15:16" x14ac:dyDescent="0.2">
      <c r="O1137" t="s">
        <v>130</v>
      </c>
      <c r="P1137">
        <v>2022</v>
      </c>
    </row>
    <row r="1138" spans="15:16" x14ac:dyDescent="0.2">
      <c r="O1138" t="s">
        <v>2385</v>
      </c>
      <c r="P1138">
        <v>2022</v>
      </c>
    </row>
    <row r="1139" spans="15:16" x14ac:dyDescent="0.2">
      <c r="O1139" t="s">
        <v>2387</v>
      </c>
      <c r="P1139">
        <v>2022</v>
      </c>
    </row>
    <row r="1140" spans="15:16" x14ac:dyDescent="0.2">
      <c r="O1140" t="s">
        <v>1868</v>
      </c>
      <c r="P1140">
        <v>2022</v>
      </c>
    </row>
    <row r="1141" spans="15:16" x14ac:dyDescent="0.2">
      <c r="O1141" t="s">
        <v>1824</v>
      </c>
      <c r="P1141">
        <v>2022</v>
      </c>
    </row>
    <row r="1142" spans="15:16" x14ac:dyDescent="0.2">
      <c r="O1142" t="s">
        <v>2390</v>
      </c>
      <c r="P1142">
        <v>2022</v>
      </c>
    </row>
    <row r="1143" spans="15:16" x14ac:dyDescent="0.2">
      <c r="O1143" t="s">
        <v>1754</v>
      </c>
      <c r="P1143">
        <v>2022</v>
      </c>
    </row>
    <row r="1144" spans="15:16" x14ac:dyDescent="0.2">
      <c r="O1144" t="s">
        <v>111</v>
      </c>
      <c r="P1144">
        <v>2022</v>
      </c>
    </row>
    <row r="1145" spans="15:16" x14ac:dyDescent="0.2">
      <c r="O1145" t="s">
        <v>389</v>
      </c>
      <c r="P1145">
        <v>2022</v>
      </c>
    </row>
    <row r="1146" spans="15:16" x14ac:dyDescent="0.2">
      <c r="O1146" t="s">
        <v>1600</v>
      </c>
      <c r="P1146">
        <v>2022</v>
      </c>
    </row>
    <row r="1147" spans="15:16" x14ac:dyDescent="0.2">
      <c r="O1147" t="s">
        <v>2398</v>
      </c>
      <c r="P1147">
        <v>2022</v>
      </c>
    </row>
    <row r="1148" spans="15:16" x14ac:dyDescent="0.2">
      <c r="O1148" t="s">
        <v>1616</v>
      </c>
      <c r="P1148">
        <v>2022</v>
      </c>
    </row>
    <row r="1149" spans="15:16" x14ac:dyDescent="0.2">
      <c r="O1149" t="s">
        <v>184</v>
      </c>
      <c r="P1149">
        <v>2022</v>
      </c>
    </row>
    <row r="1150" spans="15:16" x14ac:dyDescent="0.2">
      <c r="O1150" t="s">
        <v>539</v>
      </c>
      <c r="P1150">
        <v>2022</v>
      </c>
    </row>
    <row r="1151" spans="15:16" x14ac:dyDescent="0.2">
      <c r="O1151" t="s">
        <v>1659</v>
      </c>
      <c r="P1151">
        <v>2022</v>
      </c>
    </row>
    <row r="1152" spans="15:16" x14ac:dyDescent="0.2">
      <c r="O1152" t="s">
        <v>1153</v>
      </c>
      <c r="P1152">
        <v>2022</v>
      </c>
    </row>
    <row r="1153" spans="15:16" x14ac:dyDescent="0.2">
      <c r="O1153" t="s">
        <v>2407</v>
      </c>
      <c r="P1153">
        <v>2022</v>
      </c>
    </row>
    <row r="1154" spans="15:16" x14ac:dyDescent="0.2">
      <c r="O1154" t="s">
        <v>2408</v>
      </c>
      <c r="P1154">
        <v>2022</v>
      </c>
    </row>
    <row r="1155" spans="15:16" x14ac:dyDescent="0.2">
      <c r="O1155" t="s">
        <v>505</v>
      </c>
      <c r="P1155">
        <v>2022</v>
      </c>
    </row>
    <row r="1156" spans="15:16" x14ac:dyDescent="0.2">
      <c r="O1156" t="s">
        <v>2409</v>
      </c>
      <c r="P1156">
        <v>2022</v>
      </c>
    </row>
    <row r="1157" spans="15:16" x14ac:dyDescent="0.2">
      <c r="O1157" t="s">
        <v>1477</v>
      </c>
      <c r="P1157">
        <v>2022</v>
      </c>
    </row>
    <row r="1158" spans="15:16" x14ac:dyDescent="0.2">
      <c r="O1158" t="s">
        <v>985</v>
      </c>
      <c r="P1158">
        <v>2022</v>
      </c>
    </row>
    <row r="1159" spans="15:16" x14ac:dyDescent="0.2">
      <c r="O1159" t="s">
        <v>1633</v>
      </c>
      <c r="P1159">
        <v>2022</v>
      </c>
    </row>
    <row r="1160" spans="15:16" x14ac:dyDescent="0.2">
      <c r="O1160" t="s">
        <v>2413</v>
      </c>
      <c r="P1160">
        <v>2022</v>
      </c>
    </row>
    <row r="1161" spans="15:16" x14ac:dyDescent="0.2">
      <c r="O1161" t="s">
        <v>1256</v>
      </c>
      <c r="P1161">
        <v>2022</v>
      </c>
    </row>
    <row r="1162" spans="15:16" x14ac:dyDescent="0.2">
      <c r="O1162" t="s">
        <v>2414</v>
      </c>
      <c r="P1162">
        <v>2022</v>
      </c>
    </row>
    <row r="1163" spans="15:16" x14ac:dyDescent="0.2">
      <c r="O1163" t="s">
        <v>1140</v>
      </c>
      <c r="P1163">
        <v>2022</v>
      </c>
    </row>
    <row r="1164" spans="15:16" x14ac:dyDescent="0.2">
      <c r="O1164" t="s">
        <v>1433</v>
      </c>
      <c r="P1164">
        <v>2022</v>
      </c>
    </row>
    <row r="1165" spans="15:16" x14ac:dyDescent="0.2">
      <c r="O1165" t="s">
        <v>1573</v>
      </c>
      <c r="P1165">
        <v>2022</v>
      </c>
    </row>
    <row r="1166" spans="15:16" x14ac:dyDescent="0.2">
      <c r="O1166" t="s">
        <v>2418</v>
      </c>
      <c r="P1166">
        <v>2022</v>
      </c>
    </row>
    <row r="1167" spans="15:16" x14ac:dyDescent="0.2">
      <c r="O1167" t="s">
        <v>560</v>
      </c>
      <c r="P1167">
        <v>2022</v>
      </c>
    </row>
    <row r="1168" spans="15:16" x14ac:dyDescent="0.2">
      <c r="O1168" t="s">
        <v>1612</v>
      </c>
      <c r="P1168">
        <v>2022</v>
      </c>
    </row>
    <row r="1169" spans="15:16" x14ac:dyDescent="0.2">
      <c r="O1169" t="s">
        <v>258</v>
      </c>
      <c r="P1169">
        <v>2022</v>
      </c>
    </row>
    <row r="1170" spans="15:16" x14ac:dyDescent="0.2">
      <c r="O1170" t="s">
        <v>2246</v>
      </c>
      <c r="P1170">
        <v>2023</v>
      </c>
    </row>
    <row r="1171" spans="15:16" x14ac:dyDescent="0.2">
      <c r="O1171" t="s">
        <v>1081</v>
      </c>
      <c r="P1171">
        <v>2023</v>
      </c>
    </row>
    <row r="1172" spans="15:16" x14ac:dyDescent="0.2">
      <c r="O1172" t="s">
        <v>969</v>
      </c>
      <c r="P1172">
        <v>2023</v>
      </c>
    </row>
    <row r="1173" spans="15:16" x14ac:dyDescent="0.2">
      <c r="O1173" t="s">
        <v>2425</v>
      </c>
      <c r="P1173">
        <v>2023</v>
      </c>
    </row>
    <row r="1174" spans="15:16" x14ac:dyDescent="0.2">
      <c r="O1174" t="s">
        <v>2426</v>
      </c>
      <c r="P1174">
        <v>2023</v>
      </c>
    </row>
    <row r="1175" spans="15:16" x14ac:dyDescent="0.2">
      <c r="O1175" t="s">
        <v>1976</v>
      </c>
      <c r="P1175">
        <v>2023</v>
      </c>
    </row>
    <row r="1176" spans="15:16" x14ac:dyDescent="0.2">
      <c r="O1176" t="s">
        <v>671</v>
      </c>
      <c r="P1176">
        <v>2023</v>
      </c>
    </row>
    <row r="1177" spans="15:16" x14ac:dyDescent="0.2">
      <c r="O1177" t="s">
        <v>754</v>
      </c>
      <c r="P1177">
        <v>2023</v>
      </c>
    </row>
    <row r="1178" spans="15:16" x14ac:dyDescent="0.2">
      <c r="O1178" t="s">
        <v>2232</v>
      </c>
      <c r="P1178">
        <v>2023</v>
      </c>
    </row>
    <row r="1179" spans="15:16" x14ac:dyDescent="0.2">
      <c r="O1179" t="s">
        <v>31</v>
      </c>
      <c r="P1179">
        <v>2023</v>
      </c>
    </row>
    <row r="1180" spans="15:16" x14ac:dyDescent="0.2">
      <c r="O1180" t="s">
        <v>48</v>
      </c>
      <c r="P1180">
        <v>2023</v>
      </c>
    </row>
    <row r="1181" spans="15:16" x14ac:dyDescent="0.2">
      <c r="O1181" t="s">
        <v>595</v>
      </c>
      <c r="P1181">
        <v>2023</v>
      </c>
    </row>
    <row r="1182" spans="15:16" x14ac:dyDescent="0.2">
      <c r="O1182" t="s">
        <v>1869</v>
      </c>
      <c r="P1182">
        <v>2023</v>
      </c>
    </row>
    <row r="1183" spans="15:16" x14ac:dyDescent="0.2">
      <c r="O1183" t="s">
        <v>454</v>
      </c>
      <c r="P1183">
        <v>2023</v>
      </c>
    </row>
    <row r="1184" spans="15:16" x14ac:dyDescent="0.2">
      <c r="O1184" t="s">
        <v>2431</v>
      </c>
      <c r="P1184">
        <v>2023</v>
      </c>
    </row>
    <row r="1185" spans="15:16" x14ac:dyDescent="0.2">
      <c r="O1185" t="s">
        <v>1145</v>
      </c>
      <c r="P1185">
        <v>2023</v>
      </c>
    </row>
    <row r="1186" spans="15:16" x14ac:dyDescent="0.2">
      <c r="O1186" t="s">
        <v>415</v>
      </c>
      <c r="P1186">
        <v>2023</v>
      </c>
    </row>
    <row r="1187" spans="15:16" x14ac:dyDescent="0.2">
      <c r="O1187" t="s">
        <v>2067</v>
      </c>
      <c r="P1187">
        <v>2023</v>
      </c>
    </row>
    <row r="1188" spans="15:16" x14ac:dyDescent="0.2">
      <c r="O1188" t="s">
        <v>726</v>
      </c>
      <c r="P1188">
        <v>2023</v>
      </c>
    </row>
    <row r="1189" spans="15:16" x14ac:dyDescent="0.2">
      <c r="O1189" t="s">
        <v>1749</v>
      </c>
      <c r="P1189">
        <v>2023</v>
      </c>
    </row>
    <row r="1190" spans="15:16" x14ac:dyDescent="0.2">
      <c r="O1190" t="s">
        <v>1565</v>
      </c>
      <c r="P1190">
        <v>2023</v>
      </c>
    </row>
    <row r="1191" spans="15:16" x14ac:dyDescent="0.2">
      <c r="O1191" t="s">
        <v>2434</v>
      </c>
      <c r="P1191">
        <v>2023</v>
      </c>
    </row>
    <row r="1192" spans="15:16" x14ac:dyDescent="0.2">
      <c r="O1192" t="s">
        <v>902</v>
      </c>
      <c r="P1192">
        <v>2023</v>
      </c>
    </row>
    <row r="1193" spans="15:16" x14ac:dyDescent="0.2">
      <c r="O1193" t="s">
        <v>2227</v>
      </c>
      <c r="P1193">
        <v>2023</v>
      </c>
    </row>
    <row r="1194" spans="15:16" x14ac:dyDescent="0.2">
      <c r="O1194" t="s">
        <v>2414</v>
      </c>
      <c r="P1194">
        <v>2023</v>
      </c>
    </row>
    <row r="1195" spans="15:16" x14ac:dyDescent="0.2">
      <c r="O1195" t="s">
        <v>685</v>
      </c>
      <c r="P1195">
        <v>2023</v>
      </c>
    </row>
    <row r="1196" spans="15:16" x14ac:dyDescent="0.2">
      <c r="O1196" t="s">
        <v>653</v>
      </c>
      <c r="P1196">
        <v>2023</v>
      </c>
    </row>
    <row r="1197" spans="15:16" x14ac:dyDescent="0.2">
      <c r="O1197" t="s">
        <v>2264</v>
      </c>
      <c r="P1197">
        <v>2023</v>
      </c>
    </row>
    <row r="1198" spans="15:16" x14ac:dyDescent="0.2">
      <c r="O1198" t="s">
        <v>1253</v>
      </c>
      <c r="P1198">
        <v>2023</v>
      </c>
    </row>
    <row r="1199" spans="15:16" x14ac:dyDescent="0.2">
      <c r="O1199" t="s">
        <v>1760</v>
      </c>
      <c r="P1199">
        <v>2023</v>
      </c>
    </row>
    <row r="1200" spans="15:16" x14ac:dyDescent="0.2">
      <c r="O1200" t="s">
        <v>697</v>
      </c>
      <c r="P1200">
        <v>2023</v>
      </c>
    </row>
    <row r="1201" spans="15:16" x14ac:dyDescent="0.2">
      <c r="O1201" t="s">
        <v>855</v>
      </c>
      <c r="P1201">
        <v>2023</v>
      </c>
    </row>
    <row r="1202" spans="15:16" x14ac:dyDescent="0.2">
      <c r="O1202" t="s">
        <v>2320</v>
      </c>
      <c r="P1202">
        <v>2023</v>
      </c>
    </row>
    <row r="1203" spans="15:16" x14ac:dyDescent="0.2">
      <c r="O1203" t="s">
        <v>1885</v>
      </c>
      <c r="P1203">
        <v>2023</v>
      </c>
    </row>
    <row r="1204" spans="15:16" x14ac:dyDescent="0.2">
      <c r="O1204" t="s">
        <v>1345</v>
      </c>
      <c r="P1204">
        <v>2023</v>
      </c>
    </row>
    <row r="1205" spans="15:16" x14ac:dyDescent="0.2">
      <c r="O1205" t="s">
        <v>2437</v>
      </c>
      <c r="P1205">
        <v>2023</v>
      </c>
    </row>
    <row r="1206" spans="15:16" x14ac:dyDescent="0.2">
      <c r="O1206" t="s">
        <v>389</v>
      </c>
      <c r="P1206">
        <v>2023</v>
      </c>
    </row>
    <row r="1207" spans="15:16" x14ac:dyDescent="0.2">
      <c r="O1207" t="s">
        <v>1489</v>
      </c>
      <c r="P1207">
        <v>2023</v>
      </c>
    </row>
    <row r="1208" spans="15:16" x14ac:dyDescent="0.2">
      <c r="O1208" t="s">
        <v>770</v>
      </c>
      <c r="P1208">
        <v>2023</v>
      </c>
    </row>
    <row r="1209" spans="15:16" x14ac:dyDescent="0.2">
      <c r="O1209" t="s">
        <v>1764</v>
      </c>
      <c r="P1209">
        <v>2023</v>
      </c>
    </row>
    <row r="1210" spans="15:16" x14ac:dyDescent="0.2">
      <c r="O1210" t="s">
        <v>2441</v>
      </c>
      <c r="P1210">
        <v>2023</v>
      </c>
    </row>
    <row r="1211" spans="15:16" x14ac:dyDescent="0.2">
      <c r="O1211" t="s">
        <v>1433</v>
      </c>
      <c r="P1211">
        <v>2023</v>
      </c>
    </row>
    <row r="1212" spans="15:16" x14ac:dyDescent="0.2">
      <c r="O1212" t="s">
        <v>345</v>
      </c>
      <c r="P1212">
        <v>2023</v>
      </c>
    </row>
    <row r="1213" spans="15:16" x14ac:dyDescent="0.2">
      <c r="O1213" t="s">
        <v>261</v>
      </c>
      <c r="P1213">
        <v>2023</v>
      </c>
    </row>
    <row r="1214" spans="15:16" x14ac:dyDescent="0.2">
      <c r="O1214" t="s">
        <v>1673</v>
      </c>
      <c r="P1214">
        <v>2023</v>
      </c>
    </row>
    <row r="1215" spans="15:16" x14ac:dyDescent="0.2">
      <c r="O1215" t="s">
        <v>532</v>
      </c>
      <c r="P1215">
        <v>2023</v>
      </c>
    </row>
    <row r="1216" spans="15:16" x14ac:dyDescent="0.2">
      <c r="O1216" t="s">
        <v>178</v>
      </c>
      <c r="P1216">
        <v>2023</v>
      </c>
    </row>
    <row r="1217" spans="15:16" x14ac:dyDescent="0.2">
      <c r="O1217" t="s">
        <v>1403</v>
      </c>
      <c r="P1217">
        <v>2023</v>
      </c>
    </row>
    <row r="1218" spans="15:16" x14ac:dyDescent="0.2">
      <c r="O1218" t="s">
        <v>1819</v>
      </c>
      <c r="P1218">
        <v>2023</v>
      </c>
    </row>
    <row r="1219" spans="15:16" x14ac:dyDescent="0.2">
      <c r="O1219" t="s">
        <v>511</v>
      </c>
      <c r="P1219">
        <v>2023</v>
      </c>
    </row>
    <row r="1220" spans="15:16" x14ac:dyDescent="0.2">
      <c r="O1220" t="s">
        <v>875</v>
      </c>
      <c r="P1220">
        <v>2023</v>
      </c>
    </row>
    <row r="1221" spans="15:16" x14ac:dyDescent="0.2">
      <c r="O1221" t="s">
        <v>156</v>
      </c>
      <c r="P1221">
        <v>2023</v>
      </c>
    </row>
    <row r="1222" spans="15:16" x14ac:dyDescent="0.2">
      <c r="O1222" t="s">
        <v>1479</v>
      </c>
      <c r="P1222">
        <v>2023</v>
      </c>
    </row>
    <row r="1223" spans="15:16" x14ac:dyDescent="0.2">
      <c r="O1223" t="s">
        <v>1260</v>
      </c>
      <c r="P1223">
        <v>2023</v>
      </c>
    </row>
    <row r="1224" spans="15:16" x14ac:dyDescent="0.2">
      <c r="O1224" t="s">
        <v>1297</v>
      </c>
      <c r="P1224">
        <v>2023</v>
      </c>
    </row>
    <row r="1225" spans="15:16" x14ac:dyDescent="0.2">
      <c r="O1225" t="s">
        <v>1183</v>
      </c>
      <c r="P1225">
        <v>2023</v>
      </c>
    </row>
    <row r="1226" spans="15:16" x14ac:dyDescent="0.2">
      <c r="O1226" t="s">
        <v>327</v>
      </c>
      <c r="P1226">
        <v>2023</v>
      </c>
    </row>
    <row r="1227" spans="15:16" x14ac:dyDescent="0.2">
      <c r="O1227" t="s">
        <v>429</v>
      </c>
      <c r="P1227">
        <v>2023</v>
      </c>
    </row>
    <row r="1228" spans="15:16" x14ac:dyDescent="0.2">
      <c r="O1228" t="s">
        <v>385</v>
      </c>
      <c r="P1228">
        <v>2023</v>
      </c>
    </row>
    <row r="1229" spans="15:16" x14ac:dyDescent="0.2">
      <c r="O1229" t="s">
        <v>2446</v>
      </c>
      <c r="P1229">
        <v>2023</v>
      </c>
    </row>
    <row r="1230" spans="15:16" x14ac:dyDescent="0.2">
      <c r="O1230" t="s">
        <v>2133</v>
      </c>
      <c r="P1230">
        <v>2023</v>
      </c>
    </row>
    <row r="1231" spans="15:16" x14ac:dyDescent="0.2">
      <c r="O1231" t="s">
        <v>172</v>
      </c>
      <c r="P1231">
        <v>2023</v>
      </c>
    </row>
    <row r="1232" spans="15:16" x14ac:dyDescent="0.2">
      <c r="O1232" t="s">
        <v>2254</v>
      </c>
      <c r="P1232">
        <v>2023</v>
      </c>
    </row>
    <row r="1233" spans="15:16" x14ac:dyDescent="0.2">
      <c r="O1233" t="s">
        <v>1684</v>
      </c>
      <c r="P1233">
        <v>2023</v>
      </c>
    </row>
    <row r="1234" spans="15:16" x14ac:dyDescent="0.2">
      <c r="O1234" t="s">
        <v>505</v>
      </c>
      <c r="P1234">
        <v>2023</v>
      </c>
    </row>
    <row r="1235" spans="15:16" x14ac:dyDescent="0.2">
      <c r="O1235" t="s">
        <v>1515</v>
      </c>
      <c r="P1235">
        <v>2023</v>
      </c>
    </row>
    <row r="1236" spans="15:16" x14ac:dyDescent="0.2">
      <c r="O1236" t="s">
        <v>1935</v>
      </c>
      <c r="P1236">
        <v>2023</v>
      </c>
    </row>
    <row r="1237" spans="15:16" x14ac:dyDescent="0.2">
      <c r="O1237" t="s">
        <v>2158</v>
      </c>
      <c r="P1237">
        <v>2023</v>
      </c>
    </row>
    <row r="1238" spans="15:16" x14ac:dyDescent="0.2">
      <c r="O1238" t="s">
        <v>637</v>
      </c>
      <c r="P1238">
        <v>2023</v>
      </c>
    </row>
    <row r="1239" spans="15:16" x14ac:dyDescent="0.2">
      <c r="O1239" t="s">
        <v>1289</v>
      </c>
      <c r="P1239">
        <v>2023</v>
      </c>
    </row>
    <row r="1240" spans="15:16" x14ac:dyDescent="0.2">
      <c r="O1240" t="s">
        <v>1996</v>
      </c>
      <c r="P1240">
        <v>2023</v>
      </c>
    </row>
    <row r="1241" spans="15:16" x14ac:dyDescent="0.2">
      <c r="O1241" t="s">
        <v>239</v>
      </c>
      <c r="P1241">
        <v>2023</v>
      </c>
    </row>
    <row r="1242" spans="15:16" x14ac:dyDescent="0.2">
      <c r="O1242" t="s">
        <v>1450</v>
      </c>
      <c r="P1242">
        <v>2023</v>
      </c>
    </row>
    <row r="1243" spans="15:16" x14ac:dyDescent="0.2">
      <c r="O1243" t="s">
        <v>711</v>
      </c>
      <c r="P1243">
        <v>2023</v>
      </c>
    </row>
    <row r="1244" spans="15:16" x14ac:dyDescent="0.2">
      <c r="O1244" t="s">
        <v>1725</v>
      </c>
      <c r="P1244">
        <v>2023</v>
      </c>
    </row>
    <row r="1245" spans="15:16" x14ac:dyDescent="0.2">
      <c r="O1245" t="s">
        <v>1722</v>
      </c>
      <c r="P1245">
        <v>2023</v>
      </c>
    </row>
    <row r="1246" spans="15:16" x14ac:dyDescent="0.2">
      <c r="O1246" t="s">
        <v>1979</v>
      </c>
      <c r="P1246">
        <v>2023</v>
      </c>
    </row>
    <row r="1247" spans="15:16" x14ac:dyDescent="0.2">
      <c r="O1247" t="s">
        <v>1924</v>
      </c>
      <c r="P1247">
        <v>2023</v>
      </c>
    </row>
    <row r="1248" spans="15:16" x14ac:dyDescent="0.2">
      <c r="O1248" t="s">
        <v>949</v>
      </c>
      <c r="P1248">
        <v>2023</v>
      </c>
    </row>
    <row r="1249" spans="15:16" x14ac:dyDescent="0.2">
      <c r="O1249" t="s">
        <v>1597</v>
      </c>
      <c r="P1249">
        <v>2023</v>
      </c>
    </row>
    <row r="1250" spans="15:16" x14ac:dyDescent="0.2">
      <c r="O1250" t="s">
        <v>942</v>
      </c>
      <c r="P1250">
        <v>2023</v>
      </c>
    </row>
    <row r="1251" spans="15:16" x14ac:dyDescent="0.2">
      <c r="O1251" t="s">
        <v>2140</v>
      </c>
      <c r="P1251">
        <v>2023</v>
      </c>
    </row>
    <row r="1252" spans="15:16" x14ac:dyDescent="0.2">
      <c r="O1252" t="s">
        <v>886</v>
      </c>
      <c r="P1252">
        <v>2023</v>
      </c>
    </row>
    <row r="1253" spans="15:16" x14ac:dyDescent="0.2">
      <c r="O1253" t="s">
        <v>163</v>
      </c>
      <c r="P1253">
        <v>2023</v>
      </c>
    </row>
    <row r="1254" spans="15:16" x14ac:dyDescent="0.2">
      <c r="O1254" t="s">
        <v>2449</v>
      </c>
      <c r="P1254">
        <v>2023</v>
      </c>
    </row>
    <row r="1255" spans="15:16" x14ac:dyDescent="0.2">
      <c r="O1255" t="s">
        <v>1262</v>
      </c>
      <c r="P1255">
        <v>2023</v>
      </c>
    </row>
    <row r="1256" spans="15:16" x14ac:dyDescent="0.2">
      <c r="O1256" t="s">
        <v>1600</v>
      </c>
      <c r="P1256">
        <v>2023</v>
      </c>
    </row>
    <row r="1257" spans="15:16" x14ac:dyDescent="0.2">
      <c r="O1257" t="s">
        <v>1291</v>
      </c>
      <c r="P1257">
        <v>2023</v>
      </c>
    </row>
    <row r="1258" spans="15:16" x14ac:dyDescent="0.2">
      <c r="O1258" t="s">
        <v>798</v>
      </c>
      <c r="P1258">
        <v>2023</v>
      </c>
    </row>
    <row r="1259" spans="15:16" x14ac:dyDescent="0.2">
      <c r="O1259" t="s">
        <v>2452</v>
      </c>
      <c r="P1259">
        <v>2023</v>
      </c>
    </row>
    <row r="1260" spans="15:16" x14ac:dyDescent="0.2">
      <c r="O1260" t="s">
        <v>1833</v>
      </c>
      <c r="P1260">
        <v>2023</v>
      </c>
    </row>
    <row r="1261" spans="15:16" x14ac:dyDescent="0.2">
      <c r="O1261" t="s">
        <v>1273</v>
      </c>
      <c r="P1261">
        <v>2023</v>
      </c>
    </row>
    <row r="1262" spans="15:16" x14ac:dyDescent="0.2">
      <c r="O1262" t="s">
        <v>562</v>
      </c>
      <c r="P1262">
        <v>2023</v>
      </c>
    </row>
    <row r="1263" spans="15:16" x14ac:dyDescent="0.2">
      <c r="O1263" t="s">
        <v>421</v>
      </c>
      <c r="P1263">
        <v>2023</v>
      </c>
    </row>
    <row r="1264" spans="15:16" x14ac:dyDescent="0.2">
      <c r="O1264" t="s">
        <v>1865</v>
      </c>
      <c r="P1264">
        <v>2023</v>
      </c>
    </row>
    <row r="1265" spans="15:16" x14ac:dyDescent="0.2">
      <c r="O1265" t="s">
        <v>686</v>
      </c>
      <c r="P1265">
        <v>2023</v>
      </c>
    </row>
    <row r="1266" spans="15:16" x14ac:dyDescent="0.2">
      <c r="O1266" t="s">
        <v>796</v>
      </c>
      <c r="P1266">
        <v>2023</v>
      </c>
    </row>
    <row r="1267" spans="15:16" x14ac:dyDescent="0.2">
      <c r="O1267" t="s">
        <v>2106</v>
      </c>
      <c r="P1267">
        <v>2023</v>
      </c>
    </row>
    <row r="1268" spans="15:16" x14ac:dyDescent="0.2">
      <c r="O1268" t="s">
        <v>885</v>
      </c>
      <c r="P1268">
        <v>2023</v>
      </c>
    </row>
    <row r="1269" spans="15:16" x14ac:dyDescent="0.2">
      <c r="O1269" t="s">
        <v>2059</v>
      </c>
      <c r="P1269">
        <v>2023</v>
      </c>
    </row>
    <row r="1270" spans="15:16" x14ac:dyDescent="0.2">
      <c r="O1270" t="s">
        <v>2062</v>
      </c>
      <c r="P1270">
        <v>2023</v>
      </c>
    </row>
    <row r="1271" spans="15:16" x14ac:dyDescent="0.2">
      <c r="O1271" t="s">
        <v>924</v>
      </c>
      <c r="P1271">
        <v>2023</v>
      </c>
    </row>
    <row r="1272" spans="15:16" x14ac:dyDescent="0.2">
      <c r="O1272" t="s">
        <v>1461</v>
      </c>
      <c r="P1272">
        <v>2023</v>
      </c>
    </row>
    <row r="1273" spans="15:16" x14ac:dyDescent="0.2">
      <c r="O1273" t="s">
        <v>897</v>
      </c>
      <c r="P1273">
        <v>2023</v>
      </c>
    </row>
    <row r="1274" spans="15:16" x14ac:dyDescent="0.2">
      <c r="O1274" t="s">
        <v>2113</v>
      </c>
      <c r="P1274">
        <v>2023</v>
      </c>
    </row>
    <row r="1275" spans="15:16" x14ac:dyDescent="0.2">
      <c r="O1275" t="s">
        <v>2261</v>
      </c>
      <c r="P1275">
        <v>2023</v>
      </c>
    </row>
    <row r="1276" spans="15:16" x14ac:dyDescent="0.2">
      <c r="O1276" t="s">
        <v>538</v>
      </c>
      <c r="P1276">
        <v>2023</v>
      </c>
    </row>
    <row r="1277" spans="15:16" x14ac:dyDescent="0.2">
      <c r="O1277" t="s">
        <v>303</v>
      </c>
      <c r="P1277">
        <v>2023</v>
      </c>
    </row>
    <row r="1278" spans="15:16" x14ac:dyDescent="0.2">
      <c r="O1278" t="s">
        <v>822</v>
      </c>
      <c r="P1278">
        <v>2023</v>
      </c>
    </row>
    <row r="1279" spans="15:16" x14ac:dyDescent="0.2">
      <c r="O1279" t="s">
        <v>2457</v>
      </c>
      <c r="P1279">
        <v>2023</v>
      </c>
    </row>
    <row r="1280" spans="15:16" x14ac:dyDescent="0.2">
      <c r="O1280" t="s">
        <v>2458</v>
      </c>
      <c r="P1280">
        <v>2023</v>
      </c>
    </row>
    <row r="1281" spans="15:16" x14ac:dyDescent="0.2">
      <c r="O1281" t="s">
        <v>1387</v>
      </c>
      <c r="P1281">
        <v>2023</v>
      </c>
    </row>
    <row r="1282" spans="15:16" x14ac:dyDescent="0.2">
      <c r="O1282" t="s">
        <v>1631</v>
      </c>
      <c r="P1282">
        <v>2023</v>
      </c>
    </row>
    <row r="1283" spans="15:16" x14ac:dyDescent="0.2">
      <c r="O1283" t="s">
        <v>729</v>
      </c>
      <c r="P1283">
        <v>2023</v>
      </c>
    </row>
    <row r="1284" spans="15:16" x14ac:dyDescent="0.2">
      <c r="O1284" t="s">
        <v>24</v>
      </c>
      <c r="P1284">
        <v>2023</v>
      </c>
    </row>
    <row r="1285" spans="15:16" x14ac:dyDescent="0.2">
      <c r="O1285" t="s">
        <v>1371</v>
      </c>
      <c r="P1285">
        <v>2023</v>
      </c>
    </row>
    <row r="1286" spans="15:16" x14ac:dyDescent="0.2">
      <c r="O1286" t="s">
        <v>2418</v>
      </c>
      <c r="P1286">
        <v>2023</v>
      </c>
    </row>
    <row r="1287" spans="15:16" x14ac:dyDescent="0.2">
      <c r="O1287" t="s">
        <v>1332</v>
      </c>
      <c r="P1287">
        <v>2023</v>
      </c>
    </row>
    <row r="1288" spans="15:16" x14ac:dyDescent="0.2">
      <c r="O1288" t="s">
        <v>1842</v>
      </c>
      <c r="P1288">
        <v>2023</v>
      </c>
    </row>
    <row r="1289" spans="15:16" x14ac:dyDescent="0.2">
      <c r="O1289" t="s">
        <v>293</v>
      </c>
      <c r="P1289">
        <v>2023</v>
      </c>
    </row>
    <row r="1290" spans="15:16" x14ac:dyDescent="0.2">
      <c r="O1290" t="s">
        <v>979</v>
      </c>
      <c r="P1290">
        <v>2023</v>
      </c>
    </row>
    <row r="1291" spans="15:16" x14ac:dyDescent="0.2">
      <c r="O1291" t="s">
        <v>1828</v>
      </c>
      <c r="P1291">
        <v>2023</v>
      </c>
    </row>
    <row r="1292" spans="15:16" x14ac:dyDescent="0.2">
      <c r="O1292" t="s">
        <v>762</v>
      </c>
      <c r="P1292">
        <v>2023</v>
      </c>
    </row>
    <row r="1293" spans="15:16" x14ac:dyDescent="0.2">
      <c r="O1293" t="s">
        <v>2255</v>
      </c>
      <c r="P1293">
        <v>2023</v>
      </c>
    </row>
    <row r="1294" spans="15:16" x14ac:dyDescent="0.2">
      <c r="O1294" t="s">
        <v>527</v>
      </c>
      <c r="P1294">
        <v>2023</v>
      </c>
    </row>
    <row r="1295" spans="15:16" x14ac:dyDescent="0.2">
      <c r="O1295" t="s">
        <v>2126</v>
      </c>
      <c r="P1295">
        <v>2023</v>
      </c>
    </row>
    <row r="1296" spans="15:16" x14ac:dyDescent="0.2">
      <c r="O1296" t="s">
        <v>1665</v>
      </c>
      <c r="P1296">
        <v>2023</v>
      </c>
    </row>
    <row r="1297" spans="15:16" x14ac:dyDescent="0.2">
      <c r="O1297" t="s">
        <v>2465</v>
      </c>
      <c r="P1297">
        <v>2023</v>
      </c>
    </row>
    <row r="1298" spans="15:16" x14ac:dyDescent="0.2">
      <c r="O1298" t="s">
        <v>121</v>
      </c>
      <c r="P1298">
        <v>2023</v>
      </c>
    </row>
    <row r="1299" spans="15:16" x14ac:dyDescent="0.2">
      <c r="O1299" t="s">
        <v>1465</v>
      </c>
      <c r="P1299">
        <v>2023</v>
      </c>
    </row>
    <row r="1300" spans="15:16" x14ac:dyDescent="0.2">
      <c r="O1300" t="s">
        <v>1543</v>
      </c>
      <c r="P1300">
        <v>2023</v>
      </c>
    </row>
    <row r="1301" spans="15:16" x14ac:dyDescent="0.2">
      <c r="O1301" t="s">
        <v>1448</v>
      </c>
      <c r="P1301">
        <v>2023</v>
      </c>
    </row>
    <row r="1302" spans="15:16" x14ac:dyDescent="0.2">
      <c r="O1302" t="s">
        <v>580</v>
      </c>
      <c r="P1302">
        <v>2023</v>
      </c>
    </row>
    <row r="1303" spans="15:16" x14ac:dyDescent="0.2">
      <c r="O1303" t="s">
        <v>1124</v>
      </c>
      <c r="P1303">
        <v>2023</v>
      </c>
    </row>
    <row r="1304" spans="15:16" x14ac:dyDescent="0.2">
      <c r="O1304" t="s">
        <v>374</v>
      </c>
      <c r="P1304">
        <v>2023</v>
      </c>
    </row>
    <row r="1305" spans="15:16" x14ac:dyDescent="0.2">
      <c r="O1305" t="s">
        <v>1076</v>
      </c>
      <c r="P1305">
        <v>2023</v>
      </c>
    </row>
    <row r="1306" spans="15:16" x14ac:dyDescent="0.2">
      <c r="O1306" t="s">
        <v>1476</v>
      </c>
      <c r="P1306">
        <v>2023</v>
      </c>
    </row>
    <row r="1307" spans="15:16" x14ac:dyDescent="0.2">
      <c r="O1307" t="s">
        <v>2073</v>
      </c>
      <c r="P1307">
        <v>2023</v>
      </c>
    </row>
    <row r="1308" spans="15:16" x14ac:dyDescent="0.2">
      <c r="O1308" t="s">
        <v>229</v>
      </c>
      <c r="P1308">
        <v>2023</v>
      </c>
    </row>
    <row r="1309" spans="15:16" x14ac:dyDescent="0.2">
      <c r="O1309" t="s">
        <v>776</v>
      </c>
      <c r="P1309">
        <v>2023</v>
      </c>
    </row>
    <row r="1310" spans="15:16" x14ac:dyDescent="0.2">
      <c r="O1310" t="s">
        <v>2468</v>
      </c>
      <c r="P1310">
        <v>2023</v>
      </c>
    </row>
    <row r="1311" spans="15:16" x14ac:dyDescent="0.2">
      <c r="O1311" t="s">
        <v>1188</v>
      </c>
      <c r="P1311">
        <v>2023</v>
      </c>
    </row>
    <row r="1312" spans="15:16" x14ac:dyDescent="0.2">
      <c r="O1312" t="s">
        <v>1627</v>
      </c>
      <c r="P1312">
        <v>2023</v>
      </c>
    </row>
    <row r="1313" spans="15:16" x14ac:dyDescent="0.2">
      <c r="O1313" t="s">
        <v>2013</v>
      </c>
      <c r="P1313">
        <v>2023</v>
      </c>
    </row>
    <row r="1314" spans="15:16" x14ac:dyDescent="0.2">
      <c r="O1314" t="s">
        <v>560</v>
      </c>
      <c r="P1314">
        <v>2023</v>
      </c>
    </row>
    <row r="1315" spans="15:16" x14ac:dyDescent="0.2">
      <c r="O1315" t="s">
        <v>1256</v>
      </c>
      <c r="P1315">
        <v>2023</v>
      </c>
    </row>
    <row r="1316" spans="15:16" x14ac:dyDescent="0.2">
      <c r="O1316" t="s">
        <v>1416</v>
      </c>
      <c r="P1316">
        <v>2023</v>
      </c>
    </row>
    <row r="1317" spans="15:16" x14ac:dyDescent="0.2">
      <c r="O1317" t="s">
        <v>1153</v>
      </c>
      <c r="P1317">
        <v>2023</v>
      </c>
    </row>
    <row r="1318" spans="15:16" x14ac:dyDescent="0.2">
      <c r="O1318" t="s">
        <v>2267</v>
      </c>
      <c r="P1318">
        <v>2023</v>
      </c>
    </row>
    <row r="1319" spans="15:16" x14ac:dyDescent="0.2">
      <c r="O1319" t="s">
        <v>1361</v>
      </c>
      <c r="P1319">
        <v>2023</v>
      </c>
    </row>
    <row r="1320" spans="15:16" x14ac:dyDescent="0.2">
      <c r="O1320" t="s">
        <v>909</v>
      </c>
      <c r="P1320">
        <v>2023</v>
      </c>
    </row>
    <row r="1321" spans="15:16" x14ac:dyDescent="0.2">
      <c r="O1321" t="s">
        <v>391</v>
      </c>
      <c r="P1321">
        <v>2023</v>
      </c>
    </row>
    <row r="1322" spans="15:16" x14ac:dyDescent="0.2">
      <c r="O1322" t="s">
        <v>1970</v>
      </c>
      <c r="P1322">
        <v>2023</v>
      </c>
    </row>
    <row r="1323" spans="15:16" x14ac:dyDescent="0.2">
      <c r="O1323" t="s">
        <v>109</v>
      </c>
      <c r="P1323">
        <v>2023</v>
      </c>
    </row>
    <row r="1324" spans="15:16" x14ac:dyDescent="0.2">
      <c r="O1324" t="s">
        <v>591</v>
      </c>
      <c r="P1324">
        <v>2023</v>
      </c>
    </row>
    <row r="1325" spans="15:16" x14ac:dyDescent="0.2">
      <c r="O1325" t="s">
        <v>1035</v>
      </c>
      <c r="P1325">
        <v>2023</v>
      </c>
    </row>
    <row r="1326" spans="15:16" x14ac:dyDescent="0.2">
      <c r="O1326" t="s">
        <v>34</v>
      </c>
      <c r="P1326">
        <v>2023</v>
      </c>
    </row>
    <row r="1327" spans="15:16" x14ac:dyDescent="0.2">
      <c r="O1327" t="s">
        <v>2474</v>
      </c>
      <c r="P1327">
        <v>2023</v>
      </c>
    </row>
    <row r="1328" spans="15:16" x14ac:dyDescent="0.2">
      <c r="O1328" t="s">
        <v>210</v>
      </c>
      <c r="P1328">
        <v>2023</v>
      </c>
    </row>
    <row r="1329" spans="15:16" x14ac:dyDescent="0.2">
      <c r="O1329" t="s">
        <v>1746</v>
      </c>
      <c r="P1329">
        <v>2023</v>
      </c>
    </row>
    <row r="1330" spans="15:16" x14ac:dyDescent="0.2">
      <c r="O1330" t="s">
        <v>793</v>
      </c>
      <c r="P1330">
        <v>2023</v>
      </c>
    </row>
    <row r="1331" spans="15:16" x14ac:dyDescent="0.2">
      <c r="O1331" t="s">
        <v>85</v>
      </c>
      <c r="P1331">
        <v>2023</v>
      </c>
    </row>
    <row r="1332" spans="15:16" x14ac:dyDescent="0.2">
      <c r="O1332" t="s">
        <v>2476</v>
      </c>
      <c r="P1332">
        <v>2023</v>
      </c>
    </row>
    <row r="1333" spans="15:16" x14ac:dyDescent="0.2">
      <c r="O1333" t="s">
        <v>1037</v>
      </c>
      <c r="P1333">
        <v>2023</v>
      </c>
    </row>
    <row r="1334" spans="15:16" x14ac:dyDescent="0.2">
      <c r="O1334" t="s">
        <v>1762</v>
      </c>
      <c r="P1334">
        <v>2023</v>
      </c>
    </row>
    <row r="1335" spans="15:16" x14ac:dyDescent="0.2">
      <c r="O1335" t="s">
        <v>1509</v>
      </c>
      <c r="P1335">
        <v>2023</v>
      </c>
    </row>
    <row r="1336" spans="15:16" x14ac:dyDescent="0.2">
      <c r="O1336" t="s">
        <v>1768</v>
      </c>
      <c r="P1336">
        <v>2023</v>
      </c>
    </row>
    <row r="1337" spans="15:16" x14ac:dyDescent="0.2">
      <c r="O1337" t="s">
        <v>1185</v>
      </c>
      <c r="P1337">
        <v>2023</v>
      </c>
    </row>
    <row r="1338" spans="15:16" x14ac:dyDescent="0.2">
      <c r="O1338" t="s">
        <v>217</v>
      </c>
      <c r="P1338">
        <v>2023</v>
      </c>
    </row>
    <row r="1339" spans="15:16" x14ac:dyDescent="0.2">
      <c r="O1339" t="s">
        <v>704</v>
      </c>
      <c r="P1339">
        <v>2023</v>
      </c>
    </row>
    <row r="1340" spans="15:16" x14ac:dyDescent="0.2">
      <c r="O1340" t="s">
        <v>919</v>
      </c>
      <c r="P1340">
        <v>2023</v>
      </c>
    </row>
    <row r="1341" spans="15:16" x14ac:dyDescent="0.2">
      <c r="O1341" t="s">
        <v>514</v>
      </c>
      <c r="P1341">
        <v>2023</v>
      </c>
    </row>
    <row r="1342" spans="15:16" x14ac:dyDescent="0.2">
      <c r="O1342" t="s">
        <v>2081</v>
      </c>
      <c r="P1342">
        <v>2023</v>
      </c>
    </row>
    <row r="1343" spans="15:16" x14ac:dyDescent="0.2">
      <c r="O1343" t="s">
        <v>494</v>
      </c>
      <c r="P1343">
        <v>2023</v>
      </c>
    </row>
    <row r="1344" spans="15:16" x14ac:dyDescent="0.2">
      <c r="O1344" t="s">
        <v>1640</v>
      </c>
      <c r="P1344">
        <v>2023</v>
      </c>
    </row>
    <row r="1345" spans="15:16" x14ac:dyDescent="0.2">
      <c r="O1345" t="s">
        <v>409</v>
      </c>
      <c r="P1345">
        <v>2023</v>
      </c>
    </row>
    <row r="1346" spans="15:16" x14ac:dyDescent="0.2">
      <c r="O1346" t="s">
        <v>1830</v>
      </c>
      <c r="P1346">
        <v>2023</v>
      </c>
    </row>
    <row r="1347" spans="15:16" x14ac:dyDescent="0.2">
      <c r="O1347" t="s">
        <v>1419</v>
      </c>
      <c r="P1347">
        <v>2023</v>
      </c>
    </row>
    <row r="1348" spans="15:16" x14ac:dyDescent="0.2">
      <c r="O1348" t="s">
        <v>309</v>
      </c>
      <c r="P1348">
        <v>2023</v>
      </c>
    </row>
    <row r="1349" spans="15:16" x14ac:dyDescent="0.2">
      <c r="O1349" t="s">
        <v>1619</v>
      </c>
      <c r="P1349">
        <v>2023</v>
      </c>
    </row>
    <row r="1350" spans="15:16" x14ac:dyDescent="0.2">
      <c r="O1350" t="s">
        <v>1265</v>
      </c>
      <c r="P1350">
        <v>2023</v>
      </c>
    </row>
    <row r="1351" spans="15:16" x14ac:dyDescent="0.2">
      <c r="O1351" t="s">
        <v>1496</v>
      </c>
      <c r="P1351">
        <v>2023</v>
      </c>
    </row>
    <row r="1352" spans="15:16" x14ac:dyDescent="0.2">
      <c r="O1352" t="s">
        <v>657</v>
      </c>
      <c r="P1352">
        <v>2023</v>
      </c>
    </row>
    <row r="1353" spans="15:16" x14ac:dyDescent="0.2">
      <c r="O1353" t="s">
        <v>295</v>
      </c>
      <c r="P1353">
        <v>2023</v>
      </c>
    </row>
    <row r="1354" spans="15:16" x14ac:dyDescent="0.2">
      <c r="O1354" t="s">
        <v>1948</v>
      </c>
      <c r="P1354">
        <v>2023</v>
      </c>
    </row>
    <row r="1355" spans="15:16" x14ac:dyDescent="0.2">
      <c r="O1355" t="s">
        <v>2484</v>
      </c>
      <c r="P1355">
        <v>2023</v>
      </c>
    </row>
    <row r="1356" spans="15:16" x14ac:dyDescent="0.2">
      <c r="O1356" t="s">
        <v>724</v>
      </c>
      <c r="P1356">
        <v>2023</v>
      </c>
    </row>
    <row r="1357" spans="15:16" x14ac:dyDescent="0.2">
      <c r="O1357" t="s">
        <v>287</v>
      </c>
      <c r="P1357">
        <v>2023</v>
      </c>
    </row>
    <row r="1358" spans="15:16" x14ac:dyDescent="0.2">
      <c r="O1358" t="s">
        <v>1721</v>
      </c>
      <c r="P1358">
        <v>2023</v>
      </c>
    </row>
    <row r="1359" spans="15:16" x14ac:dyDescent="0.2">
      <c r="O1359" t="s">
        <v>336</v>
      </c>
      <c r="P1359">
        <v>2023</v>
      </c>
    </row>
    <row r="1360" spans="15:16" x14ac:dyDescent="0.2">
      <c r="O1360" t="s">
        <v>74</v>
      </c>
      <c r="P1360">
        <v>2023</v>
      </c>
    </row>
    <row r="1361" spans="15:16" x14ac:dyDescent="0.2">
      <c r="O1361" t="s">
        <v>1425</v>
      </c>
      <c r="P1361">
        <v>2023</v>
      </c>
    </row>
    <row r="1362" spans="15:16" x14ac:dyDescent="0.2">
      <c r="O1362" t="s">
        <v>297</v>
      </c>
      <c r="P1362">
        <v>2023</v>
      </c>
    </row>
    <row r="1363" spans="15:16" x14ac:dyDescent="0.2">
      <c r="O1363" t="s">
        <v>1679</v>
      </c>
      <c r="P1363">
        <v>2023</v>
      </c>
    </row>
    <row r="1364" spans="15:16" x14ac:dyDescent="0.2">
      <c r="O1364" t="s">
        <v>955</v>
      </c>
      <c r="P1364">
        <v>2023</v>
      </c>
    </row>
    <row r="1365" spans="15:16" x14ac:dyDescent="0.2">
      <c r="O1365" t="s">
        <v>124</v>
      </c>
      <c r="P1365">
        <v>2023</v>
      </c>
    </row>
    <row r="1366" spans="15:16" x14ac:dyDescent="0.2">
      <c r="O1366" t="s">
        <v>2488</v>
      </c>
      <c r="P1366">
        <v>2023</v>
      </c>
    </row>
    <row r="1367" spans="15:16" x14ac:dyDescent="0.2">
      <c r="O1367" t="s">
        <v>771</v>
      </c>
      <c r="P1367">
        <v>2023</v>
      </c>
    </row>
    <row r="1368" spans="15:16" x14ac:dyDescent="0.2">
      <c r="O1368" t="s">
        <v>2096</v>
      </c>
      <c r="P1368">
        <v>2023</v>
      </c>
    </row>
    <row r="1369" spans="15:16" x14ac:dyDescent="0.2">
      <c r="O1369" t="s">
        <v>1549</v>
      </c>
      <c r="P1369">
        <v>2023</v>
      </c>
    </row>
    <row r="1370" spans="15:16" x14ac:dyDescent="0.2">
      <c r="O1370" t="s">
        <v>1154</v>
      </c>
      <c r="P1370">
        <v>2023</v>
      </c>
    </row>
    <row r="1371" spans="15:16" x14ac:dyDescent="0.2">
      <c r="O1371" t="s">
        <v>617</v>
      </c>
      <c r="P1371">
        <v>2023</v>
      </c>
    </row>
    <row r="1372" spans="15:16" x14ac:dyDescent="0.2">
      <c r="O1372" t="s">
        <v>780</v>
      </c>
      <c r="P1372">
        <v>2023</v>
      </c>
    </row>
    <row r="1373" spans="15:16" x14ac:dyDescent="0.2">
      <c r="O1373" t="s">
        <v>1595</v>
      </c>
      <c r="P1373">
        <v>2023</v>
      </c>
    </row>
    <row r="1374" spans="15:16" x14ac:dyDescent="0.2">
      <c r="O1374" t="s">
        <v>1290</v>
      </c>
      <c r="P1374">
        <v>2023</v>
      </c>
    </row>
    <row r="1375" spans="15:16" x14ac:dyDescent="0.2">
      <c r="O1375" t="s">
        <v>1113</v>
      </c>
      <c r="P1375">
        <v>2023</v>
      </c>
    </row>
    <row r="1376" spans="15:16" x14ac:dyDescent="0.2">
      <c r="O1376" t="s">
        <v>2498</v>
      </c>
      <c r="P1376">
        <v>2023</v>
      </c>
    </row>
    <row r="1377" spans="15:16" x14ac:dyDescent="0.2">
      <c r="O1377" t="s">
        <v>1612</v>
      </c>
      <c r="P1377">
        <v>2023</v>
      </c>
    </row>
    <row r="1378" spans="15:16" x14ac:dyDescent="0.2">
      <c r="O1378" t="s">
        <v>1370</v>
      </c>
      <c r="P1378">
        <v>2023</v>
      </c>
    </row>
    <row r="1379" spans="15:16" x14ac:dyDescent="0.2">
      <c r="O1379" t="s">
        <v>1894</v>
      </c>
      <c r="P1379">
        <v>2023</v>
      </c>
    </row>
    <row r="1380" spans="15:16" x14ac:dyDescent="0.2">
      <c r="O1380" t="s">
        <v>424</v>
      </c>
      <c r="P1380">
        <v>2023</v>
      </c>
    </row>
    <row r="1381" spans="15:16" x14ac:dyDescent="0.2">
      <c r="O1381" t="s">
        <v>407</v>
      </c>
      <c r="P1381">
        <v>2023</v>
      </c>
    </row>
    <row r="1382" spans="15:16" x14ac:dyDescent="0.2">
      <c r="O1382" t="s">
        <v>1341</v>
      </c>
      <c r="P1382">
        <v>2023</v>
      </c>
    </row>
    <row r="1383" spans="15:16" x14ac:dyDescent="0.2">
      <c r="O1383" t="s">
        <v>1445</v>
      </c>
      <c r="P1383">
        <v>2023</v>
      </c>
    </row>
    <row r="1384" spans="15:16" x14ac:dyDescent="0.2">
      <c r="O1384" t="s">
        <v>2500</v>
      </c>
      <c r="P1384">
        <v>2023</v>
      </c>
    </row>
    <row r="1385" spans="15:16" x14ac:dyDescent="0.2">
      <c r="O1385" t="s">
        <v>2387</v>
      </c>
      <c r="P1385">
        <v>2023</v>
      </c>
    </row>
    <row r="1386" spans="15:16" x14ac:dyDescent="0.2">
      <c r="O1386" t="s">
        <v>79</v>
      </c>
      <c r="P1386">
        <v>2023</v>
      </c>
    </row>
    <row r="1387" spans="15:16" x14ac:dyDescent="0.2">
      <c r="O1387" t="s">
        <v>877</v>
      </c>
      <c r="P1387">
        <v>2023</v>
      </c>
    </row>
    <row r="1388" spans="15:16" x14ac:dyDescent="0.2">
      <c r="O1388" t="s">
        <v>815</v>
      </c>
      <c r="P1388">
        <v>2023</v>
      </c>
    </row>
    <row r="1389" spans="15:16" x14ac:dyDescent="0.2">
      <c r="O1389" t="s">
        <v>2109</v>
      </c>
      <c r="P1389">
        <v>2023</v>
      </c>
    </row>
    <row r="1390" spans="15:16" x14ac:dyDescent="0.2">
      <c r="O1390" t="s">
        <v>2385</v>
      </c>
      <c r="P1390">
        <v>2023</v>
      </c>
    </row>
    <row r="1391" spans="15:16" x14ac:dyDescent="0.2">
      <c r="O1391" t="s">
        <v>2224</v>
      </c>
      <c r="P1391">
        <v>2023</v>
      </c>
    </row>
    <row r="1392" spans="15:16" x14ac:dyDescent="0.2">
      <c r="O1392" t="s">
        <v>967</v>
      </c>
      <c r="P1392">
        <v>2023</v>
      </c>
    </row>
    <row r="1393" spans="15:16" x14ac:dyDescent="0.2">
      <c r="O1393" t="s">
        <v>2503</v>
      </c>
      <c r="P1393">
        <v>2023</v>
      </c>
    </row>
    <row r="1394" spans="15:16" x14ac:dyDescent="0.2">
      <c r="O1394" t="s">
        <v>1006</v>
      </c>
      <c r="P1394">
        <v>2023</v>
      </c>
    </row>
    <row r="1395" spans="15:16" x14ac:dyDescent="0.2">
      <c r="O1395" t="s">
        <v>1750</v>
      </c>
      <c r="P1395">
        <v>2023</v>
      </c>
    </row>
    <row r="1396" spans="15:16" x14ac:dyDescent="0.2">
      <c r="O1396" t="s">
        <v>667</v>
      </c>
      <c r="P1396">
        <v>2023</v>
      </c>
    </row>
    <row r="1397" spans="15:16" x14ac:dyDescent="0.2">
      <c r="O1397" t="s">
        <v>2505</v>
      </c>
      <c r="P1397">
        <v>2023</v>
      </c>
    </row>
    <row r="1398" spans="15:16" x14ac:dyDescent="0.2">
      <c r="O1398" t="s">
        <v>539</v>
      </c>
      <c r="P1398">
        <v>2023</v>
      </c>
    </row>
    <row r="1399" spans="15:16" x14ac:dyDescent="0.2">
      <c r="O1399" t="s">
        <v>2244</v>
      </c>
      <c r="P1399">
        <v>2023</v>
      </c>
    </row>
    <row r="1400" spans="15:16" x14ac:dyDescent="0.2">
      <c r="O1400" t="s">
        <v>2506</v>
      </c>
      <c r="P1400">
        <v>2023</v>
      </c>
    </row>
    <row r="1401" spans="15:16" x14ac:dyDescent="0.2">
      <c r="O1401" t="s">
        <v>674</v>
      </c>
      <c r="P1401">
        <v>2023</v>
      </c>
    </row>
    <row r="1402" spans="15:16" x14ac:dyDescent="0.2">
      <c r="O1402" t="s">
        <v>1363</v>
      </c>
      <c r="P1402">
        <v>2023</v>
      </c>
    </row>
    <row r="1403" spans="15:16" x14ac:dyDescent="0.2">
      <c r="O1403" t="s">
        <v>791</v>
      </c>
      <c r="P1403">
        <v>2023</v>
      </c>
    </row>
    <row r="1404" spans="15:16" x14ac:dyDescent="0.2">
      <c r="O1404" t="s">
        <v>2509</v>
      </c>
      <c r="P1404">
        <v>2023</v>
      </c>
    </row>
    <row r="1405" spans="15:16" x14ac:dyDescent="0.2">
      <c r="O1405" t="s">
        <v>71</v>
      </c>
      <c r="P1405">
        <v>2023</v>
      </c>
    </row>
    <row r="1406" spans="15:16" x14ac:dyDescent="0.2">
      <c r="O1406" t="s">
        <v>736</v>
      </c>
      <c r="P1406">
        <v>2023</v>
      </c>
    </row>
    <row r="1407" spans="15:16" x14ac:dyDescent="0.2">
      <c r="O1407" t="s">
        <v>1380</v>
      </c>
      <c r="P1407">
        <v>2023</v>
      </c>
    </row>
    <row r="1408" spans="15:16" x14ac:dyDescent="0.2">
      <c r="O1408" t="s">
        <v>1305</v>
      </c>
      <c r="P1408">
        <v>2023</v>
      </c>
    </row>
    <row r="1409" spans="15:16" x14ac:dyDescent="0.2">
      <c r="O1409" t="s">
        <v>1887</v>
      </c>
      <c r="P1409">
        <v>2023</v>
      </c>
    </row>
    <row r="1410" spans="15:16" x14ac:dyDescent="0.2">
      <c r="O1410" t="s">
        <v>2512</v>
      </c>
      <c r="P1410">
        <v>2023</v>
      </c>
    </row>
    <row r="1411" spans="15:16" x14ac:dyDescent="0.2">
      <c r="O1411" t="s">
        <v>2176</v>
      </c>
      <c r="P1411">
        <v>2023</v>
      </c>
    </row>
    <row r="1412" spans="15:16" x14ac:dyDescent="0.2">
      <c r="O1412" t="s">
        <v>1106</v>
      </c>
      <c r="P1412">
        <v>2023</v>
      </c>
    </row>
    <row r="1413" spans="15:16" x14ac:dyDescent="0.2">
      <c r="O1413" t="s">
        <v>585</v>
      </c>
      <c r="P1413">
        <v>2023</v>
      </c>
    </row>
    <row r="1414" spans="15:16" x14ac:dyDescent="0.2">
      <c r="O1414" t="s">
        <v>258</v>
      </c>
      <c r="P1414">
        <v>2023</v>
      </c>
    </row>
    <row r="1415" spans="15:16" x14ac:dyDescent="0.2">
      <c r="O1415" t="s">
        <v>1079</v>
      </c>
      <c r="P1415">
        <v>2023</v>
      </c>
    </row>
    <row r="1416" spans="15:16" x14ac:dyDescent="0.2">
      <c r="O1416" t="s">
        <v>1069</v>
      </c>
      <c r="P1416">
        <v>2023</v>
      </c>
    </row>
    <row r="1417" spans="15:16" x14ac:dyDescent="0.2">
      <c r="O1417" t="s">
        <v>1968</v>
      </c>
      <c r="P1417">
        <v>2023</v>
      </c>
    </row>
    <row r="1418" spans="15:16" x14ac:dyDescent="0.2">
      <c r="O1418" t="s">
        <v>535</v>
      </c>
      <c r="P1418">
        <v>2023</v>
      </c>
    </row>
    <row r="1419" spans="15:16" x14ac:dyDescent="0.2">
      <c r="O1419" t="s">
        <v>1072</v>
      </c>
      <c r="P1419">
        <v>2023</v>
      </c>
    </row>
    <row r="1420" spans="15:16" x14ac:dyDescent="0.2">
      <c r="O1420" t="s">
        <v>1394</v>
      </c>
      <c r="P1420">
        <v>2023</v>
      </c>
    </row>
    <row r="1421" spans="15:16" x14ac:dyDescent="0.2">
      <c r="O1421" t="s">
        <v>2520</v>
      </c>
      <c r="P1421">
        <v>2023</v>
      </c>
    </row>
    <row r="1422" spans="15:16" x14ac:dyDescent="0.2">
      <c r="O1422" t="s">
        <v>985</v>
      </c>
      <c r="P1422">
        <v>2023</v>
      </c>
    </row>
    <row r="1423" spans="15:16" x14ac:dyDescent="0.2">
      <c r="O1423" t="s">
        <v>1385</v>
      </c>
      <c r="P1423">
        <v>2023</v>
      </c>
    </row>
    <row r="1424" spans="15:16" x14ac:dyDescent="0.2">
      <c r="O1424" t="s">
        <v>679</v>
      </c>
      <c r="P1424">
        <v>2023</v>
      </c>
    </row>
    <row r="1425" spans="15:16" x14ac:dyDescent="0.2">
      <c r="O1425" t="s">
        <v>994</v>
      </c>
      <c r="P1425">
        <v>2023</v>
      </c>
    </row>
    <row r="1426" spans="15:16" x14ac:dyDescent="0.2">
      <c r="O1426" t="s">
        <v>1780</v>
      </c>
      <c r="P1426">
        <v>2023</v>
      </c>
    </row>
    <row r="1427" spans="15:16" x14ac:dyDescent="0.2">
      <c r="O1427" t="s">
        <v>1659</v>
      </c>
      <c r="P1427">
        <v>2023</v>
      </c>
    </row>
    <row r="1428" spans="15:16" x14ac:dyDescent="0.2">
      <c r="O1428" t="s">
        <v>1570</v>
      </c>
      <c r="P1428">
        <v>2023</v>
      </c>
    </row>
    <row r="1429" spans="15:16" x14ac:dyDescent="0.2">
      <c r="O1429" t="s">
        <v>630</v>
      </c>
      <c r="P1429">
        <v>2023</v>
      </c>
    </row>
    <row r="1430" spans="15:16" x14ac:dyDescent="0.2">
      <c r="O1430" t="s">
        <v>1373</v>
      </c>
      <c r="P1430">
        <v>2023</v>
      </c>
    </row>
    <row r="1431" spans="15:16" x14ac:dyDescent="0.2">
      <c r="O1431" t="s">
        <v>11</v>
      </c>
      <c r="P1431">
        <v>2023</v>
      </c>
    </row>
    <row r="1432" spans="15:16" x14ac:dyDescent="0.2">
      <c r="O1432" t="s">
        <v>206</v>
      </c>
      <c r="P1432">
        <v>2023</v>
      </c>
    </row>
    <row r="1433" spans="15:16" x14ac:dyDescent="0.2">
      <c r="O1433" t="s">
        <v>2413</v>
      </c>
      <c r="P1433">
        <v>2023</v>
      </c>
    </row>
    <row r="1434" spans="15:16" x14ac:dyDescent="0.2">
      <c r="O1434" t="s">
        <v>1428</v>
      </c>
      <c r="P1434">
        <v>2023</v>
      </c>
    </row>
    <row r="1435" spans="15:16" x14ac:dyDescent="0.2">
      <c r="O1435" t="s">
        <v>195</v>
      </c>
      <c r="P1435">
        <v>2023</v>
      </c>
    </row>
    <row r="1436" spans="15:16" x14ac:dyDescent="0.2">
      <c r="O1436" t="s">
        <v>470</v>
      </c>
      <c r="P1436">
        <v>2023</v>
      </c>
    </row>
    <row r="1437" spans="15:16" x14ac:dyDescent="0.2">
      <c r="O1437" t="s">
        <v>1007</v>
      </c>
      <c r="P1437">
        <v>2023</v>
      </c>
    </row>
    <row r="1438" spans="15:16" x14ac:dyDescent="0.2">
      <c r="O1438" t="s">
        <v>1288</v>
      </c>
      <c r="P1438">
        <v>2023</v>
      </c>
    </row>
    <row r="1439" spans="15:16" x14ac:dyDescent="0.2">
      <c r="O1439" t="s">
        <v>734</v>
      </c>
      <c r="P1439">
        <v>2023</v>
      </c>
    </row>
    <row r="1440" spans="15:16" x14ac:dyDescent="0.2">
      <c r="O1440" t="s">
        <v>316</v>
      </c>
      <c r="P1440">
        <v>2023</v>
      </c>
    </row>
    <row r="1441" spans="15:16" x14ac:dyDescent="0.2">
      <c r="O1441" t="s">
        <v>1519</v>
      </c>
      <c r="P1441">
        <v>2023</v>
      </c>
    </row>
    <row r="1442" spans="15:16" x14ac:dyDescent="0.2">
      <c r="O1442" t="s">
        <v>445</v>
      </c>
      <c r="P1442">
        <v>2023</v>
      </c>
    </row>
    <row r="1443" spans="15:16" x14ac:dyDescent="0.2">
      <c r="O1443" t="s">
        <v>1654</v>
      </c>
      <c r="P1443">
        <v>2023</v>
      </c>
    </row>
    <row r="1444" spans="15:16" x14ac:dyDescent="0.2">
      <c r="O1444" t="s">
        <v>214</v>
      </c>
      <c r="P1444">
        <v>2023</v>
      </c>
    </row>
    <row r="1445" spans="15:16" x14ac:dyDescent="0.2">
      <c r="O1445" t="s">
        <v>321</v>
      </c>
      <c r="P1445">
        <v>2023</v>
      </c>
    </row>
    <row r="1446" spans="15:16" x14ac:dyDescent="0.2">
      <c r="O1446" t="s">
        <v>2528</v>
      </c>
      <c r="P1446">
        <v>2023</v>
      </c>
    </row>
    <row r="1447" spans="15:16" x14ac:dyDescent="0.2">
      <c r="O1447" t="s">
        <v>1773</v>
      </c>
      <c r="P1447">
        <v>2023</v>
      </c>
    </row>
    <row r="1448" spans="15:16" x14ac:dyDescent="0.2">
      <c r="O1448" t="s">
        <v>1468</v>
      </c>
      <c r="P1448">
        <v>2023</v>
      </c>
    </row>
    <row r="1449" spans="15:16" x14ac:dyDescent="0.2">
      <c r="O1449" t="s">
        <v>1407</v>
      </c>
      <c r="P1449">
        <v>2023</v>
      </c>
    </row>
    <row r="1450" spans="15:16" x14ac:dyDescent="0.2">
      <c r="O1450" t="s">
        <v>1014</v>
      </c>
      <c r="P1450">
        <v>2023</v>
      </c>
    </row>
    <row r="1451" spans="15:16" x14ac:dyDescent="0.2">
      <c r="O1451" t="s">
        <v>248</v>
      </c>
      <c r="P1451">
        <v>2023</v>
      </c>
    </row>
    <row r="1452" spans="15:16" x14ac:dyDescent="0.2">
      <c r="O1452" t="s">
        <v>2530</v>
      </c>
      <c r="P1452">
        <v>2023</v>
      </c>
    </row>
    <row r="1453" spans="15:16" x14ac:dyDescent="0.2">
      <c r="O1453" t="s">
        <v>912</v>
      </c>
      <c r="P1453">
        <v>2023</v>
      </c>
    </row>
    <row r="1454" spans="15:16" x14ac:dyDescent="0.2">
      <c r="O1454" t="s">
        <v>382</v>
      </c>
      <c r="P1454">
        <v>2023</v>
      </c>
    </row>
    <row r="1455" spans="15:16" x14ac:dyDescent="0.2">
      <c r="O1455" t="s">
        <v>525</v>
      </c>
      <c r="P1455">
        <v>2023</v>
      </c>
    </row>
    <row r="1456" spans="15:16" x14ac:dyDescent="0.2">
      <c r="O1456" t="s">
        <v>868</v>
      </c>
      <c r="P1456">
        <v>2023</v>
      </c>
    </row>
    <row r="1457" spans="15:16" x14ac:dyDescent="0.2">
      <c r="O1457" t="s">
        <v>1477</v>
      </c>
      <c r="P1457">
        <v>2023</v>
      </c>
    </row>
    <row r="1458" spans="15:16" x14ac:dyDescent="0.2">
      <c r="O1458" t="s">
        <v>1057</v>
      </c>
      <c r="P1458">
        <v>2023</v>
      </c>
    </row>
    <row r="1459" spans="15:16" x14ac:dyDescent="0.2">
      <c r="O1459" t="s">
        <v>1785</v>
      </c>
      <c r="P1459">
        <v>2023</v>
      </c>
    </row>
    <row r="1460" spans="15:16" x14ac:dyDescent="0.2">
      <c r="O1460" t="s">
        <v>1753</v>
      </c>
      <c r="P1460">
        <v>2023</v>
      </c>
    </row>
    <row r="1461" spans="15:16" x14ac:dyDescent="0.2">
      <c r="O1461" t="s">
        <v>2300</v>
      </c>
      <c r="P1461">
        <v>2023</v>
      </c>
    </row>
    <row r="1462" spans="15:16" x14ac:dyDescent="0.2">
      <c r="O1462" t="s">
        <v>2536</v>
      </c>
      <c r="P1462">
        <v>2023</v>
      </c>
    </row>
    <row r="1463" spans="15:16" x14ac:dyDescent="0.2">
      <c r="O1463" t="s">
        <v>659</v>
      </c>
      <c r="P1463">
        <v>2023</v>
      </c>
    </row>
    <row r="1464" spans="15:16" x14ac:dyDescent="0.2">
      <c r="O1464" t="s">
        <v>601</v>
      </c>
      <c r="P1464">
        <v>2023</v>
      </c>
    </row>
    <row r="1465" spans="15:16" x14ac:dyDescent="0.2">
      <c r="O1465" t="s">
        <v>1537</v>
      </c>
      <c r="P1465">
        <v>2023</v>
      </c>
    </row>
    <row r="1466" spans="15:16" x14ac:dyDescent="0.2">
      <c r="O1466" t="s">
        <v>973</v>
      </c>
      <c r="P1466">
        <v>2023</v>
      </c>
    </row>
    <row r="1467" spans="15:16" x14ac:dyDescent="0.2">
      <c r="O1467" t="s">
        <v>1198</v>
      </c>
      <c r="P1467">
        <v>2023</v>
      </c>
    </row>
    <row r="1468" spans="15:16" x14ac:dyDescent="0.2">
      <c r="O1468" t="s">
        <v>1244</v>
      </c>
      <c r="P1468">
        <v>2023</v>
      </c>
    </row>
    <row r="1469" spans="15:16" x14ac:dyDescent="0.2">
      <c r="O1469" t="s">
        <v>2090</v>
      </c>
      <c r="P1469">
        <v>2023</v>
      </c>
    </row>
    <row r="1470" spans="15:16" x14ac:dyDescent="0.2">
      <c r="O1470" t="s">
        <v>607</v>
      </c>
      <c r="P1470">
        <v>2023</v>
      </c>
    </row>
    <row r="1471" spans="15:16" x14ac:dyDescent="0.2">
      <c r="O1471" t="s">
        <v>716</v>
      </c>
      <c r="P1471">
        <v>2023</v>
      </c>
    </row>
    <row r="1472" spans="15:16" x14ac:dyDescent="0.2">
      <c r="O1472" t="s">
        <v>282</v>
      </c>
      <c r="P1472">
        <v>2023</v>
      </c>
    </row>
    <row r="1473" spans="15:16" x14ac:dyDescent="0.2">
      <c r="O1473" t="s">
        <v>1868</v>
      </c>
      <c r="P1473">
        <v>2023</v>
      </c>
    </row>
    <row r="1474" spans="15:16" x14ac:dyDescent="0.2">
      <c r="O1474" t="s">
        <v>2539</v>
      </c>
      <c r="P1474">
        <v>2023</v>
      </c>
    </row>
    <row r="1475" spans="15:16" x14ac:dyDescent="0.2">
      <c r="O1475" t="s">
        <v>2542</v>
      </c>
      <c r="P1475">
        <v>2023</v>
      </c>
    </row>
    <row r="1476" spans="15:16" x14ac:dyDescent="0.2">
      <c r="O1476" t="s">
        <v>1179</v>
      </c>
      <c r="P1476">
        <v>2023</v>
      </c>
    </row>
    <row r="1477" spans="15:16" x14ac:dyDescent="0.2">
      <c r="O1477" t="s">
        <v>2543</v>
      </c>
      <c r="P1477">
        <v>2023</v>
      </c>
    </row>
    <row r="1478" spans="15:16" x14ac:dyDescent="0.2">
      <c r="O1478" t="s">
        <v>648</v>
      </c>
      <c r="P1478">
        <v>2023</v>
      </c>
    </row>
    <row r="1479" spans="15:16" x14ac:dyDescent="0.2">
      <c r="O1479" t="s">
        <v>1473</v>
      </c>
      <c r="P1479">
        <v>2023</v>
      </c>
    </row>
    <row r="1480" spans="15:16" x14ac:dyDescent="0.2">
      <c r="O1480" t="s">
        <v>1586</v>
      </c>
      <c r="P1480">
        <v>2023</v>
      </c>
    </row>
    <row r="1481" spans="15:16" x14ac:dyDescent="0.2">
      <c r="O1481" t="s">
        <v>2039</v>
      </c>
      <c r="P1481">
        <v>2023</v>
      </c>
    </row>
    <row r="1482" spans="15:16" x14ac:dyDescent="0.2">
      <c r="O1482" t="s">
        <v>452</v>
      </c>
      <c r="P1482">
        <v>2023</v>
      </c>
    </row>
    <row r="1483" spans="15:16" x14ac:dyDescent="0.2">
      <c r="O1483" t="s">
        <v>1337</v>
      </c>
      <c r="P1483">
        <v>2023</v>
      </c>
    </row>
    <row r="1484" spans="15:16" x14ac:dyDescent="0.2">
      <c r="O1484" t="s">
        <v>60</v>
      </c>
      <c r="P1484">
        <v>2023</v>
      </c>
    </row>
    <row r="1485" spans="15:16" x14ac:dyDescent="0.2">
      <c r="O1485" t="s">
        <v>2546</v>
      </c>
      <c r="P1485">
        <v>2023</v>
      </c>
    </row>
    <row r="1486" spans="15:16" x14ac:dyDescent="0.2">
      <c r="O1486" t="s">
        <v>2190</v>
      </c>
      <c r="P1486">
        <v>2023</v>
      </c>
    </row>
    <row r="1487" spans="15:16" x14ac:dyDescent="0.2">
      <c r="O1487" t="s">
        <v>1142</v>
      </c>
      <c r="P1487">
        <v>2023</v>
      </c>
    </row>
    <row r="1488" spans="15:16" x14ac:dyDescent="0.2">
      <c r="O1488" t="s">
        <v>953</v>
      </c>
      <c r="P1488">
        <v>2023</v>
      </c>
    </row>
    <row r="1489" spans="15:16" x14ac:dyDescent="0.2">
      <c r="O1489" t="s">
        <v>578</v>
      </c>
      <c r="P1489">
        <v>2023</v>
      </c>
    </row>
    <row r="1490" spans="15:16" x14ac:dyDescent="0.2">
      <c r="O1490" t="s">
        <v>2550</v>
      </c>
      <c r="P1490">
        <v>2023</v>
      </c>
    </row>
    <row r="1491" spans="15:16" x14ac:dyDescent="0.2">
      <c r="O1491" t="s">
        <v>893</v>
      </c>
      <c r="P1491">
        <v>2023</v>
      </c>
    </row>
    <row r="1492" spans="15:16" x14ac:dyDescent="0.2">
      <c r="O1492" t="s">
        <v>1879</v>
      </c>
      <c r="P1492">
        <v>2023</v>
      </c>
    </row>
    <row r="1493" spans="15:16" x14ac:dyDescent="0.2">
      <c r="O1493" t="s">
        <v>1939</v>
      </c>
      <c r="P1493">
        <v>2023</v>
      </c>
    </row>
    <row r="1494" spans="15:16" x14ac:dyDescent="0.2">
      <c r="O1494" t="s">
        <v>2552</v>
      </c>
      <c r="P1494">
        <v>2023</v>
      </c>
    </row>
    <row r="1495" spans="15:16" x14ac:dyDescent="0.2">
      <c r="O1495" t="s">
        <v>1487</v>
      </c>
      <c r="P1495">
        <v>2023</v>
      </c>
    </row>
    <row r="1496" spans="15:16" x14ac:dyDescent="0.2">
      <c r="O1496" t="s">
        <v>153</v>
      </c>
      <c r="P1496">
        <v>2023</v>
      </c>
    </row>
    <row r="1497" spans="15:16" x14ac:dyDescent="0.2">
      <c r="O1497" t="s">
        <v>569</v>
      </c>
      <c r="P1497">
        <v>2023</v>
      </c>
    </row>
    <row r="1498" spans="15:16" x14ac:dyDescent="0.2">
      <c r="O1498" t="s">
        <v>1557</v>
      </c>
      <c r="P1498">
        <v>2023</v>
      </c>
    </row>
    <row r="1499" spans="15:16" x14ac:dyDescent="0.2">
      <c r="O1499" t="s">
        <v>1140</v>
      </c>
      <c r="P1499">
        <v>2023</v>
      </c>
    </row>
    <row r="1500" spans="15:16" x14ac:dyDescent="0.2">
      <c r="O1500" t="s">
        <v>2207</v>
      </c>
      <c r="P1500">
        <v>2023</v>
      </c>
    </row>
    <row r="1501" spans="15:16" x14ac:dyDescent="0.2">
      <c r="O1501" t="s">
        <v>2102</v>
      </c>
      <c r="P1501">
        <v>2023</v>
      </c>
    </row>
    <row r="1502" spans="15:16" x14ac:dyDescent="0.2">
      <c r="O1502" t="s">
        <v>1805</v>
      </c>
      <c r="P1502">
        <v>2023</v>
      </c>
    </row>
    <row r="1503" spans="15:16" x14ac:dyDescent="0.2">
      <c r="O1503" t="s">
        <v>1844</v>
      </c>
      <c r="P1503">
        <v>2023</v>
      </c>
    </row>
    <row r="1504" spans="15:16" x14ac:dyDescent="0.2">
      <c r="O1504" t="s">
        <v>467</v>
      </c>
      <c r="P1504">
        <v>2023</v>
      </c>
    </row>
    <row r="1505" spans="15:16" x14ac:dyDescent="0.2">
      <c r="O1505" t="s">
        <v>1686</v>
      </c>
      <c r="P1505">
        <v>2023</v>
      </c>
    </row>
    <row r="1506" spans="15:16" x14ac:dyDescent="0.2">
      <c r="O1506" t="s">
        <v>102</v>
      </c>
      <c r="P1506">
        <v>2023</v>
      </c>
    </row>
    <row r="1507" spans="15:16" x14ac:dyDescent="0.2">
      <c r="O1507" t="s">
        <v>1671</v>
      </c>
      <c r="P1507">
        <v>2023</v>
      </c>
    </row>
    <row r="1508" spans="15:16" x14ac:dyDescent="0.2">
      <c r="O1508" t="s">
        <v>464</v>
      </c>
      <c r="P1508">
        <v>2023</v>
      </c>
    </row>
    <row r="1509" spans="15:16" x14ac:dyDescent="0.2">
      <c r="O1509" t="s">
        <v>1005</v>
      </c>
      <c r="P1509">
        <v>2023</v>
      </c>
    </row>
    <row r="1510" spans="15:16" x14ac:dyDescent="0.2">
      <c r="O1510" t="s">
        <v>2558</v>
      </c>
      <c r="P1510">
        <v>2023</v>
      </c>
    </row>
    <row r="1511" spans="15:16" x14ac:dyDescent="0.2">
      <c r="O1511" t="s">
        <v>2119</v>
      </c>
      <c r="P1511">
        <v>2023</v>
      </c>
    </row>
    <row r="1512" spans="15:16" x14ac:dyDescent="0.2">
      <c r="O1512" t="s">
        <v>1633</v>
      </c>
      <c r="P1512">
        <v>2023</v>
      </c>
    </row>
    <row r="1513" spans="15:16" x14ac:dyDescent="0.2">
      <c r="O1513" t="s">
        <v>1216</v>
      </c>
      <c r="P1513">
        <v>2023</v>
      </c>
    </row>
    <row r="1514" spans="15:16" x14ac:dyDescent="0.2">
      <c r="O1514" t="s">
        <v>2560</v>
      </c>
      <c r="P1514">
        <v>2023</v>
      </c>
    </row>
    <row r="1515" spans="15:16" x14ac:dyDescent="0.2">
      <c r="O1515" t="s">
        <v>435</v>
      </c>
      <c r="P1515">
        <v>2023</v>
      </c>
    </row>
    <row r="1516" spans="15:16" x14ac:dyDescent="0.2">
      <c r="O1516" t="s">
        <v>1078</v>
      </c>
      <c r="P1516">
        <v>2023</v>
      </c>
    </row>
    <row r="1517" spans="15:16" x14ac:dyDescent="0.2">
      <c r="O1517" t="s">
        <v>63</v>
      </c>
      <c r="P1517">
        <v>2023</v>
      </c>
    </row>
    <row r="1518" spans="15:16" x14ac:dyDescent="0.2">
      <c r="O1518" t="s">
        <v>2103</v>
      </c>
      <c r="P1518">
        <v>2023</v>
      </c>
    </row>
    <row r="1519" spans="15:16" x14ac:dyDescent="0.2">
      <c r="O1519" t="s">
        <v>841</v>
      </c>
      <c r="P1519">
        <v>2023</v>
      </c>
    </row>
    <row r="1520" spans="15:16" x14ac:dyDescent="0.2">
      <c r="O1520" t="s">
        <v>1336</v>
      </c>
      <c r="P1520">
        <v>2023</v>
      </c>
    </row>
    <row r="1521" spans="15:16" x14ac:dyDescent="0.2">
      <c r="O1521" t="s">
        <v>965</v>
      </c>
      <c r="P1521">
        <v>2023</v>
      </c>
    </row>
    <row r="1522" spans="15:16" x14ac:dyDescent="0.2">
      <c r="O1522" t="s">
        <v>2296</v>
      </c>
      <c r="P1522">
        <v>2023</v>
      </c>
    </row>
    <row r="1523" spans="15:16" x14ac:dyDescent="0.2">
      <c r="O1523" t="s">
        <v>2383</v>
      </c>
      <c r="P1523">
        <v>2023</v>
      </c>
    </row>
    <row r="1524" spans="15:16" x14ac:dyDescent="0.2">
      <c r="O1524" t="s">
        <v>1048</v>
      </c>
      <c r="P1524">
        <v>2023</v>
      </c>
    </row>
    <row r="1525" spans="15:16" x14ac:dyDescent="0.2">
      <c r="O1525" t="s">
        <v>598</v>
      </c>
      <c r="P1525">
        <v>2023</v>
      </c>
    </row>
    <row r="1526" spans="15:16" x14ac:dyDescent="0.2">
      <c r="O1526" t="s">
        <v>1922</v>
      </c>
      <c r="P1526">
        <v>2023</v>
      </c>
    </row>
    <row r="1527" spans="15:16" x14ac:dyDescent="0.2">
      <c r="O1527" t="s">
        <v>863</v>
      </c>
      <c r="P1527">
        <v>2023</v>
      </c>
    </row>
    <row r="1528" spans="15:16" x14ac:dyDescent="0.2">
      <c r="O1528" t="s">
        <v>1799</v>
      </c>
      <c r="P1528">
        <v>2023</v>
      </c>
    </row>
    <row r="1529" spans="15:16" x14ac:dyDescent="0.2">
      <c r="O1529" t="s">
        <v>204</v>
      </c>
      <c r="P1529">
        <v>2023</v>
      </c>
    </row>
    <row r="1530" spans="15:16" x14ac:dyDescent="0.2">
      <c r="O1530" t="s">
        <v>1795</v>
      </c>
      <c r="P1530">
        <v>2023</v>
      </c>
    </row>
    <row r="1531" spans="15:16" x14ac:dyDescent="0.2">
      <c r="O1531" t="s">
        <v>1175</v>
      </c>
      <c r="P1531">
        <v>2023</v>
      </c>
    </row>
    <row r="1532" spans="15:16" x14ac:dyDescent="0.2">
      <c r="O1532" t="s">
        <v>556</v>
      </c>
      <c r="P1532">
        <v>2023</v>
      </c>
    </row>
    <row r="1533" spans="15:16" x14ac:dyDescent="0.2">
      <c r="O1533" t="s">
        <v>359</v>
      </c>
      <c r="P1533">
        <v>2023</v>
      </c>
    </row>
    <row r="1534" spans="15:16" x14ac:dyDescent="0.2">
      <c r="O1534" t="s">
        <v>2023</v>
      </c>
      <c r="P1534">
        <v>2023</v>
      </c>
    </row>
    <row r="1535" spans="15:16" x14ac:dyDescent="0.2">
      <c r="O1535" t="s">
        <v>1552</v>
      </c>
      <c r="P1535">
        <v>2023</v>
      </c>
    </row>
    <row r="1536" spans="15:16" x14ac:dyDescent="0.2">
      <c r="O1536" t="s">
        <v>2139</v>
      </c>
      <c r="P1536">
        <v>2023</v>
      </c>
    </row>
    <row r="1537" spans="15:16" x14ac:dyDescent="0.2">
      <c r="O1537" t="s">
        <v>773</v>
      </c>
      <c r="P1537">
        <v>2023</v>
      </c>
    </row>
    <row r="1538" spans="15:16" x14ac:dyDescent="0.2">
      <c r="O1538" t="s">
        <v>2566</v>
      </c>
      <c r="P1538">
        <v>2023</v>
      </c>
    </row>
    <row r="1539" spans="15:16" x14ac:dyDescent="0.2">
      <c r="O1539" t="s">
        <v>750</v>
      </c>
      <c r="P1539">
        <v>2023</v>
      </c>
    </row>
    <row r="1540" spans="15:16" x14ac:dyDescent="0.2">
      <c r="O1540" t="s">
        <v>1440</v>
      </c>
      <c r="P1540">
        <v>2023</v>
      </c>
    </row>
    <row r="1541" spans="15:16" x14ac:dyDescent="0.2">
      <c r="O1541" t="s">
        <v>500</v>
      </c>
      <c r="P1541">
        <v>2023</v>
      </c>
    </row>
    <row r="1542" spans="15:16" x14ac:dyDescent="0.2">
      <c r="O1542" t="s">
        <v>691</v>
      </c>
      <c r="P1542">
        <v>2023</v>
      </c>
    </row>
    <row r="1543" spans="15:16" x14ac:dyDescent="0.2">
      <c r="O1543" t="s">
        <v>614</v>
      </c>
      <c r="P1543">
        <v>2023</v>
      </c>
    </row>
    <row r="1544" spans="15:16" x14ac:dyDescent="0.2">
      <c r="O1544" t="s">
        <v>1223</v>
      </c>
      <c r="P1544">
        <v>2023</v>
      </c>
    </row>
    <row r="1545" spans="15:16" x14ac:dyDescent="0.2">
      <c r="O1545" t="s">
        <v>2044</v>
      </c>
      <c r="P1545">
        <v>2023</v>
      </c>
    </row>
    <row r="1546" spans="15:16" x14ac:dyDescent="0.2">
      <c r="O1546" t="s">
        <v>1163</v>
      </c>
      <c r="P1546">
        <v>2023</v>
      </c>
    </row>
    <row r="1547" spans="15:16" x14ac:dyDescent="0.2">
      <c r="O1547" t="s">
        <v>1928</v>
      </c>
      <c r="P1547">
        <v>2023</v>
      </c>
    </row>
    <row r="1548" spans="15:16" x14ac:dyDescent="0.2">
      <c r="O1548" t="s">
        <v>2085</v>
      </c>
      <c r="P1548">
        <v>2023</v>
      </c>
    </row>
    <row r="1549" spans="15:16" x14ac:dyDescent="0.2">
      <c r="O1549" t="s">
        <v>227</v>
      </c>
      <c r="P1549">
        <v>2023</v>
      </c>
    </row>
    <row r="1550" spans="15:16" x14ac:dyDescent="0.2">
      <c r="O1550" t="s">
        <v>1559</v>
      </c>
      <c r="P1550">
        <v>2023</v>
      </c>
    </row>
    <row r="1551" spans="15:16" x14ac:dyDescent="0.2">
      <c r="O1551" t="s">
        <v>489</v>
      </c>
      <c r="P1551">
        <v>2023</v>
      </c>
    </row>
    <row r="1552" spans="15:16" x14ac:dyDescent="0.2">
      <c r="O1552" t="s">
        <v>241</v>
      </c>
      <c r="P1552">
        <v>2023</v>
      </c>
    </row>
    <row r="1553" spans="15:16" x14ac:dyDescent="0.2">
      <c r="O1553" t="s">
        <v>307</v>
      </c>
      <c r="P1553">
        <v>2023</v>
      </c>
    </row>
    <row r="1554" spans="15:16" x14ac:dyDescent="0.2">
      <c r="O1554" t="s">
        <v>1044</v>
      </c>
      <c r="P1554">
        <v>2023</v>
      </c>
    </row>
    <row r="1555" spans="15:16" x14ac:dyDescent="0.2">
      <c r="O1555" t="s">
        <v>1616</v>
      </c>
      <c r="P1555">
        <v>2023</v>
      </c>
    </row>
    <row r="1556" spans="15:16" x14ac:dyDescent="0.2">
      <c r="O1556" t="s">
        <v>744</v>
      </c>
      <c r="P1556">
        <v>2023</v>
      </c>
    </row>
    <row r="1557" spans="15:16" x14ac:dyDescent="0.2">
      <c r="O1557" t="s">
        <v>2575</v>
      </c>
      <c r="P1557">
        <v>2023</v>
      </c>
    </row>
    <row r="1558" spans="15:16" x14ac:dyDescent="0.2">
      <c r="O1558" t="s">
        <v>1540</v>
      </c>
      <c r="P1558">
        <v>2023</v>
      </c>
    </row>
    <row r="1559" spans="15:16" x14ac:dyDescent="0.2">
      <c r="O1559" t="s">
        <v>2321</v>
      </c>
      <c r="P1559">
        <v>2023</v>
      </c>
    </row>
    <row r="1560" spans="15:16" x14ac:dyDescent="0.2">
      <c r="O1560" t="s">
        <v>975</v>
      </c>
      <c r="P1560">
        <v>2023</v>
      </c>
    </row>
    <row r="1561" spans="15:16" x14ac:dyDescent="0.2">
      <c r="O1561" t="s">
        <v>1674</v>
      </c>
      <c r="P1561">
        <v>2023</v>
      </c>
    </row>
    <row r="1562" spans="15:16" x14ac:dyDescent="0.2">
      <c r="O1562" t="s">
        <v>1824</v>
      </c>
      <c r="P1562">
        <v>2023</v>
      </c>
    </row>
    <row r="1563" spans="15:16" x14ac:dyDescent="0.2">
      <c r="O1563" t="s">
        <v>1645</v>
      </c>
      <c r="P1563">
        <v>2023</v>
      </c>
    </row>
    <row r="1564" spans="15:16" x14ac:dyDescent="0.2">
      <c r="O1564" t="s">
        <v>2380</v>
      </c>
      <c r="P1564">
        <v>2023</v>
      </c>
    </row>
    <row r="1565" spans="15:16" x14ac:dyDescent="0.2">
      <c r="O1565" t="s">
        <v>1499</v>
      </c>
      <c r="P1565">
        <v>2023</v>
      </c>
    </row>
    <row r="1566" spans="15:16" x14ac:dyDescent="0.2">
      <c r="O1566" t="s">
        <v>412</v>
      </c>
      <c r="P1566">
        <v>2023</v>
      </c>
    </row>
    <row r="1567" spans="15:16" x14ac:dyDescent="0.2">
      <c r="O1567" t="s">
        <v>357</v>
      </c>
      <c r="P1567">
        <v>2023</v>
      </c>
    </row>
    <row r="1568" spans="15:16" x14ac:dyDescent="0.2">
      <c r="O1568" t="s">
        <v>2580</v>
      </c>
      <c r="P1568">
        <v>2023</v>
      </c>
    </row>
    <row r="1569" spans="15:16" x14ac:dyDescent="0.2">
      <c r="O1569" t="s">
        <v>2582</v>
      </c>
      <c r="P1569">
        <v>2023</v>
      </c>
    </row>
    <row r="1570" spans="15:16" x14ac:dyDescent="0.2">
      <c r="O1570" t="s">
        <v>1783</v>
      </c>
      <c r="P1570">
        <v>2023</v>
      </c>
    </row>
    <row r="1571" spans="15:16" x14ac:dyDescent="0.2">
      <c r="O1571" t="s">
        <v>1095</v>
      </c>
      <c r="P1571">
        <v>2023</v>
      </c>
    </row>
    <row r="1572" spans="15:16" x14ac:dyDescent="0.2">
      <c r="O1572" t="s">
        <v>880</v>
      </c>
      <c r="P1572">
        <v>2023</v>
      </c>
    </row>
    <row r="1573" spans="15:16" x14ac:dyDescent="0.2">
      <c r="O1573" t="s">
        <v>1165</v>
      </c>
      <c r="P1573">
        <v>2023</v>
      </c>
    </row>
    <row r="1574" spans="15:16" x14ac:dyDescent="0.2">
      <c r="O1574" t="s">
        <v>1964</v>
      </c>
      <c r="P1574">
        <v>2023</v>
      </c>
    </row>
    <row r="1575" spans="15:16" x14ac:dyDescent="0.2">
      <c r="O1575" t="s">
        <v>980</v>
      </c>
      <c r="P1575">
        <v>2023</v>
      </c>
    </row>
    <row r="1576" spans="15:16" x14ac:dyDescent="0.2">
      <c r="O1576" t="s">
        <v>1454</v>
      </c>
      <c r="P1576">
        <v>2023</v>
      </c>
    </row>
    <row r="1577" spans="15:16" x14ac:dyDescent="0.2">
      <c r="O1577" t="s">
        <v>927</v>
      </c>
      <c r="P1577">
        <v>2023</v>
      </c>
    </row>
    <row r="1578" spans="15:16" x14ac:dyDescent="0.2">
      <c r="O1578" t="s">
        <v>1377</v>
      </c>
      <c r="P1578">
        <v>2023</v>
      </c>
    </row>
    <row r="1579" spans="15:16" x14ac:dyDescent="0.2">
      <c r="O1579" t="s">
        <v>1213</v>
      </c>
      <c r="P1579">
        <v>2023</v>
      </c>
    </row>
    <row r="1580" spans="15:16" x14ac:dyDescent="0.2">
      <c r="O1580" t="s">
        <v>169</v>
      </c>
      <c r="P1580">
        <v>2023</v>
      </c>
    </row>
    <row r="1581" spans="15:16" x14ac:dyDescent="0.2">
      <c r="O1581" t="s">
        <v>999</v>
      </c>
      <c r="P1581">
        <v>2023</v>
      </c>
    </row>
    <row r="1582" spans="15:16" x14ac:dyDescent="0.2">
      <c r="O1582" t="s">
        <v>1469</v>
      </c>
      <c r="P1582">
        <v>2023</v>
      </c>
    </row>
    <row r="1583" spans="15:16" x14ac:dyDescent="0.2">
      <c r="O1583" t="s">
        <v>632</v>
      </c>
      <c r="P1583">
        <v>2023</v>
      </c>
    </row>
    <row r="1584" spans="15:16" x14ac:dyDescent="0.2">
      <c r="O1584" t="s">
        <v>1729</v>
      </c>
      <c r="P1584">
        <v>2023</v>
      </c>
    </row>
    <row r="1585" spans="15:16" x14ac:dyDescent="0.2">
      <c r="O1585" t="s">
        <v>947</v>
      </c>
      <c r="P1585">
        <v>2023</v>
      </c>
    </row>
    <row r="1586" spans="15:16" x14ac:dyDescent="0.2">
      <c r="O1586" t="s">
        <v>1778</v>
      </c>
      <c r="P1586">
        <v>2023</v>
      </c>
    </row>
    <row r="1587" spans="15:16" x14ac:dyDescent="0.2">
      <c r="O1587" t="s">
        <v>1303</v>
      </c>
      <c r="P1587">
        <v>2023</v>
      </c>
    </row>
    <row r="1588" spans="15:16" x14ac:dyDescent="0.2">
      <c r="O1588" t="s">
        <v>2586</v>
      </c>
      <c r="P1588">
        <v>2023</v>
      </c>
    </row>
    <row r="1589" spans="15:16" x14ac:dyDescent="0.2">
      <c r="O1589" t="s">
        <v>1147</v>
      </c>
      <c r="P1589">
        <v>2023</v>
      </c>
    </row>
    <row r="1590" spans="15:16" x14ac:dyDescent="0.2">
      <c r="O1590" t="s">
        <v>2273</v>
      </c>
      <c r="P1590">
        <v>2023</v>
      </c>
    </row>
    <row r="1591" spans="15:16" x14ac:dyDescent="0.2">
      <c r="O1591" t="s">
        <v>1523</v>
      </c>
      <c r="P1591">
        <v>2023</v>
      </c>
    </row>
    <row r="1592" spans="15:16" x14ac:dyDescent="0.2">
      <c r="O1592" t="s">
        <v>184</v>
      </c>
      <c r="P1592">
        <v>2023</v>
      </c>
    </row>
    <row r="1593" spans="15:16" x14ac:dyDescent="0.2">
      <c r="O1593" t="s">
        <v>1090</v>
      </c>
      <c r="P1593">
        <v>2023</v>
      </c>
    </row>
    <row r="1594" spans="15:16" x14ac:dyDescent="0.2">
      <c r="O1594" t="s">
        <v>714</v>
      </c>
      <c r="P1594">
        <v>2023</v>
      </c>
    </row>
    <row r="1595" spans="15:16" x14ac:dyDescent="0.2">
      <c r="O1595" t="s">
        <v>1491</v>
      </c>
      <c r="P1595">
        <v>2023</v>
      </c>
    </row>
    <row r="1596" spans="15:16" x14ac:dyDescent="0.2">
      <c r="O1596" t="s">
        <v>507</v>
      </c>
      <c r="P1596">
        <v>2023</v>
      </c>
    </row>
    <row r="1597" spans="15:16" x14ac:dyDescent="0.2">
      <c r="O1597" t="s">
        <v>426</v>
      </c>
      <c r="P1597">
        <v>2023</v>
      </c>
    </row>
    <row r="1598" spans="15:16" x14ac:dyDescent="0.2">
      <c r="O1598" t="s">
        <v>1025</v>
      </c>
      <c r="P1598">
        <v>2023</v>
      </c>
    </row>
    <row r="1599" spans="15:16" x14ac:dyDescent="0.2">
      <c r="O1599" t="s">
        <v>1546</v>
      </c>
      <c r="P1599">
        <v>2023</v>
      </c>
    </row>
    <row r="1600" spans="15:16" x14ac:dyDescent="0.2">
      <c r="O1600" t="s">
        <v>1678</v>
      </c>
      <c r="P1600">
        <v>2023</v>
      </c>
    </row>
    <row r="1601" spans="15:16" x14ac:dyDescent="0.2">
      <c r="O1601" t="s">
        <v>673</v>
      </c>
      <c r="P1601">
        <v>2023</v>
      </c>
    </row>
    <row r="1602" spans="15:16" x14ac:dyDescent="0.2">
      <c r="O1602" t="s">
        <v>2587</v>
      </c>
      <c r="P1602">
        <v>2023</v>
      </c>
    </row>
    <row r="1603" spans="15:16" x14ac:dyDescent="0.2">
      <c r="O1603" t="s">
        <v>904</v>
      </c>
      <c r="P1603">
        <v>2023</v>
      </c>
    </row>
    <row r="1604" spans="15:16" x14ac:dyDescent="0.2">
      <c r="O1604" t="s">
        <v>1133</v>
      </c>
      <c r="P1604">
        <v>2023</v>
      </c>
    </row>
    <row r="1605" spans="15:16" x14ac:dyDescent="0.2">
      <c r="O1605" t="s">
        <v>1040</v>
      </c>
      <c r="P1605">
        <v>2023</v>
      </c>
    </row>
    <row r="1606" spans="15:16" x14ac:dyDescent="0.2">
      <c r="O1606" t="s">
        <v>959</v>
      </c>
      <c r="P1606">
        <v>2023</v>
      </c>
    </row>
    <row r="1607" spans="15:16" x14ac:dyDescent="0.2">
      <c r="O1607" t="s">
        <v>111</v>
      </c>
      <c r="P1607">
        <v>2023</v>
      </c>
    </row>
    <row r="1608" spans="15:16" x14ac:dyDescent="0.2">
      <c r="O1608" t="s">
        <v>2066</v>
      </c>
      <c r="P1608">
        <v>2023</v>
      </c>
    </row>
    <row r="1609" spans="15:16" x14ac:dyDescent="0.2">
      <c r="O1609" t="s">
        <v>1787</v>
      </c>
      <c r="P1609">
        <v>2023</v>
      </c>
    </row>
    <row r="1610" spans="15:16" x14ac:dyDescent="0.2">
      <c r="O1610" t="s">
        <v>1743</v>
      </c>
      <c r="P1610">
        <v>2023</v>
      </c>
    </row>
    <row r="1611" spans="15:16" x14ac:dyDescent="0.2">
      <c r="O1611" t="s">
        <v>1066</v>
      </c>
      <c r="P1611">
        <v>2023</v>
      </c>
    </row>
    <row r="1612" spans="15:16" x14ac:dyDescent="0.2">
      <c r="O1612" t="s">
        <v>2367</v>
      </c>
      <c r="P1612">
        <v>2023</v>
      </c>
    </row>
    <row r="1613" spans="15:16" x14ac:dyDescent="0.2">
      <c r="O1613" t="s">
        <v>2250</v>
      </c>
      <c r="P1613">
        <v>2023</v>
      </c>
    </row>
    <row r="1614" spans="15:16" x14ac:dyDescent="0.2">
      <c r="O1614" t="s">
        <v>1548</v>
      </c>
      <c r="P1614">
        <v>2023</v>
      </c>
    </row>
    <row r="1615" spans="15:16" x14ac:dyDescent="0.2">
      <c r="O1615" t="s">
        <v>378</v>
      </c>
      <c r="P1615">
        <v>2023</v>
      </c>
    </row>
    <row r="1616" spans="15:16" x14ac:dyDescent="0.2">
      <c r="O1616" t="s">
        <v>1322</v>
      </c>
      <c r="P1616">
        <v>2023</v>
      </c>
    </row>
    <row r="1617" spans="15:16" x14ac:dyDescent="0.2">
      <c r="O1617" t="s">
        <v>564</v>
      </c>
      <c r="P1617">
        <v>2023</v>
      </c>
    </row>
    <row r="1618" spans="15:16" x14ac:dyDescent="0.2">
      <c r="O1618" t="s">
        <v>1225</v>
      </c>
      <c r="P1618">
        <v>2023</v>
      </c>
    </row>
    <row r="1619" spans="15:16" x14ac:dyDescent="0.2">
      <c r="O1619" t="s">
        <v>1284</v>
      </c>
      <c r="P1619">
        <v>2023</v>
      </c>
    </row>
    <row r="1620" spans="15:16" x14ac:dyDescent="0.2">
      <c r="O1620" t="s">
        <v>1947</v>
      </c>
      <c r="P1620">
        <v>2023</v>
      </c>
    </row>
    <row r="1621" spans="15:16" x14ac:dyDescent="0.2">
      <c r="O1621" t="s">
        <v>1236</v>
      </c>
      <c r="P1621">
        <v>2023</v>
      </c>
    </row>
    <row r="1622" spans="15:16" x14ac:dyDescent="0.2">
      <c r="O1622" t="s">
        <v>448</v>
      </c>
      <c r="P1622">
        <v>2023</v>
      </c>
    </row>
    <row r="1623" spans="15:16" x14ac:dyDescent="0.2">
      <c r="O1623" t="s">
        <v>2382</v>
      </c>
      <c r="P1623">
        <v>2023</v>
      </c>
    </row>
    <row r="1624" spans="15:16" x14ac:dyDescent="0.2">
      <c r="O1624" t="s">
        <v>396</v>
      </c>
      <c r="P1624">
        <v>2023</v>
      </c>
    </row>
    <row r="1625" spans="15:16" x14ac:dyDescent="0.2">
      <c r="O1625" t="s">
        <v>87</v>
      </c>
      <c r="P1625">
        <v>2023</v>
      </c>
    </row>
    <row r="1626" spans="15:16" x14ac:dyDescent="0.2">
      <c r="O1626" t="s">
        <v>127</v>
      </c>
      <c r="P1626">
        <v>2023</v>
      </c>
    </row>
    <row r="1627" spans="15:16" x14ac:dyDescent="0.2">
      <c r="O1627" t="s">
        <v>199</v>
      </c>
      <c r="P1627">
        <v>2023</v>
      </c>
    </row>
    <row r="1628" spans="15:16" x14ac:dyDescent="0.2">
      <c r="O1628" t="s">
        <v>150</v>
      </c>
      <c r="P1628">
        <v>2023</v>
      </c>
    </row>
    <row r="1629" spans="15:16" x14ac:dyDescent="0.2">
      <c r="O1629" t="s">
        <v>1104</v>
      </c>
      <c r="P1629">
        <v>2023</v>
      </c>
    </row>
    <row r="1630" spans="15:16" x14ac:dyDescent="0.2">
      <c r="O1630" t="s">
        <v>914</v>
      </c>
      <c r="P1630">
        <v>2023</v>
      </c>
    </row>
    <row r="1631" spans="15:16" x14ac:dyDescent="0.2">
      <c r="O1631" t="s">
        <v>1281</v>
      </c>
      <c r="P1631">
        <v>2023</v>
      </c>
    </row>
    <row r="1632" spans="15:16" x14ac:dyDescent="0.2">
      <c r="O1632" t="s">
        <v>1573</v>
      </c>
      <c r="P1632">
        <v>2023</v>
      </c>
    </row>
    <row r="1633" spans="15:16" x14ac:dyDescent="0.2">
      <c r="O1633" t="s">
        <v>1973</v>
      </c>
      <c r="P1633">
        <v>2023</v>
      </c>
    </row>
    <row r="1634" spans="15:16" x14ac:dyDescent="0.2">
      <c r="O1634" t="s">
        <v>2409</v>
      </c>
      <c r="P1634">
        <v>2023</v>
      </c>
    </row>
    <row r="1635" spans="15:16" x14ac:dyDescent="0.2">
      <c r="O1635" t="s">
        <v>1716</v>
      </c>
      <c r="P1635">
        <v>2023</v>
      </c>
    </row>
    <row r="1636" spans="15:16" x14ac:dyDescent="0.2">
      <c r="O1636" t="s">
        <v>1180</v>
      </c>
      <c r="P1636">
        <v>2023</v>
      </c>
    </row>
    <row r="1637" spans="15:16" x14ac:dyDescent="0.2">
      <c r="O1637" t="s">
        <v>222</v>
      </c>
      <c r="P1637">
        <v>2023</v>
      </c>
    </row>
    <row r="1638" spans="15:16" x14ac:dyDescent="0.2">
      <c r="O1638" t="s">
        <v>1131</v>
      </c>
      <c r="P1638">
        <v>2023</v>
      </c>
    </row>
    <row r="1639" spans="15:16" x14ac:dyDescent="0.2">
      <c r="O1639" t="s">
        <v>2178</v>
      </c>
      <c r="P1639">
        <v>2023</v>
      </c>
    </row>
    <row r="1640" spans="15:16" x14ac:dyDescent="0.2">
      <c r="O1640" t="s">
        <v>279</v>
      </c>
      <c r="P1640">
        <v>2023</v>
      </c>
    </row>
    <row r="1641" spans="15:16" x14ac:dyDescent="0.2">
      <c r="O1641" t="s">
        <v>861</v>
      </c>
      <c r="P1641">
        <v>2023</v>
      </c>
    </row>
    <row r="1642" spans="15:16" x14ac:dyDescent="0.2">
      <c r="O1642" t="s">
        <v>2310</v>
      </c>
      <c r="P1642">
        <v>2023</v>
      </c>
    </row>
    <row r="1643" spans="15:16" x14ac:dyDescent="0.2">
      <c r="O1643" t="s">
        <v>626</v>
      </c>
      <c r="P1643">
        <v>2023</v>
      </c>
    </row>
    <row r="1644" spans="15:16" x14ac:dyDescent="0.2">
      <c r="O1644" t="s">
        <v>2019</v>
      </c>
      <c r="P1644">
        <v>2023</v>
      </c>
    </row>
    <row r="1645" spans="15:16" x14ac:dyDescent="0.2">
      <c r="O1645" t="s">
        <v>1166</v>
      </c>
      <c r="P1645">
        <v>2023</v>
      </c>
    </row>
    <row r="1646" spans="15:16" x14ac:dyDescent="0.2">
      <c r="O1646" t="s">
        <v>666</v>
      </c>
      <c r="P1646">
        <v>2023</v>
      </c>
    </row>
    <row r="1647" spans="15:16" x14ac:dyDescent="0.2">
      <c r="O1647" t="s">
        <v>1637</v>
      </c>
      <c r="P1647">
        <v>2023</v>
      </c>
    </row>
    <row r="1648" spans="15:16" x14ac:dyDescent="0.2">
      <c r="O1648" t="s">
        <v>1513</v>
      </c>
      <c r="P1648">
        <v>2023</v>
      </c>
    </row>
    <row r="1649" spans="15:16" x14ac:dyDescent="0.2">
      <c r="O1649" t="s">
        <v>1396</v>
      </c>
      <c r="P1649">
        <v>2023</v>
      </c>
    </row>
    <row r="1650" spans="15:16" x14ac:dyDescent="0.2">
      <c r="O1650" t="s">
        <v>759</v>
      </c>
      <c r="P1650">
        <v>2023</v>
      </c>
    </row>
    <row r="1651" spans="15:16" x14ac:dyDescent="0.2">
      <c r="O1651" t="s">
        <v>394</v>
      </c>
      <c r="P1651">
        <v>2023</v>
      </c>
    </row>
    <row r="1652" spans="15:16" x14ac:dyDescent="0.2">
      <c r="O1652" t="s">
        <v>83</v>
      </c>
      <c r="P1652">
        <v>2023</v>
      </c>
    </row>
    <row r="1653" spans="15:16" x14ac:dyDescent="0.2">
      <c r="O1653" t="s">
        <v>375</v>
      </c>
      <c r="P1653">
        <v>2023</v>
      </c>
    </row>
    <row r="1654" spans="15:16" x14ac:dyDescent="0.2">
      <c r="O1654" t="s">
        <v>2279</v>
      </c>
      <c r="P1654">
        <v>2023</v>
      </c>
    </row>
    <row r="1655" spans="15:16" x14ac:dyDescent="0.2">
      <c r="O1655" t="s">
        <v>1530</v>
      </c>
      <c r="P1655">
        <v>2023</v>
      </c>
    </row>
    <row r="1656" spans="15:16" x14ac:dyDescent="0.2">
      <c r="O1656" t="s">
        <v>738</v>
      </c>
      <c r="P1656">
        <v>2023</v>
      </c>
    </row>
    <row r="1657" spans="15:16" x14ac:dyDescent="0.2">
      <c r="O1657" t="s">
        <v>2050</v>
      </c>
      <c r="P1657">
        <v>2023</v>
      </c>
    </row>
    <row r="1658" spans="15:16" x14ac:dyDescent="0.2">
      <c r="O1658" t="s">
        <v>133</v>
      </c>
      <c r="P1658">
        <v>2023</v>
      </c>
    </row>
    <row r="1659" spans="15:16" x14ac:dyDescent="0.2">
      <c r="O1659" t="s">
        <v>485</v>
      </c>
      <c r="P1659">
        <v>2023</v>
      </c>
    </row>
    <row r="1660" spans="15:16" x14ac:dyDescent="0.2">
      <c r="O1660" t="s">
        <v>460</v>
      </c>
      <c r="P1660">
        <v>2023</v>
      </c>
    </row>
    <row r="1661" spans="15:16" x14ac:dyDescent="0.2">
      <c r="O1661" t="s">
        <v>889</v>
      </c>
      <c r="P1661">
        <v>2023</v>
      </c>
    </row>
    <row r="1662" spans="15:16" x14ac:dyDescent="0.2">
      <c r="O1662" t="s">
        <v>2015</v>
      </c>
      <c r="P1662">
        <v>2023</v>
      </c>
    </row>
    <row r="1663" spans="15:16" x14ac:dyDescent="0.2">
      <c r="O1663" t="s">
        <v>1536</v>
      </c>
      <c r="P1663">
        <v>2023</v>
      </c>
    </row>
    <row r="1664" spans="15:16" x14ac:dyDescent="0.2">
      <c r="O1664" t="s">
        <v>1046</v>
      </c>
      <c r="P1664">
        <v>2023</v>
      </c>
    </row>
    <row r="1665" spans="15:16" x14ac:dyDescent="0.2">
      <c r="O1665" t="s">
        <v>270</v>
      </c>
      <c r="P1665">
        <v>2023</v>
      </c>
    </row>
    <row r="1666" spans="15:16" x14ac:dyDescent="0.2">
      <c r="O1666" t="s">
        <v>819</v>
      </c>
      <c r="P1666">
        <v>2023</v>
      </c>
    </row>
    <row r="1667" spans="15:16" x14ac:dyDescent="0.2">
      <c r="O1667" t="s">
        <v>891</v>
      </c>
      <c r="P1667">
        <v>2023</v>
      </c>
    </row>
    <row r="1668" spans="15:16" x14ac:dyDescent="0.2">
      <c r="O1668" t="s">
        <v>1620</v>
      </c>
      <c r="P1668">
        <v>2023</v>
      </c>
    </row>
    <row r="1669" spans="15:16" x14ac:dyDescent="0.2">
      <c r="O1669" t="s">
        <v>554</v>
      </c>
      <c r="P1669">
        <v>2023</v>
      </c>
    </row>
    <row r="1670" spans="15:16" x14ac:dyDescent="0.2">
      <c r="O1670" t="s">
        <v>243</v>
      </c>
      <c r="P1670">
        <v>2023</v>
      </c>
    </row>
    <row r="1671" spans="15:16" x14ac:dyDescent="0.2">
      <c r="O1671" t="s">
        <v>447</v>
      </c>
      <c r="P1671">
        <v>2023</v>
      </c>
    </row>
    <row r="1672" spans="15:16" x14ac:dyDescent="0.2">
      <c r="O1672" t="s">
        <v>1815</v>
      </c>
      <c r="P1672">
        <v>2023</v>
      </c>
    </row>
    <row r="1673" spans="15:16" x14ac:dyDescent="0.2">
      <c r="O1673" t="s">
        <v>808</v>
      </c>
      <c r="P1673">
        <v>2023</v>
      </c>
    </row>
    <row r="1674" spans="15:16" x14ac:dyDescent="0.2">
      <c r="O1674" t="s">
        <v>235</v>
      </c>
      <c r="P1674">
        <v>2023</v>
      </c>
    </row>
    <row r="1675" spans="15:16" x14ac:dyDescent="0.2">
      <c r="O1675" t="s">
        <v>1232</v>
      </c>
      <c r="P1675">
        <v>2023</v>
      </c>
    </row>
    <row r="1676" spans="15:16" x14ac:dyDescent="0.2">
      <c r="O1676" t="s">
        <v>925</v>
      </c>
      <c r="P1676">
        <v>2023</v>
      </c>
    </row>
    <row r="1677" spans="15:16" x14ac:dyDescent="0.2">
      <c r="O1677" t="s">
        <v>2128</v>
      </c>
      <c r="P1677">
        <v>2023</v>
      </c>
    </row>
    <row r="1678" spans="15:16" x14ac:dyDescent="0.2">
      <c r="O1678" t="s">
        <v>1707</v>
      </c>
      <c r="P1678">
        <v>2023</v>
      </c>
    </row>
    <row r="1679" spans="15:16" x14ac:dyDescent="0.2">
      <c r="O1679" t="s">
        <v>1618</v>
      </c>
      <c r="P1679">
        <v>2023</v>
      </c>
    </row>
    <row r="1680" spans="15:16" x14ac:dyDescent="0.2">
      <c r="O1680" t="s">
        <v>1918</v>
      </c>
      <c r="P1680">
        <v>2023</v>
      </c>
    </row>
    <row r="1681" spans="15:16" x14ac:dyDescent="0.2">
      <c r="O1681" t="s">
        <v>940</v>
      </c>
      <c r="P1681">
        <v>2023</v>
      </c>
    </row>
    <row r="1682" spans="15:16" x14ac:dyDescent="0.2">
      <c r="O1682" t="s">
        <v>2192</v>
      </c>
      <c r="P1682">
        <v>2023</v>
      </c>
    </row>
    <row r="1683" spans="15:16" x14ac:dyDescent="0.2">
      <c r="O1683" t="s">
        <v>1578</v>
      </c>
      <c r="P1683">
        <v>2023</v>
      </c>
    </row>
    <row r="1684" spans="15:16" x14ac:dyDescent="0.2">
      <c r="O1684" t="s">
        <v>624</v>
      </c>
      <c r="P1684">
        <v>2023</v>
      </c>
    </row>
    <row r="1685" spans="15:16" x14ac:dyDescent="0.2">
      <c r="O1685" t="s">
        <v>1933</v>
      </c>
      <c r="P1685">
        <v>2023</v>
      </c>
    </row>
    <row r="1686" spans="15:16" x14ac:dyDescent="0.2">
      <c r="O1686" t="s">
        <v>400</v>
      </c>
      <c r="P1686">
        <v>2023</v>
      </c>
    </row>
    <row r="1687" spans="15:16" x14ac:dyDescent="0.2">
      <c r="O1687" t="s">
        <v>52</v>
      </c>
      <c r="P1687">
        <v>2023</v>
      </c>
    </row>
    <row r="1688" spans="15:16" x14ac:dyDescent="0.2">
      <c r="O1688" t="s">
        <v>2114</v>
      </c>
      <c r="P1688">
        <v>2023</v>
      </c>
    </row>
    <row r="1689" spans="15:16" x14ac:dyDescent="0.2">
      <c r="O1689" t="s">
        <v>833</v>
      </c>
      <c r="P1689">
        <v>2023</v>
      </c>
    </row>
    <row r="1690" spans="15:16" x14ac:dyDescent="0.2">
      <c r="O1690" t="s">
        <v>1965</v>
      </c>
      <c r="P1690">
        <v>2023</v>
      </c>
    </row>
    <row r="1691" spans="15:16" x14ac:dyDescent="0.2">
      <c r="O1691" t="s">
        <v>859</v>
      </c>
      <c r="P1691">
        <v>2023</v>
      </c>
    </row>
    <row r="1692" spans="15:16" x14ac:dyDescent="0.2">
      <c r="O1692" t="s">
        <v>2407</v>
      </c>
      <c r="P1692">
        <v>2023</v>
      </c>
    </row>
    <row r="1693" spans="15:16" x14ac:dyDescent="0.2">
      <c r="O1693" t="s">
        <v>1415</v>
      </c>
      <c r="P1693">
        <v>2023</v>
      </c>
    </row>
    <row r="1694" spans="15:16" x14ac:dyDescent="0.2">
      <c r="O1694" t="s">
        <v>2035</v>
      </c>
      <c r="P1694">
        <v>2023</v>
      </c>
    </row>
    <row r="1695" spans="15:16" x14ac:dyDescent="0.2">
      <c r="O1695" t="s">
        <v>2328</v>
      </c>
      <c r="P1695">
        <v>2023</v>
      </c>
    </row>
    <row r="1696" spans="15:16" x14ac:dyDescent="0.2">
      <c r="O1696" t="s">
        <v>917</v>
      </c>
      <c r="P1696">
        <v>2023</v>
      </c>
    </row>
    <row r="1697" spans="15:16" x14ac:dyDescent="0.2">
      <c r="O1697" t="s">
        <v>1521</v>
      </c>
      <c r="P1697">
        <v>2023</v>
      </c>
    </row>
    <row r="1698" spans="15:16" x14ac:dyDescent="0.2">
      <c r="O1698" t="s">
        <v>609</v>
      </c>
      <c r="P1698">
        <v>2023</v>
      </c>
    </row>
    <row r="1699" spans="15:16" x14ac:dyDescent="0.2">
      <c r="O1699" t="s">
        <v>2348</v>
      </c>
      <c r="P1699">
        <v>2023</v>
      </c>
    </row>
    <row r="1700" spans="15:16" x14ac:dyDescent="0.2">
      <c r="O1700" t="s">
        <v>161</v>
      </c>
      <c r="P1700">
        <v>2023</v>
      </c>
    </row>
    <row r="1701" spans="15:16" x14ac:dyDescent="0.2">
      <c r="O1701" t="s">
        <v>2117</v>
      </c>
      <c r="P1701">
        <v>2023</v>
      </c>
    </row>
    <row r="1702" spans="15:16" x14ac:dyDescent="0.2">
      <c r="O1702" t="s">
        <v>1029</v>
      </c>
      <c r="P1702">
        <v>2023</v>
      </c>
    </row>
    <row r="1703" spans="15:16" x14ac:dyDescent="0.2">
      <c r="O1703" t="s">
        <v>1888</v>
      </c>
      <c r="P1703">
        <v>2023</v>
      </c>
    </row>
    <row r="1704" spans="15:16" x14ac:dyDescent="0.2">
      <c r="O1704" t="s">
        <v>2616</v>
      </c>
      <c r="P1704">
        <v>2023</v>
      </c>
    </row>
    <row r="1705" spans="15:16" x14ac:dyDescent="0.2">
      <c r="O1705" t="s">
        <v>661</v>
      </c>
      <c r="P1705">
        <v>2023</v>
      </c>
    </row>
    <row r="1706" spans="15:16" x14ac:dyDescent="0.2">
      <c r="O1706" t="s">
        <v>1564</v>
      </c>
      <c r="P1706">
        <v>2023</v>
      </c>
    </row>
    <row r="1707" spans="15:16" x14ac:dyDescent="0.2">
      <c r="O1707" t="s">
        <v>1099</v>
      </c>
      <c r="P1707">
        <v>2023</v>
      </c>
    </row>
    <row r="1708" spans="15:16" x14ac:dyDescent="0.2">
      <c r="O1708" t="s">
        <v>251</v>
      </c>
      <c r="P1708">
        <v>2023</v>
      </c>
    </row>
    <row r="1709" spans="15:16" x14ac:dyDescent="0.2">
      <c r="O1709" t="s">
        <v>1953</v>
      </c>
      <c r="P1709">
        <v>2023</v>
      </c>
    </row>
    <row r="1710" spans="15:16" x14ac:dyDescent="0.2">
      <c r="O1710" t="s">
        <v>790</v>
      </c>
      <c r="P1710">
        <v>2023</v>
      </c>
    </row>
    <row r="1711" spans="15:16" x14ac:dyDescent="0.2">
      <c r="O1711" t="s">
        <v>1115</v>
      </c>
      <c r="P1711">
        <v>2023</v>
      </c>
    </row>
    <row r="1712" spans="15:16" x14ac:dyDescent="0.2">
      <c r="O1712" t="s">
        <v>676</v>
      </c>
      <c r="P1712">
        <v>2023</v>
      </c>
    </row>
    <row r="1713" spans="15:16" x14ac:dyDescent="0.2">
      <c r="O1713" t="s">
        <v>870</v>
      </c>
      <c r="P1713">
        <v>2023</v>
      </c>
    </row>
    <row r="1714" spans="15:16" x14ac:dyDescent="0.2">
      <c r="O1714" t="s">
        <v>2164</v>
      </c>
      <c r="P1714">
        <v>2023</v>
      </c>
    </row>
    <row r="1715" spans="15:16" x14ac:dyDescent="0.2">
      <c r="O1715" t="s">
        <v>497</v>
      </c>
      <c r="P1715">
        <v>2023</v>
      </c>
    </row>
    <row r="1716" spans="15:16" x14ac:dyDescent="0.2">
      <c r="O1716" t="s">
        <v>2214</v>
      </c>
      <c r="P1716">
        <v>2023</v>
      </c>
    </row>
    <row r="1717" spans="15:16" x14ac:dyDescent="0.2">
      <c r="O1717" t="s">
        <v>811</v>
      </c>
      <c r="P1717">
        <v>2023</v>
      </c>
    </row>
    <row r="1718" spans="15:16" x14ac:dyDescent="0.2">
      <c r="O1718" t="s">
        <v>1504</v>
      </c>
      <c r="P1718">
        <v>2023</v>
      </c>
    </row>
    <row r="1719" spans="15:16" x14ac:dyDescent="0.2">
      <c r="O1719" t="s">
        <v>850</v>
      </c>
      <c r="P1719">
        <v>2023</v>
      </c>
    </row>
    <row r="1720" spans="15:16" x14ac:dyDescent="0.2">
      <c r="O1720" t="s">
        <v>1243</v>
      </c>
      <c r="P1720">
        <v>2023</v>
      </c>
    </row>
    <row r="1721" spans="15:16" x14ac:dyDescent="0.2">
      <c r="O1721" t="s">
        <v>805</v>
      </c>
      <c r="P1721">
        <v>2023</v>
      </c>
    </row>
    <row r="1722" spans="15:16" x14ac:dyDescent="0.2">
      <c r="O1722" t="s">
        <v>1340</v>
      </c>
      <c r="P1722">
        <v>2023</v>
      </c>
    </row>
    <row r="1723" spans="15:16" x14ac:dyDescent="0.2">
      <c r="O1723" t="s">
        <v>1410</v>
      </c>
      <c r="P1723">
        <v>2023</v>
      </c>
    </row>
    <row r="1724" spans="15:16" x14ac:dyDescent="0.2">
      <c r="O1724" t="s">
        <v>1277</v>
      </c>
      <c r="P1724">
        <v>2023</v>
      </c>
    </row>
    <row r="1725" spans="15:16" x14ac:dyDescent="0.2">
      <c r="O1725" t="s">
        <v>2181</v>
      </c>
      <c r="P1725">
        <v>2023</v>
      </c>
    </row>
    <row r="1726" spans="15:16" x14ac:dyDescent="0.2">
      <c r="O1726" t="s">
        <v>1813</v>
      </c>
      <c r="P1726">
        <v>2023</v>
      </c>
    </row>
    <row r="1727" spans="15:16" x14ac:dyDescent="0.2">
      <c r="O1727" t="s">
        <v>906</v>
      </c>
      <c r="P1727">
        <v>2023</v>
      </c>
    </row>
    <row r="1728" spans="15:16" x14ac:dyDescent="0.2">
      <c r="O1728" t="s">
        <v>2288</v>
      </c>
      <c r="P1728">
        <v>2023</v>
      </c>
    </row>
    <row r="1729" spans="15:16" x14ac:dyDescent="0.2">
      <c r="O1729" t="s">
        <v>1873</v>
      </c>
      <c r="P1729">
        <v>2023</v>
      </c>
    </row>
    <row r="1730" spans="15:16" x14ac:dyDescent="0.2">
      <c r="O1730" t="s">
        <v>1858</v>
      </c>
      <c r="P1730">
        <v>2023</v>
      </c>
    </row>
    <row r="1731" spans="15:16" x14ac:dyDescent="0.2">
      <c r="O1731" t="s">
        <v>645</v>
      </c>
      <c r="P1731">
        <v>2023</v>
      </c>
    </row>
    <row r="1732" spans="15:16" x14ac:dyDescent="0.2">
      <c r="O1732" t="s">
        <v>2149</v>
      </c>
      <c r="P1732">
        <v>2023</v>
      </c>
    </row>
    <row r="1733" spans="15:16" x14ac:dyDescent="0.2">
      <c r="O1733" t="s">
        <v>589</v>
      </c>
      <c r="P1733">
        <v>2023</v>
      </c>
    </row>
    <row r="1734" spans="15:16" x14ac:dyDescent="0.2">
      <c r="O1734" t="s">
        <v>212</v>
      </c>
      <c r="P1734">
        <v>2023</v>
      </c>
    </row>
    <row r="1735" spans="15:16" x14ac:dyDescent="0.2">
      <c r="O1735" t="s">
        <v>277</v>
      </c>
      <c r="P1735">
        <v>2023</v>
      </c>
    </row>
    <row r="1736" spans="15:16" x14ac:dyDescent="0.2">
      <c r="O1736" t="s">
        <v>2105</v>
      </c>
      <c r="P1736">
        <v>2023</v>
      </c>
    </row>
    <row r="1737" spans="15:16" x14ac:dyDescent="0.2">
      <c r="O1737" t="s">
        <v>1053</v>
      </c>
      <c r="P1737">
        <v>2023</v>
      </c>
    </row>
    <row r="1738" spans="15:16" x14ac:dyDescent="0.2">
      <c r="O1738" t="s">
        <v>873</v>
      </c>
      <c r="P1738">
        <v>2023</v>
      </c>
    </row>
    <row r="1739" spans="15:16" x14ac:dyDescent="0.2">
      <c r="O1739" t="s">
        <v>2626</v>
      </c>
      <c r="P1739">
        <v>2023</v>
      </c>
    </row>
    <row r="1740" spans="15:16" x14ac:dyDescent="0.2">
      <c r="O1740" t="s">
        <v>2627</v>
      </c>
      <c r="P1740">
        <v>2023</v>
      </c>
    </row>
    <row r="1741" spans="15:16" x14ac:dyDescent="0.2">
      <c r="O1741" t="s">
        <v>2629</v>
      </c>
      <c r="P1741">
        <v>2023</v>
      </c>
    </row>
    <row r="1742" spans="15:16" x14ac:dyDescent="0.2">
      <c r="O1742" t="s">
        <v>1086</v>
      </c>
      <c r="P1742">
        <v>2023</v>
      </c>
    </row>
    <row r="1743" spans="15:16" x14ac:dyDescent="0.2">
      <c r="O1743" t="s">
        <v>1576</v>
      </c>
      <c r="P1743">
        <v>2023</v>
      </c>
    </row>
    <row r="1744" spans="15:16" x14ac:dyDescent="0.2">
      <c r="O1744" t="s">
        <v>639</v>
      </c>
      <c r="P1744">
        <v>2023</v>
      </c>
    </row>
    <row r="1745" spans="15:16" x14ac:dyDescent="0.2">
      <c r="O1745" t="s">
        <v>246</v>
      </c>
      <c r="P1745">
        <v>2023</v>
      </c>
    </row>
    <row r="1746" spans="15:16" x14ac:dyDescent="0.2">
      <c r="O1746" t="s">
        <v>2398</v>
      </c>
      <c r="P1746">
        <v>2023</v>
      </c>
    </row>
    <row r="1747" spans="15:16" x14ac:dyDescent="0.2">
      <c r="O1747" t="s">
        <v>1169</v>
      </c>
      <c r="P1747">
        <v>2023</v>
      </c>
    </row>
    <row r="1748" spans="15:16" x14ac:dyDescent="0.2">
      <c r="O1748" t="s">
        <v>549</v>
      </c>
      <c r="P1748">
        <v>2023</v>
      </c>
    </row>
    <row r="1749" spans="15:16" x14ac:dyDescent="0.2">
      <c r="O1749" t="s">
        <v>92</v>
      </c>
      <c r="P1749">
        <v>2023</v>
      </c>
    </row>
    <row r="1750" spans="15:16" x14ac:dyDescent="0.2">
      <c r="O1750" t="s">
        <v>961</v>
      </c>
      <c r="P1750">
        <v>2023</v>
      </c>
    </row>
    <row r="1751" spans="15:16" x14ac:dyDescent="0.2">
      <c r="O1751" t="s">
        <v>348</v>
      </c>
      <c r="P1751">
        <v>2023</v>
      </c>
    </row>
    <row r="1752" spans="15:16" x14ac:dyDescent="0.2">
      <c r="O1752" t="s">
        <v>1200</v>
      </c>
      <c r="P1752">
        <v>2023</v>
      </c>
    </row>
    <row r="1753" spans="15:16" x14ac:dyDescent="0.2">
      <c r="O1753" t="s">
        <v>1329</v>
      </c>
      <c r="P1753">
        <v>2023</v>
      </c>
    </row>
    <row r="1754" spans="15:16" x14ac:dyDescent="0.2">
      <c r="O1754" t="s">
        <v>439</v>
      </c>
      <c r="P1754">
        <v>2023</v>
      </c>
    </row>
    <row r="1755" spans="15:16" x14ac:dyDescent="0.2">
      <c r="O1755" t="s">
        <v>1485</v>
      </c>
      <c r="P1755">
        <v>2023</v>
      </c>
    </row>
    <row r="1756" spans="15:16" x14ac:dyDescent="0.2">
      <c r="O1756" t="s">
        <v>1101</v>
      </c>
      <c r="P1756">
        <v>2023</v>
      </c>
    </row>
    <row r="1757" spans="15:16" x14ac:dyDescent="0.2">
      <c r="O1757" t="s">
        <v>419</v>
      </c>
      <c r="P1757">
        <v>2023</v>
      </c>
    </row>
    <row r="1758" spans="15:16" x14ac:dyDescent="0.2">
      <c r="O1758" t="s">
        <v>1701</v>
      </c>
      <c r="P1758">
        <v>2023</v>
      </c>
    </row>
    <row r="1759" spans="15:16" x14ac:dyDescent="0.2">
      <c r="O1759" t="s">
        <v>2633</v>
      </c>
      <c r="P1759">
        <v>2023</v>
      </c>
    </row>
    <row r="1760" spans="15:16" x14ac:dyDescent="0.2">
      <c r="O1760" t="s">
        <v>2634</v>
      </c>
      <c r="P1760">
        <v>2023</v>
      </c>
    </row>
    <row r="1761" spans="15:16" x14ac:dyDescent="0.2">
      <c r="O1761" t="s">
        <v>682</v>
      </c>
      <c r="P1761">
        <v>2023</v>
      </c>
    </row>
    <row r="1762" spans="15:16" x14ac:dyDescent="0.2">
      <c r="O1762" t="s">
        <v>1793</v>
      </c>
      <c r="P1762">
        <v>2023</v>
      </c>
    </row>
    <row r="1763" spans="15:16" x14ac:dyDescent="0.2">
      <c r="O1763" t="s">
        <v>1459</v>
      </c>
      <c r="P1763">
        <v>2023</v>
      </c>
    </row>
    <row r="1764" spans="15:16" x14ac:dyDescent="0.2">
      <c r="O1764" t="s">
        <v>937</v>
      </c>
      <c r="P1764">
        <v>2023</v>
      </c>
    </row>
    <row r="1765" spans="15:16" x14ac:dyDescent="0.2">
      <c r="O1765" t="s">
        <v>354</v>
      </c>
      <c r="P1765">
        <v>2023</v>
      </c>
    </row>
    <row r="1766" spans="15:16" x14ac:dyDescent="0.2">
      <c r="O1766" t="s">
        <v>2641</v>
      </c>
      <c r="P1766">
        <v>2023</v>
      </c>
    </row>
    <row r="1767" spans="15:16" x14ac:dyDescent="0.2">
      <c r="O1767" t="s">
        <v>56</v>
      </c>
      <c r="P1767">
        <v>2023</v>
      </c>
    </row>
    <row r="1768" spans="15:16" x14ac:dyDescent="0.2">
      <c r="O1768" t="s">
        <v>1011</v>
      </c>
      <c r="P1768">
        <v>2023</v>
      </c>
    </row>
    <row r="1769" spans="15:16" x14ac:dyDescent="0.2">
      <c r="O1769" t="s">
        <v>677</v>
      </c>
      <c r="P1769">
        <v>2023</v>
      </c>
    </row>
    <row r="1770" spans="15:16" x14ac:dyDescent="0.2">
      <c r="O1770" t="s">
        <v>1018</v>
      </c>
      <c r="P1770">
        <v>2023</v>
      </c>
    </row>
    <row r="1771" spans="15:16" x14ac:dyDescent="0.2">
      <c r="O1771" t="s">
        <v>1663</v>
      </c>
      <c r="P1771">
        <v>2023</v>
      </c>
    </row>
    <row r="1772" spans="15:16" x14ac:dyDescent="0.2">
      <c r="O1772" t="s">
        <v>256</v>
      </c>
      <c r="P1772">
        <v>2023</v>
      </c>
    </row>
    <row r="1773" spans="15:16" x14ac:dyDescent="0.2">
      <c r="O1773" t="s">
        <v>1497</v>
      </c>
      <c r="P1773">
        <v>2023</v>
      </c>
    </row>
    <row r="1774" spans="15:16" x14ac:dyDescent="0.2">
      <c r="O1774" t="s">
        <v>1803</v>
      </c>
      <c r="P1774">
        <v>2023</v>
      </c>
    </row>
    <row r="1775" spans="15:16" x14ac:dyDescent="0.2">
      <c r="O1775" t="s">
        <v>1625</v>
      </c>
      <c r="P1775">
        <v>2023</v>
      </c>
    </row>
    <row r="1776" spans="15:16" x14ac:dyDescent="0.2">
      <c r="O1776" t="s">
        <v>1480</v>
      </c>
      <c r="P1776">
        <v>2023</v>
      </c>
    </row>
    <row r="1777" spans="15:16" x14ac:dyDescent="0.2">
      <c r="O1777" t="s">
        <v>2315</v>
      </c>
      <c r="P1777">
        <v>2023</v>
      </c>
    </row>
    <row r="1778" spans="15:16" x14ac:dyDescent="0.2">
      <c r="O1778" t="s">
        <v>365</v>
      </c>
      <c r="P1778">
        <v>2023</v>
      </c>
    </row>
    <row r="1779" spans="15:16" x14ac:dyDescent="0.2">
      <c r="O1779" t="s">
        <v>740</v>
      </c>
      <c r="P1779">
        <v>2023</v>
      </c>
    </row>
    <row r="1780" spans="15:16" x14ac:dyDescent="0.2">
      <c r="O1780" t="s">
        <v>2643</v>
      </c>
      <c r="P1780">
        <v>2023</v>
      </c>
    </row>
    <row r="1781" spans="15:16" x14ac:dyDescent="0.2">
      <c r="O1781" t="s">
        <v>575</v>
      </c>
      <c r="P1781">
        <v>2023</v>
      </c>
    </row>
    <row r="1782" spans="15:16" x14ac:dyDescent="0.2">
      <c r="O1782" t="s">
        <v>403</v>
      </c>
      <c r="P1782">
        <v>2023</v>
      </c>
    </row>
    <row r="1783" spans="15:16" x14ac:dyDescent="0.2">
      <c r="O1783" t="s">
        <v>2284</v>
      </c>
      <c r="P1783">
        <v>2023</v>
      </c>
    </row>
    <row r="1784" spans="15:16" x14ac:dyDescent="0.2">
      <c r="O1784" t="s">
        <v>1251</v>
      </c>
      <c r="P1784">
        <v>2023</v>
      </c>
    </row>
    <row r="1785" spans="15:16" x14ac:dyDescent="0.2">
      <c r="O1785" t="s">
        <v>612</v>
      </c>
      <c r="P1785">
        <v>2023</v>
      </c>
    </row>
    <row r="1786" spans="15:16" x14ac:dyDescent="0.2">
      <c r="O1786" t="s">
        <v>1359</v>
      </c>
      <c r="P1786">
        <v>2023</v>
      </c>
    </row>
    <row r="1787" spans="15:16" x14ac:dyDescent="0.2">
      <c r="O1787" t="s">
        <v>881</v>
      </c>
      <c r="P1787">
        <v>2023</v>
      </c>
    </row>
    <row r="1788" spans="15:16" x14ac:dyDescent="0.2">
      <c r="O1788" t="s">
        <v>1802</v>
      </c>
      <c r="P1788">
        <v>2023</v>
      </c>
    </row>
    <row r="1789" spans="15:16" x14ac:dyDescent="0.2">
      <c r="O1789" t="s">
        <v>1550</v>
      </c>
      <c r="P1789">
        <v>2023</v>
      </c>
    </row>
    <row r="1790" spans="15:16" x14ac:dyDescent="0.2">
      <c r="O1790" t="s">
        <v>1275</v>
      </c>
      <c r="P1790">
        <v>2023</v>
      </c>
    </row>
    <row r="1791" spans="15:16" x14ac:dyDescent="0.2">
      <c r="O1791" t="s">
        <v>1937</v>
      </c>
      <c r="P1791">
        <v>2023</v>
      </c>
    </row>
    <row r="1792" spans="15:16" x14ac:dyDescent="0.2">
      <c r="O1792" t="s">
        <v>480</v>
      </c>
      <c r="P1792">
        <v>2023</v>
      </c>
    </row>
    <row r="1793" spans="15:16" x14ac:dyDescent="0.2">
      <c r="O1793" t="s">
        <v>2390</v>
      </c>
      <c r="P1793">
        <v>2023</v>
      </c>
    </row>
    <row r="1794" spans="15:16" x14ac:dyDescent="0.2">
      <c r="O1794" t="s">
        <v>1740</v>
      </c>
      <c r="P1794">
        <v>2023</v>
      </c>
    </row>
    <row r="1795" spans="15:16" x14ac:dyDescent="0.2">
      <c r="O1795" t="s">
        <v>220</v>
      </c>
      <c r="P1795">
        <v>2023</v>
      </c>
    </row>
    <row r="1796" spans="15:16" x14ac:dyDescent="0.2">
      <c r="O1796" t="s">
        <v>141</v>
      </c>
      <c r="P1796">
        <v>2023</v>
      </c>
    </row>
    <row r="1797" spans="15:16" x14ac:dyDescent="0.2">
      <c r="O1797" t="s">
        <v>1801</v>
      </c>
      <c r="P1797">
        <v>2023</v>
      </c>
    </row>
    <row r="1798" spans="15:16" x14ac:dyDescent="0.2">
      <c r="O1798" t="s">
        <v>1682</v>
      </c>
      <c r="P1798">
        <v>2023</v>
      </c>
    </row>
    <row r="1799" spans="15:16" x14ac:dyDescent="0.2">
      <c r="O1799" t="s">
        <v>745</v>
      </c>
      <c r="P1799">
        <v>2023</v>
      </c>
    </row>
    <row r="1800" spans="15:16" x14ac:dyDescent="0.2">
      <c r="O1800" t="s">
        <v>1912</v>
      </c>
      <c r="P1800">
        <v>2023</v>
      </c>
    </row>
    <row r="1801" spans="15:16" x14ac:dyDescent="0.2">
      <c r="O1801" t="s">
        <v>603</v>
      </c>
      <c r="P1801">
        <v>2023</v>
      </c>
    </row>
    <row r="1802" spans="15:16" x14ac:dyDescent="0.2">
      <c r="O1802" t="s">
        <v>1174</v>
      </c>
      <c r="P1802">
        <v>2023</v>
      </c>
    </row>
    <row r="1803" spans="15:16" x14ac:dyDescent="0.2">
      <c r="O1803" t="s">
        <v>2199</v>
      </c>
      <c r="P1803">
        <v>2023</v>
      </c>
    </row>
    <row r="1804" spans="15:16" x14ac:dyDescent="0.2">
      <c r="O1804" t="s">
        <v>285</v>
      </c>
      <c r="P1804">
        <v>2023</v>
      </c>
    </row>
    <row r="1805" spans="15:16" x14ac:dyDescent="0.2">
      <c r="O1805" t="s">
        <v>380</v>
      </c>
      <c r="P1805">
        <v>2023</v>
      </c>
    </row>
    <row r="1806" spans="15:16" x14ac:dyDescent="0.2">
      <c r="O1806" t="s">
        <v>2653</v>
      </c>
      <c r="P1806">
        <v>2023</v>
      </c>
    </row>
    <row r="1807" spans="15:16" x14ac:dyDescent="0.2">
      <c r="O1807" t="s">
        <v>826</v>
      </c>
      <c r="P1807">
        <v>2023</v>
      </c>
    </row>
    <row r="1808" spans="15:16" x14ac:dyDescent="0.2">
      <c r="O1808" t="s">
        <v>187</v>
      </c>
      <c r="P1808">
        <v>2024</v>
      </c>
    </row>
    <row r="1809" spans="15:16" x14ac:dyDescent="0.2">
      <c r="O1809" t="s">
        <v>770</v>
      </c>
      <c r="P1809">
        <v>2024</v>
      </c>
    </row>
    <row r="1810" spans="15:16" x14ac:dyDescent="0.2">
      <c r="O1810" t="s">
        <v>912</v>
      </c>
      <c r="P1810">
        <v>2024</v>
      </c>
    </row>
    <row r="1811" spans="15:16" x14ac:dyDescent="0.2">
      <c r="O1811" t="s">
        <v>2474</v>
      </c>
      <c r="P1811">
        <v>2024</v>
      </c>
    </row>
    <row r="1812" spans="15:16" x14ac:dyDescent="0.2">
      <c r="O1812" t="s">
        <v>1035</v>
      </c>
      <c r="P1812">
        <v>2024</v>
      </c>
    </row>
    <row r="1813" spans="15:16" x14ac:dyDescent="0.2">
      <c r="O1813" t="s">
        <v>1912</v>
      </c>
      <c r="P1813">
        <v>2024</v>
      </c>
    </row>
    <row r="1814" spans="15:16" x14ac:dyDescent="0.2">
      <c r="O1814" t="s">
        <v>1973</v>
      </c>
      <c r="P1814">
        <v>2024</v>
      </c>
    </row>
    <row r="1815" spans="15:16" x14ac:dyDescent="0.2">
      <c r="O1815" t="s">
        <v>87</v>
      </c>
      <c r="P1815">
        <v>2024</v>
      </c>
    </row>
    <row r="1816" spans="15:16" x14ac:dyDescent="0.2">
      <c r="O1816" t="s">
        <v>1950</v>
      </c>
      <c r="P1816">
        <v>2024</v>
      </c>
    </row>
    <row r="1817" spans="15:16" x14ac:dyDescent="0.2">
      <c r="O1817" t="s">
        <v>1965</v>
      </c>
      <c r="P1817">
        <v>2024</v>
      </c>
    </row>
    <row r="1818" spans="15:16" x14ac:dyDescent="0.2">
      <c r="O1818" t="s">
        <v>2166</v>
      </c>
      <c r="P1818">
        <v>2024</v>
      </c>
    </row>
    <row r="1819" spans="15:16" x14ac:dyDescent="0.2">
      <c r="O1819" t="s">
        <v>1625</v>
      </c>
      <c r="P1819">
        <v>2024</v>
      </c>
    </row>
    <row r="1820" spans="15:16" x14ac:dyDescent="0.2">
      <c r="O1820" t="s">
        <v>1072</v>
      </c>
      <c r="P1820">
        <v>2024</v>
      </c>
    </row>
    <row r="1821" spans="15:16" x14ac:dyDescent="0.2">
      <c r="O1821" t="s">
        <v>1425</v>
      </c>
      <c r="P1821">
        <v>2024</v>
      </c>
    </row>
    <row r="1822" spans="15:16" x14ac:dyDescent="0.2">
      <c r="O1822" t="s">
        <v>566</v>
      </c>
      <c r="P1822">
        <v>2024</v>
      </c>
    </row>
    <row r="1823" spans="15:16" x14ac:dyDescent="0.2">
      <c r="O1823" t="s">
        <v>2044</v>
      </c>
      <c r="P1823">
        <v>2024</v>
      </c>
    </row>
    <row r="1824" spans="15:16" x14ac:dyDescent="0.2">
      <c r="O1824" t="s">
        <v>2055</v>
      </c>
      <c r="P1824">
        <v>2024</v>
      </c>
    </row>
    <row r="1825" spans="15:16" x14ac:dyDescent="0.2">
      <c r="O1825" t="s">
        <v>1746</v>
      </c>
      <c r="P1825">
        <v>2024</v>
      </c>
    </row>
    <row r="1826" spans="15:16" x14ac:dyDescent="0.2">
      <c r="O1826" t="s">
        <v>2505</v>
      </c>
      <c r="P1826">
        <v>2024</v>
      </c>
    </row>
    <row r="1827" spans="15:16" x14ac:dyDescent="0.2">
      <c r="O1827" t="s">
        <v>1933</v>
      </c>
      <c r="P1827">
        <v>2024</v>
      </c>
    </row>
    <row r="1828" spans="15:16" x14ac:dyDescent="0.2">
      <c r="O1828" t="s">
        <v>798</v>
      </c>
      <c r="P1828">
        <v>2024</v>
      </c>
    </row>
    <row r="1829" spans="15:16" x14ac:dyDescent="0.2">
      <c r="O1829" t="s">
        <v>2286</v>
      </c>
      <c r="P1829">
        <v>2024</v>
      </c>
    </row>
    <row r="1830" spans="15:16" x14ac:dyDescent="0.2">
      <c r="O1830" t="s">
        <v>230</v>
      </c>
      <c r="P1830">
        <v>2024</v>
      </c>
    </row>
    <row r="1831" spans="15:16" x14ac:dyDescent="0.2">
      <c r="O1831" t="s">
        <v>2536</v>
      </c>
      <c r="P1831">
        <v>2024</v>
      </c>
    </row>
    <row r="1832" spans="15:16" x14ac:dyDescent="0.2">
      <c r="O1832" t="s">
        <v>195</v>
      </c>
      <c r="P1832">
        <v>2024</v>
      </c>
    </row>
    <row r="1833" spans="15:16" x14ac:dyDescent="0.2">
      <c r="O1833" t="s">
        <v>2387</v>
      </c>
      <c r="P1833">
        <v>2024</v>
      </c>
    </row>
    <row r="1834" spans="15:16" x14ac:dyDescent="0.2">
      <c r="O1834" t="s">
        <v>1764</v>
      </c>
      <c r="P1834">
        <v>2024</v>
      </c>
    </row>
    <row r="1835" spans="15:16" x14ac:dyDescent="0.2">
      <c r="O1835" t="s">
        <v>31</v>
      </c>
      <c r="P1835">
        <v>2024</v>
      </c>
    </row>
    <row r="1836" spans="15:16" x14ac:dyDescent="0.2">
      <c r="O1836" t="s">
        <v>1707</v>
      </c>
      <c r="P1836">
        <v>2024</v>
      </c>
    </row>
    <row r="1837" spans="15:16" x14ac:dyDescent="0.2">
      <c r="O1837" t="s">
        <v>886</v>
      </c>
      <c r="P1837">
        <v>2024</v>
      </c>
    </row>
    <row r="1838" spans="15:16" x14ac:dyDescent="0.2">
      <c r="O1838" t="s">
        <v>2633</v>
      </c>
      <c r="P1838">
        <v>2024</v>
      </c>
    </row>
    <row r="1839" spans="15:16" x14ac:dyDescent="0.2">
      <c r="O1839" t="s">
        <v>657</v>
      </c>
      <c r="P1839">
        <v>2024</v>
      </c>
    </row>
    <row r="1840" spans="15:16" x14ac:dyDescent="0.2">
      <c r="O1840" t="s">
        <v>2520</v>
      </c>
      <c r="P1840">
        <v>2024</v>
      </c>
    </row>
    <row r="1841" spans="15:16" x14ac:dyDescent="0.2">
      <c r="O1841" t="s">
        <v>1394</v>
      </c>
      <c r="P1841">
        <v>2024</v>
      </c>
    </row>
    <row r="1842" spans="15:16" x14ac:dyDescent="0.2">
      <c r="O1842" t="s">
        <v>219</v>
      </c>
      <c r="P1842">
        <v>2024</v>
      </c>
    </row>
    <row r="1843" spans="15:16" x14ac:dyDescent="0.2">
      <c r="O1843" t="s">
        <v>1489</v>
      </c>
      <c r="P1843">
        <v>2024</v>
      </c>
    </row>
    <row r="1844" spans="15:16" x14ac:dyDescent="0.2">
      <c r="O1844" t="s">
        <v>1618</v>
      </c>
      <c r="P1844">
        <v>2024</v>
      </c>
    </row>
    <row r="1845" spans="15:16" x14ac:dyDescent="0.2">
      <c r="O1845" t="s">
        <v>930</v>
      </c>
      <c r="P1845">
        <v>2024</v>
      </c>
    </row>
    <row r="1846" spans="15:16" x14ac:dyDescent="0.2">
      <c r="O1846" t="s">
        <v>1813</v>
      </c>
      <c r="P1846">
        <v>2024</v>
      </c>
    </row>
    <row r="1847" spans="15:16" x14ac:dyDescent="0.2">
      <c r="O1847" t="s">
        <v>2587</v>
      </c>
      <c r="P1847">
        <v>2024</v>
      </c>
    </row>
    <row r="1848" spans="15:16" x14ac:dyDescent="0.2">
      <c r="O1848" t="s">
        <v>2446</v>
      </c>
      <c r="P1848">
        <v>2024</v>
      </c>
    </row>
    <row r="1849" spans="15:16" x14ac:dyDescent="0.2">
      <c r="O1849" t="s">
        <v>1667</v>
      </c>
      <c r="P1849">
        <v>2024</v>
      </c>
    </row>
    <row r="1850" spans="15:16" x14ac:dyDescent="0.2">
      <c r="O1850" t="s">
        <v>527</v>
      </c>
      <c r="P1850">
        <v>2024</v>
      </c>
    </row>
    <row r="1851" spans="15:16" x14ac:dyDescent="0.2">
      <c r="O1851" t="s">
        <v>348</v>
      </c>
      <c r="P1851">
        <v>2024</v>
      </c>
    </row>
    <row r="1852" spans="15:16" x14ac:dyDescent="0.2">
      <c r="O1852" t="s">
        <v>63</v>
      </c>
      <c r="P1852">
        <v>2024</v>
      </c>
    </row>
    <row r="1853" spans="15:16" x14ac:dyDescent="0.2">
      <c r="O1853" t="s">
        <v>628</v>
      </c>
      <c r="P1853">
        <v>2024</v>
      </c>
    </row>
    <row r="1854" spans="15:16" x14ac:dyDescent="0.2">
      <c r="O1854" t="s">
        <v>2023</v>
      </c>
      <c r="P1854">
        <v>2024</v>
      </c>
    </row>
    <row r="1855" spans="15:16" x14ac:dyDescent="0.2">
      <c r="O1855" t="s">
        <v>1396</v>
      </c>
      <c r="P1855">
        <v>2024</v>
      </c>
    </row>
    <row r="1856" spans="15:16" x14ac:dyDescent="0.2">
      <c r="O1856" t="s">
        <v>141</v>
      </c>
      <c r="P1856">
        <v>2024</v>
      </c>
    </row>
    <row r="1857" spans="15:16" x14ac:dyDescent="0.2">
      <c r="O1857" t="s">
        <v>2288</v>
      </c>
      <c r="P1857">
        <v>2024</v>
      </c>
    </row>
    <row r="1858" spans="15:16" x14ac:dyDescent="0.2">
      <c r="O1858" t="s">
        <v>2457</v>
      </c>
      <c r="P1858">
        <v>2024</v>
      </c>
    </row>
    <row r="1859" spans="15:16" x14ac:dyDescent="0.2">
      <c r="O1859" t="s">
        <v>158</v>
      </c>
      <c r="P1859">
        <v>2024</v>
      </c>
    </row>
    <row r="1860" spans="15:16" x14ac:dyDescent="0.2">
      <c r="O1860" t="s">
        <v>683</v>
      </c>
      <c r="P1860">
        <v>2024</v>
      </c>
    </row>
    <row r="1861" spans="15:16" x14ac:dyDescent="0.2">
      <c r="O1861" t="s">
        <v>1947</v>
      </c>
      <c r="P1861">
        <v>2024</v>
      </c>
    </row>
    <row r="1862" spans="15:16" x14ac:dyDescent="0.2">
      <c r="O1862" t="s">
        <v>571</v>
      </c>
      <c r="P1862">
        <v>2024</v>
      </c>
    </row>
    <row r="1863" spans="15:16" x14ac:dyDescent="0.2">
      <c r="O1863" t="s">
        <v>2113</v>
      </c>
      <c r="P1863">
        <v>2024</v>
      </c>
    </row>
    <row r="1864" spans="15:16" x14ac:dyDescent="0.2">
      <c r="O1864" t="s">
        <v>2503</v>
      </c>
      <c r="P1864">
        <v>2024</v>
      </c>
    </row>
    <row r="1865" spans="15:16" x14ac:dyDescent="0.2">
      <c r="O1865" t="s">
        <v>1842</v>
      </c>
      <c r="P1865">
        <v>2024</v>
      </c>
    </row>
    <row r="1866" spans="15:16" x14ac:dyDescent="0.2">
      <c r="O1866" t="s">
        <v>1095</v>
      </c>
      <c r="P1866">
        <v>2024</v>
      </c>
    </row>
    <row r="1867" spans="15:16" x14ac:dyDescent="0.2">
      <c r="O1867" t="s">
        <v>439</v>
      </c>
      <c r="P1867">
        <v>2024</v>
      </c>
    </row>
    <row r="1868" spans="15:16" x14ac:dyDescent="0.2">
      <c r="O1868" t="s">
        <v>2458</v>
      </c>
      <c r="P1868">
        <v>2024</v>
      </c>
    </row>
    <row r="1869" spans="15:16" x14ac:dyDescent="0.2">
      <c r="O1869" t="s">
        <v>1979</v>
      </c>
      <c r="P1869">
        <v>2024</v>
      </c>
    </row>
    <row r="1870" spans="15:16" x14ac:dyDescent="0.2">
      <c r="O1870" t="s">
        <v>79</v>
      </c>
      <c r="P1870">
        <v>2024</v>
      </c>
    </row>
    <row r="1871" spans="15:16" x14ac:dyDescent="0.2">
      <c r="O1871" t="s">
        <v>1496</v>
      </c>
      <c r="P1871">
        <v>2024</v>
      </c>
    </row>
    <row r="1872" spans="15:16" x14ac:dyDescent="0.2">
      <c r="O1872" t="s">
        <v>624</v>
      </c>
      <c r="P1872">
        <v>2024</v>
      </c>
    </row>
    <row r="1873" spans="15:16" x14ac:dyDescent="0.2">
      <c r="O1873" t="s">
        <v>2542</v>
      </c>
      <c r="P1873">
        <v>2024</v>
      </c>
    </row>
    <row r="1874" spans="15:16" x14ac:dyDescent="0.2">
      <c r="O1874" t="s">
        <v>1225</v>
      </c>
      <c r="P1874">
        <v>2024</v>
      </c>
    </row>
    <row r="1875" spans="15:16" x14ac:dyDescent="0.2">
      <c r="O1875" t="s">
        <v>1165</v>
      </c>
      <c r="P1875">
        <v>2024</v>
      </c>
    </row>
    <row r="1876" spans="15:16" x14ac:dyDescent="0.2">
      <c r="O1876" t="s">
        <v>539</v>
      </c>
      <c r="P1876">
        <v>2024</v>
      </c>
    </row>
    <row r="1877" spans="15:16" x14ac:dyDescent="0.2">
      <c r="O1877" t="s">
        <v>2425</v>
      </c>
      <c r="P1877">
        <v>2024</v>
      </c>
    </row>
    <row r="1878" spans="15:16" x14ac:dyDescent="0.2">
      <c r="O1878" t="s">
        <v>1740</v>
      </c>
      <c r="P1878">
        <v>2024</v>
      </c>
    </row>
    <row r="1879" spans="15:16" x14ac:dyDescent="0.2">
      <c r="O1879" t="s">
        <v>235</v>
      </c>
      <c r="P1879">
        <v>2024</v>
      </c>
    </row>
    <row r="1880" spans="15:16" x14ac:dyDescent="0.2">
      <c r="O1880" t="s">
        <v>1515</v>
      </c>
      <c r="P1880">
        <v>2024</v>
      </c>
    </row>
    <row r="1881" spans="15:16" x14ac:dyDescent="0.2">
      <c r="O1881" t="s">
        <v>2296</v>
      </c>
      <c r="P1881">
        <v>2024</v>
      </c>
    </row>
    <row r="1882" spans="15:16" x14ac:dyDescent="0.2">
      <c r="O1882" t="s">
        <v>354</v>
      </c>
      <c r="P1882">
        <v>2024</v>
      </c>
    </row>
    <row r="1883" spans="15:16" x14ac:dyDescent="0.2">
      <c r="O1883" t="s">
        <v>1448</v>
      </c>
      <c r="P1883">
        <v>2024</v>
      </c>
    </row>
    <row r="1884" spans="15:16" x14ac:dyDescent="0.2">
      <c r="O1884" t="s">
        <v>109</v>
      </c>
      <c r="P1884">
        <v>2024</v>
      </c>
    </row>
    <row r="1885" spans="15:16" x14ac:dyDescent="0.2">
      <c r="O1885" t="s">
        <v>1465</v>
      </c>
      <c r="P1885">
        <v>2024</v>
      </c>
    </row>
    <row r="1886" spans="15:16" x14ac:dyDescent="0.2">
      <c r="O1886" t="s">
        <v>2119</v>
      </c>
      <c r="P1886">
        <v>2024</v>
      </c>
    </row>
    <row r="1887" spans="15:16" x14ac:dyDescent="0.2">
      <c r="O1887" t="s">
        <v>2367</v>
      </c>
      <c r="P1887">
        <v>2024</v>
      </c>
    </row>
    <row r="1888" spans="15:16" x14ac:dyDescent="0.2">
      <c r="O1888" t="s">
        <v>199</v>
      </c>
      <c r="P1888">
        <v>2024</v>
      </c>
    </row>
    <row r="1889" spans="15:16" x14ac:dyDescent="0.2">
      <c r="O1889" t="s">
        <v>786</v>
      </c>
      <c r="P1889">
        <v>2024</v>
      </c>
    </row>
    <row r="1890" spans="15:16" x14ac:dyDescent="0.2">
      <c r="O1890" t="s">
        <v>403</v>
      </c>
      <c r="P1890">
        <v>2024</v>
      </c>
    </row>
    <row r="1891" spans="15:16" x14ac:dyDescent="0.2">
      <c r="O1891" t="s">
        <v>206</v>
      </c>
      <c r="P1891">
        <v>2024</v>
      </c>
    </row>
    <row r="1892" spans="15:16" x14ac:dyDescent="0.2">
      <c r="O1892" t="s">
        <v>661</v>
      </c>
      <c r="P1892">
        <v>2024</v>
      </c>
    </row>
    <row r="1893" spans="15:16" x14ac:dyDescent="0.2">
      <c r="O1893" t="s">
        <v>1790</v>
      </c>
      <c r="P1893">
        <v>2024</v>
      </c>
    </row>
    <row r="1894" spans="15:16" x14ac:dyDescent="0.2">
      <c r="O1894" t="s">
        <v>1133</v>
      </c>
      <c r="P1894">
        <v>2024</v>
      </c>
    </row>
    <row r="1895" spans="15:16" x14ac:dyDescent="0.2">
      <c r="O1895" t="s">
        <v>738</v>
      </c>
      <c r="P1895">
        <v>2024</v>
      </c>
    </row>
    <row r="1896" spans="15:16" x14ac:dyDescent="0.2">
      <c r="O1896" t="s">
        <v>2211</v>
      </c>
      <c r="P1896">
        <v>2024</v>
      </c>
    </row>
    <row r="1897" spans="15:16" x14ac:dyDescent="0.2">
      <c r="O1897" t="s">
        <v>525</v>
      </c>
      <c r="P1897">
        <v>2024</v>
      </c>
    </row>
    <row r="1898" spans="15:16" x14ac:dyDescent="0.2">
      <c r="O1898" t="s">
        <v>1163</v>
      </c>
      <c r="P1898">
        <v>2024</v>
      </c>
    </row>
    <row r="1899" spans="15:16" x14ac:dyDescent="0.2">
      <c r="O1899" t="s">
        <v>937</v>
      </c>
      <c r="P1899">
        <v>2024</v>
      </c>
    </row>
    <row r="1900" spans="15:16" x14ac:dyDescent="0.2">
      <c r="O1900" t="s">
        <v>1029</v>
      </c>
      <c r="P1900">
        <v>2024</v>
      </c>
    </row>
    <row r="1901" spans="15:16" x14ac:dyDescent="0.2">
      <c r="O1901" t="s">
        <v>1698</v>
      </c>
      <c r="P1901">
        <v>2024</v>
      </c>
    </row>
    <row r="1902" spans="15:16" x14ac:dyDescent="0.2">
      <c r="O1902" t="s">
        <v>227</v>
      </c>
      <c r="P1902">
        <v>2024</v>
      </c>
    </row>
    <row r="1903" spans="15:16" x14ac:dyDescent="0.2">
      <c r="O1903" t="s">
        <v>1549</v>
      </c>
      <c r="P1903">
        <v>2024</v>
      </c>
    </row>
    <row r="1904" spans="15:16" x14ac:dyDescent="0.2">
      <c r="O1904" t="s">
        <v>592</v>
      </c>
      <c r="P1904">
        <v>2024</v>
      </c>
    </row>
    <row r="1905" spans="15:16" x14ac:dyDescent="0.2">
      <c r="O1905" t="s">
        <v>927</v>
      </c>
      <c r="P1905">
        <v>2024</v>
      </c>
    </row>
    <row r="1906" spans="15:16" x14ac:dyDescent="0.2">
      <c r="O1906" t="s">
        <v>1902</v>
      </c>
      <c r="P1906">
        <v>2024</v>
      </c>
    </row>
    <row r="1907" spans="15:16" x14ac:dyDescent="0.2">
      <c r="O1907" t="s">
        <v>295</v>
      </c>
      <c r="P1907">
        <v>2024</v>
      </c>
    </row>
    <row r="1908" spans="15:16" x14ac:dyDescent="0.2">
      <c r="O1908" t="s">
        <v>243</v>
      </c>
      <c r="P1908">
        <v>2024</v>
      </c>
    </row>
    <row r="1909" spans="15:16" x14ac:dyDescent="0.2">
      <c r="O1909" t="s">
        <v>947</v>
      </c>
      <c r="P1909">
        <v>2024</v>
      </c>
    </row>
    <row r="1910" spans="15:16" x14ac:dyDescent="0.2">
      <c r="O1910" t="s">
        <v>1099</v>
      </c>
      <c r="P1910">
        <v>2024</v>
      </c>
    </row>
    <row r="1911" spans="15:16" x14ac:dyDescent="0.2">
      <c r="O1911" t="s">
        <v>2273</v>
      </c>
      <c r="P1911">
        <v>2024</v>
      </c>
    </row>
    <row r="1912" spans="15:16" x14ac:dyDescent="0.2">
      <c r="O1912" t="s">
        <v>1371</v>
      </c>
      <c r="P1912">
        <v>2024</v>
      </c>
    </row>
    <row r="1913" spans="15:16" x14ac:dyDescent="0.2">
      <c r="O1913" t="s">
        <v>790</v>
      </c>
      <c r="P1913">
        <v>2024</v>
      </c>
    </row>
    <row r="1914" spans="15:16" x14ac:dyDescent="0.2">
      <c r="O1914" t="s">
        <v>975</v>
      </c>
      <c r="P1914">
        <v>2024</v>
      </c>
    </row>
    <row r="1915" spans="15:16" x14ac:dyDescent="0.2">
      <c r="O1915" t="s">
        <v>1935</v>
      </c>
      <c r="P1915">
        <v>2024</v>
      </c>
    </row>
    <row r="1916" spans="15:16" x14ac:dyDescent="0.2">
      <c r="O1916" t="s">
        <v>2248</v>
      </c>
      <c r="P1916">
        <v>2024</v>
      </c>
    </row>
    <row r="1917" spans="15:16" x14ac:dyDescent="0.2">
      <c r="O1917" t="s">
        <v>2320</v>
      </c>
      <c r="P1917">
        <v>2024</v>
      </c>
    </row>
    <row r="1918" spans="15:16" x14ac:dyDescent="0.2">
      <c r="O1918" t="s">
        <v>1419</v>
      </c>
      <c r="P1918">
        <v>2024</v>
      </c>
    </row>
    <row r="1919" spans="15:16" x14ac:dyDescent="0.2">
      <c r="O1919" t="s">
        <v>923</v>
      </c>
      <c r="P1919">
        <v>2024</v>
      </c>
    </row>
    <row r="1920" spans="15:16" x14ac:dyDescent="0.2">
      <c r="O1920" t="s">
        <v>979</v>
      </c>
      <c r="P1920">
        <v>2024</v>
      </c>
    </row>
    <row r="1921" spans="15:16" x14ac:dyDescent="0.2">
      <c r="O1921" t="s">
        <v>697</v>
      </c>
      <c r="P1921">
        <v>2024</v>
      </c>
    </row>
    <row r="1922" spans="15:16" x14ac:dyDescent="0.2">
      <c r="O1922" t="s">
        <v>1236</v>
      </c>
      <c r="P1922">
        <v>2024</v>
      </c>
    </row>
    <row r="1923" spans="15:16" x14ac:dyDescent="0.2">
      <c r="O1923" t="s">
        <v>229</v>
      </c>
      <c r="P1923">
        <v>2024</v>
      </c>
    </row>
    <row r="1924" spans="15:16" x14ac:dyDescent="0.2">
      <c r="O1924" t="s">
        <v>826</v>
      </c>
      <c r="P1924">
        <v>2024</v>
      </c>
    </row>
    <row r="1925" spans="15:16" x14ac:dyDescent="0.2">
      <c r="O1925" t="s">
        <v>2126</v>
      </c>
      <c r="P1925">
        <v>2024</v>
      </c>
    </row>
    <row r="1926" spans="15:16" x14ac:dyDescent="0.2">
      <c r="O1926" t="s">
        <v>2300</v>
      </c>
      <c r="P1926">
        <v>2024</v>
      </c>
    </row>
    <row r="1927" spans="15:16" x14ac:dyDescent="0.2">
      <c r="O1927" t="s">
        <v>558</v>
      </c>
      <c r="P1927">
        <v>2024</v>
      </c>
    </row>
    <row r="1928" spans="15:16" x14ac:dyDescent="0.2">
      <c r="O1928" t="s">
        <v>1322</v>
      </c>
      <c r="P1928">
        <v>2024</v>
      </c>
    </row>
    <row r="1929" spans="15:16" x14ac:dyDescent="0.2">
      <c r="O1929" t="s">
        <v>2244</v>
      </c>
      <c r="P1929">
        <v>2024</v>
      </c>
    </row>
    <row r="1930" spans="15:16" x14ac:dyDescent="0.2">
      <c r="O1930" t="s">
        <v>492</v>
      </c>
      <c r="P1930">
        <v>2024</v>
      </c>
    </row>
    <row r="1931" spans="15:16" x14ac:dyDescent="0.2">
      <c r="O1931" t="s">
        <v>773</v>
      </c>
      <c r="P1931">
        <v>2024</v>
      </c>
    </row>
    <row r="1932" spans="15:16" x14ac:dyDescent="0.2">
      <c r="O1932" t="s">
        <v>917</v>
      </c>
      <c r="P1932">
        <v>2024</v>
      </c>
    </row>
    <row r="1933" spans="15:16" x14ac:dyDescent="0.2">
      <c r="O1933" t="s">
        <v>145</v>
      </c>
      <c r="P1933">
        <v>2024</v>
      </c>
    </row>
    <row r="1934" spans="15:16" x14ac:dyDescent="0.2">
      <c r="O1934" t="s">
        <v>1519</v>
      </c>
      <c r="P1934">
        <v>2024</v>
      </c>
    </row>
    <row r="1935" spans="15:16" x14ac:dyDescent="0.2">
      <c r="O1935" t="s">
        <v>1793</v>
      </c>
      <c r="P1935">
        <v>2024</v>
      </c>
    </row>
    <row r="1936" spans="15:16" x14ac:dyDescent="0.2">
      <c r="O1936" t="s">
        <v>11</v>
      </c>
      <c r="P1936">
        <v>2024</v>
      </c>
    </row>
    <row r="1937" spans="15:16" x14ac:dyDescent="0.2">
      <c r="O1937" t="s">
        <v>1595</v>
      </c>
      <c r="P1937">
        <v>2024</v>
      </c>
    </row>
    <row r="1938" spans="15:16" x14ac:dyDescent="0.2">
      <c r="O1938" t="s">
        <v>1375</v>
      </c>
      <c r="P1938">
        <v>2024</v>
      </c>
    </row>
    <row r="1939" spans="15:16" x14ac:dyDescent="0.2">
      <c r="O1939" t="s">
        <v>1885</v>
      </c>
      <c r="P1939">
        <v>2024</v>
      </c>
    </row>
    <row r="1940" spans="15:16" x14ac:dyDescent="0.2">
      <c r="O1940" t="s">
        <v>2659</v>
      </c>
      <c r="P1940">
        <v>2024</v>
      </c>
    </row>
    <row r="1941" spans="15:16" x14ac:dyDescent="0.2">
      <c r="O1941" t="s">
        <v>532</v>
      </c>
      <c r="P1941">
        <v>2024</v>
      </c>
    </row>
    <row r="1942" spans="15:16" x14ac:dyDescent="0.2">
      <c r="O1942" t="s">
        <v>1773</v>
      </c>
      <c r="P1942">
        <v>2024</v>
      </c>
    </row>
    <row r="1943" spans="15:16" x14ac:dyDescent="0.2">
      <c r="O1943" t="s">
        <v>2117</v>
      </c>
      <c r="P1943">
        <v>2024</v>
      </c>
    </row>
    <row r="1944" spans="15:16" x14ac:dyDescent="0.2">
      <c r="O1944" t="s">
        <v>2449</v>
      </c>
      <c r="P1944">
        <v>2024</v>
      </c>
    </row>
    <row r="1945" spans="15:16" x14ac:dyDescent="0.2">
      <c r="O1945" t="s">
        <v>1865</v>
      </c>
      <c r="P1945">
        <v>2024</v>
      </c>
    </row>
    <row r="1946" spans="15:16" x14ac:dyDescent="0.2">
      <c r="O1946" t="s">
        <v>1550</v>
      </c>
      <c r="P1946">
        <v>2024</v>
      </c>
    </row>
    <row r="1947" spans="15:16" x14ac:dyDescent="0.2">
      <c r="O1947" t="s">
        <v>2164</v>
      </c>
      <c r="P1947">
        <v>2024</v>
      </c>
    </row>
    <row r="1948" spans="15:16" x14ac:dyDescent="0.2">
      <c r="O1948" t="s">
        <v>1725</v>
      </c>
      <c r="P1948">
        <v>2024</v>
      </c>
    </row>
    <row r="1949" spans="15:16" x14ac:dyDescent="0.2">
      <c r="O1949" t="s">
        <v>2512</v>
      </c>
      <c r="P1949">
        <v>2024</v>
      </c>
    </row>
    <row r="1950" spans="15:16" x14ac:dyDescent="0.2">
      <c r="O1950" t="s">
        <v>1180</v>
      </c>
      <c r="P1950">
        <v>2024</v>
      </c>
    </row>
    <row r="1951" spans="15:16" x14ac:dyDescent="0.2">
      <c r="O1951" t="s">
        <v>1900</v>
      </c>
      <c r="P1951">
        <v>2024</v>
      </c>
    </row>
    <row r="1952" spans="15:16" x14ac:dyDescent="0.2">
      <c r="O1952" t="s">
        <v>1620</v>
      </c>
      <c r="P1952">
        <v>2024</v>
      </c>
    </row>
    <row r="1953" spans="15:16" x14ac:dyDescent="0.2">
      <c r="O1953" t="s">
        <v>1573</v>
      </c>
      <c r="P1953">
        <v>2024</v>
      </c>
    </row>
    <row r="1954" spans="15:16" x14ac:dyDescent="0.2">
      <c r="O1954" t="s">
        <v>2109</v>
      </c>
      <c r="P1954">
        <v>2024</v>
      </c>
    </row>
    <row r="1955" spans="15:16" x14ac:dyDescent="0.2">
      <c r="O1955" t="s">
        <v>578</v>
      </c>
      <c r="P1955">
        <v>2024</v>
      </c>
    </row>
    <row r="1956" spans="15:16" x14ac:dyDescent="0.2">
      <c r="O1956" t="s">
        <v>949</v>
      </c>
      <c r="P1956">
        <v>2024</v>
      </c>
    </row>
    <row r="1957" spans="15:16" x14ac:dyDescent="0.2">
      <c r="O1957" t="s">
        <v>454</v>
      </c>
      <c r="P1957">
        <v>2024</v>
      </c>
    </row>
    <row r="1958" spans="15:16" x14ac:dyDescent="0.2">
      <c r="O1958" t="s">
        <v>1724</v>
      </c>
      <c r="P1958">
        <v>2024</v>
      </c>
    </row>
    <row r="1959" spans="15:16" x14ac:dyDescent="0.2">
      <c r="O1959" t="s">
        <v>1387</v>
      </c>
      <c r="P1959">
        <v>2024</v>
      </c>
    </row>
    <row r="1960" spans="15:16" x14ac:dyDescent="0.2">
      <c r="O1960" t="s">
        <v>1586</v>
      </c>
      <c r="P1960">
        <v>2024</v>
      </c>
    </row>
    <row r="1961" spans="15:16" x14ac:dyDescent="0.2">
      <c r="O1961" t="s">
        <v>511</v>
      </c>
      <c r="P1961">
        <v>2024</v>
      </c>
    </row>
    <row r="1962" spans="15:16" x14ac:dyDescent="0.2">
      <c r="O1962" t="s">
        <v>2383</v>
      </c>
      <c r="P1962">
        <v>2024</v>
      </c>
    </row>
    <row r="1963" spans="15:16" x14ac:dyDescent="0.2">
      <c r="O1963" t="s">
        <v>2431</v>
      </c>
      <c r="P1963">
        <v>2024</v>
      </c>
    </row>
    <row r="1964" spans="15:16" x14ac:dyDescent="0.2">
      <c r="O1964" t="s">
        <v>2321</v>
      </c>
      <c r="P1964">
        <v>2024</v>
      </c>
    </row>
    <row r="1965" spans="15:16" x14ac:dyDescent="0.2">
      <c r="O1965" t="s">
        <v>485</v>
      </c>
      <c r="P1965">
        <v>2024</v>
      </c>
    </row>
    <row r="1966" spans="15:16" x14ac:dyDescent="0.2">
      <c r="O1966" t="s">
        <v>1279</v>
      </c>
      <c r="P1966">
        <v>2024</v>
      </c>
    </row>
    <row r="1967" spans="15:16" x14ac:dyDescent="0.2">
      <c r="O1967" t="s">
        <v>494</v>
      </c>
      <c r="P1967">
        <v>2024</v>
      </c>
    </row>
    <row r="1968" spans="15:16" x14ac:dyDescent="0.2">
      <c r="O1968" t="s">
        <v>1101</v>
      </c>
      <c r="P1968">
        <v>2024</v>
      </c>
    </row>
    <row r="1969" spans="15:16" x14ac:dyDescent="0.2">
      <c r="O1969" t="s">
        <v>1679</v>
      </c>
      <c r="P1969">
        <v>2024</v>
      </c>
    </row>
    <row r="1970" spans="15:16" x14ac:dyDescent="0.2">
      <c r="O1970" t="s">
        <v>258</v>
      </c>
      <c r="P1970">
        <v>2024</v>
      </c>
    </row>
    <row r="1971" spans="15:16" x14ac:dyDescent="0.2">
      <c r="O1971" t="s">
        <v>2185</v>
      </c>
      <c r="P1971">
        <v>2024</v>
      </c>
    </row>
    <row r="1972" spans="15:16" x14ac:dyDescent="0.2">
      <c r="O1972" t="s">
        <v>2190</v>
      </c>
      <c r="P1972">
        <v>2024</v>
      </c>
    </row>
    <row r="1973" spans="15:16" x14ac:dyDescent="0.2">
      <c r="O1973" t="s">
        <v>1046</v>
      </c>
      <c r="P1973">
        <v>2024</v>
      </c>
    </row>
    <row r="1974" spans="15:16" x14ac:dyDescent="0.2">
      <c r="O1974" t="s">
        <v>2634</v>
      </c>
      <c r="P1974">
        <v>2024</v>
      </c>
    </row>
    <row r="1975" spans="15:16" x14ac:dyDescent="0.2">
      <c r="O1975" t="s">
        <v>2090</v>
      </c>
      <c r="P1975">
        <v>2024</v>
      </c>
    </row>
    <row r="1976" spans="15:16" x14ac:dyDescent="0.2">
      <c r="O1976" t="s">
        <v>277</v>
      </c>
      <c r="P1976">
        <v>2024</v>
      </c>
    </row>
    <row r="1977" spans="15:16" x14ac:dyDescent="0.2">
      <c r="O1977" t="s">
        <v>1373</v>
      </c>
      <c r="P1977">
        <v>2024</v>
      </c>
    </row>
    <row r="1978" spans="15:16" x14ac:dyDescent="0.2">
      <c r="O1978" t="s">
        <v>1459</v>
      </c>
      <c r="P1978">
        <v>2024</v>
      </c>
    </row>
    <row r="1979" spans="15:16" x14ac:dyDescent="0.2">
      <c r="O1979" t="s">
        <v>1673</v>
      </c>
      <c r="P1979">
        <v>2024</v>
      </c>
    </row>
    <row r="1980" spans="15:16" x14ac:dyDescent="0.2">
      <c r="O1980" t="s">
        <v>2102</v>
      </c>
      <c r="P1980">
        <v>2024</v>
      </c>
    </row>
    <row r="1981" spans="15:16" x14ac:dyDescent="0.2">
      <c r="O1981" t="s">
        <v>71</v>
      </c>
      <c r="P1981">
        <v>2024</v>
      </c>
    </row>
    <row r="1982" spans="15:16" x14ac:dyDescent="0.2">
      <c r="O1982" t="s">
        <v>220</v>
      </c>
      <c r="P1982">
        <v>2024</v>
      </c>
    </row>
    <row r="1983" spans="15:16" x14ac:dyDescent="0.2">
      <c r="O1983" t="s">
        <v>1395</v>
      </c>
      <c r="P1983">
        <v>2024</v>
      </c>
    </row>
    <row r="1984" spans="15:16" x14ac:dyDescent="0.2">
      <c r="O1984" t="s">
        <v>1361</v>
      </c>
      <c r="P1984">
        <v>2024</v>
      </c>
    </row>
    <row r="1985" spans="15:16" x14ac:dyDescent="0.2">
      <c r="O1985" t="s">
        <v>210</v>
      </c>
      <c r="P1985">
        <v>2024</v>
      </c>
    </row>
    <row r="1986" spans="15:16" x14ac:dyDescent="0.2">
      <c r="O1986" t="s">
        <v>985</v>
      </c>
      <c r="P1986">
        <v>2024</v>
      </c>
    </row>
    <row r="1987" spans="15:16" x14ac:dyDescent="0.2">
      <c r="O1987" t="s">
        <v>594</v>
      </c>
      <c r="P1987">
        <v>2024</v>
      </c>
    </row>
    <row r="1988" spans="15:16" x14ac:dyDescent="0.2">
      <c r="O1988" t="s">
        <v>673</v>
      </c>
      <c r="P1988">
        <v>2024</v>
      </c>
    </row>
    <row r="1989" spans="15:16" x14ac:dyDescent="0.2">
      <c r="O1989" t="s">
        <v>2552</v>
      </c>
      <c r="P1989">
        <v>2024</v>
      </c>
    </row>
    <row r="1990" spans="15:16" x14ac:dyDescent="0.2">
      <c r="O1990" t="s">
        <v>535</v>
      </c>
      <c r="P1990">
        <v>2024</v>
      </c>
    </row>
    <row r="1991" spans="15:16" x14ac:dyDescent="0.2">
      <c r="O1991" t="s">
        <v>2434</v>
      </c>
      <c r="P1991">
        <v>2024</v>
      </c>
    </row>
    <row r="1992" spans="15:16" x14ac:dyDescent="0.2">
      <c r="O1992" t="s">
        <v>1476</v>
      </c>
      <c r="P1992">
        <v>2024</v>
      </c>
    </row>
    <row r="1993" spans="15:16" x14ac:dyDescent="0.2">
      <c r="O1993" t="s">
        <v>1802</v>
      </c>
      <c r="P1993">
        <v>2024</v>
      </c>
    </row>
    <row r="1994" spans="15:16" x14ac:dyDescent="0.2">
      <c r="O1994" t="s">
        <v>452</v>
      </c>
      <c r="P1994">
        <v>2024</v>
      </c>
    </row>
    <row r="1995" spans="15:16" x14ac:dyDescent="0.2">
      <c r="O1995" t="s">
        <v>2261</v>
      </c>
      <c r="P1995">
        <v>2024</v>
      </c>
    </row>
    <row r="1996" spans="15:16" x14ac:dyDescent="0.2">
      <c r="O1996" t="s">
        <v>2476</v>
      </c>
      <c r="P1996">
        <v>2024</v>
      </c>
    </row>
    <row r="1997" spans="15:16" x14ac:dyDescent="0.2">
      <c r="O1997" t="s">
        <v>925</v>
      </c>
      <c r="P1997">
        <v>2024</v>
      </c>
    </row>
    <row r="1998" spans="15:16" x14ac:dyDescent="0.2">
      <c r="O1998" t="s">
        <v>1690</v>
      </c>
      <c r="P1998">
        <v>2024</v>
      </c>
    </row>
    <row r="1999" spans="15:16" x14ac:dyDescent="0.2">
      <c r="O1999" t="s">
        <v>1303</v>
      </c>
      <c r="P1999">
        <v>2024</v>
      </c>
    </row>
    <row r="2000" spans="15:16" x14ac:dyDescent="0.2">
      <c r="O2000" t="s">
        <v>396</v>
      </c>
      <c r="P2000">
        <v>2024</v>
      </c>
    </row>
    <row r="2001" spans="15:16" x14ac:dyDescent="0.2">
      <c r="O2001" t="s">
        <v>1637</v>
      </c>
      <c r="P2001">
        <v>2024</v>
      </c>
    </row>
    <row r="2002" spans="15:16" x14ac:dyDescent="0.2">
      <c r="O2002" t="s">
        <v>287</v>
      </c>
      <c r="P2002">
        <v>2024</v>
      </c>
    </row>
    <row r="2003" spans="15:16" x14ac:dyDescent="0.2">
      <c r="O2003" t="s">
        <v>365</v>
      </c>
      <c r="P2003">
        <v>2024</v>
      </c>
    </row>
    <row r="2004" spans="15:16" x14ac:dyDescent="0.2">
      <c r="O2004" t="s">
        <v>2328</v>
      </c>
      <c r="P2004">
        <v>2024</v>
      </c>
    </row>
    <row r="2005" spans="15:16" x14ac:dyDescent="0.2">
      <c r="O2005" t="s">
        <v>2663</v>
      </c>
      <c r="P2005">
        <v>2024</v>
      </c>
    </row>
    <row r="2006" spans="15:16" x14ac:dyDescent="0.2">
      <c r="O2006" t="s">
        <v>2408</v>
      </c>
      <c r="P2006">
        <v>2024</v>
      </c>
    </row>
    <row r="2007" spans="15:16" x14ac:dyDescent="0.2">
      <c r="O2007" t="s">
        <v>815</v>
      </c>
      <c r="P2007">
        <v>2024</v>
      </c>
    </row>
    <row r="2008" spans="15:16" x14ac:dyDescent="0.2">
      <c r="O2008" t="s">
        <v>666</v>
      </c>
      <c r="P2008">
        <v>2024</v>
      </c>
    </row>
    <row r="2009" spans="15:16" x14ac:dyDescent="0.2">
      <c r="O2009" t="s">
        <v>2093</v>
      </c>
      <c r="P2009">
        <v>2024</v>
      </c>
    </row>
    <row r="2010" spans="15:16" x14ac:dyDescent="0.2">
      <c r="O2010" t="s">
        <v>2062</v>
      </c>
      <c r="P2010">
        <v>2024</v>
      </c>
    </row>
    <row r="2011" spans="15:16" x14ac:dyDescent="0.2">
      <c r="O2011" t="s">
        <v>178</v>
      </c>
      <c r="P2011">
        <v>2024</v>
      </c>
    </row>
    <row r="2012" spans="15:16" x14ac:dyDescent="0.2">
      <c r="O2012" t="s">
        <v>1671</v>
      </c>
      <c r="P2012">
        <v>2024</v>
      </c>
    </row>
    <row r="2013" spans="15:16" x14ac:dyDescent="0.2">
      <c r="O2013" t="s">
        <v>2667</v>
      </c>
      <c r="P2013">
        <v>2024</v>
      </c>
    </row>
    <row r="2014" spans="15:16" x14ac:dyDescent="0.2">
      <c r="O2014" t="s">
        <v>2103</v>
      </c>
      <c r="P2014">
        <v>2024</v>
      </c>
    </row>
    <row r="2015" spans="15:16" x14ac:dyDescent="0.2">
      <c r="O2015" t="s">
        <v>34</v>
      </c>
      <c r="P2015">
        <v>2024</v>
      </c>
    </row>
    <row r="2016" spans="15:16" x14ac:dyDescent="0.2">
      <c r="O2016" t="s">
        <v>124</v>
      </c>
      <c r="P2016">
        <v>2024</v>
      </c>
    </row>
    <row r="2017" spans="15:16" x14ac:dyDescent="0.2">
      <c r="O2017" t="s">
        <v>1635</v>
      </c>
      <c r="P2017">
        <v>2024</v>
      </c>
    </row>
    <row r="2018" spans="15:16" x14ac:dyDescent="0.2">
      <c r="O2018" t="s">
        <v>591</v>
      </c>
      <c r="P2018">
        <v>2024</v>
      </c>
    </row>
    <row r="2019" spans="15:16" x14ac:dyDescent="0.2">
      <c r="O2019" t="s">
        <v>1988</v>
      </c>
      <c r="P2019">
        <v>2024</v>
      </c>
    </row>
    <row r="2020" spans="15:16" x14ac:dyDescent="0.2">
      <c r="O2020" t="s">
        <v>1428</v>
      </c>
      <c r="P2020">
        <v>2024</v>
      </c>
    </row>
    <row r="2021" spans="15:16" x14ac:dyDescent="0.2">
      <c r="O2021" t="s">
        <v>1509</v>
      </c>
      <c r="P2021">
        <v>2024</v>
      </c>
    </row>
    <row r="2022" spans="15:16" x14ac:dyDescent="0.2">
      <c r="O2022" t="s">
        <v>2315</v>
      </c>
      <c r="P2022">
        <v>2024</v>
      </c>
    </row>
    <row r="2023" spans="15:16" x14ac:dyDescent="0.2">
      <c r="O2023" t="s">
        <v>1468</v>
      </c>
      <c r="P2023">
        <v>2024</v>
      </c>
    </row>
    <row r="2024" spans="15:16" x14ac:dyDescent="0.2">
      <c r="O2024" t="s">
        <v>477</v>
      </c>
      <c r="P2024">
        <v>2024</v>
      </c>
    </row>
    <row r="2025" spans="15:16" x14ac:dyDescent="0.2">
      <c r="O2025" t="s">
        <v>1345</v>
      </c>
      <c r="P2025">
        <v>2024</v>
      </c>
    </row>
    <row r="2026" spans="15:16" x14ac:dyDescent="0.2">
      <c r="O2026" t="s">
        <v>1363</v>
      </c>
      <c r="P2026">
        <v>2024</v>
      </c>
    </row>
    <row r="2027" spans="15:16" x14ac:dyDescent="0.2">
      <c r="O2027" t="s">
        <v>1260</v>
      </c>
      <c r="P2027">
        <v>2024</v>
      </c>
    </row>
    <row r="2028" spans="15:16" x14ac:dyDescent="0.2">
      <c r="O2028" t="s">
        <v>1011</v>
      </c>
      <c r="P2028">
        <v>2024</v>
      </c>
    </row>
    <row r="2029" spans="15:16" x14ac:dyDescent="0.2">
      <c r="O2029" t="s">
        <v>204</v>
      </c>
      <c r="P2029">
        <v>2024</v>
      </c>
    </row>
    <row r="2030" spans="15:16" x14ac:dyDescent="0.2">
      <c r="O2030" t="s">
        <v>585</v>
      </c>
      <c r="P2030">
        <v>2024</v>
      </c>
    </row>
    <row r="2031" spans="15:16" x14ac:dyDescent="0.2">
      <c r="O2031" t="s">
        <v>1678</v>
      </c>
      <c r="P2031">
        <v>2024</v>
      </c>
    </row>
    <row r="2032" spans="15:16" x14ac:dyDescent="0.2">
      <c r="O2032" t="s">
        <v>1701</v>
      </c>
      <c r="P2032">
        <v>2024</v>
      </c>
    </row>
    <row r="2033" spans="15:16" x14ac:dyDescent="0.2">
      <c r="O2033" t="s">
        <v>1887</v>
      </c>
      <c r="P2033">
        <v>2024</v>
      </c>
    </row>
    <row r="2034" spans="15:16" x14ac:dyDescent="0.2">
      <c r="O2034" t="s">
        <v>598</v>
      </c>
      <c r="P2034">
        <v>2024</v>
      </c>
    </row>
    <row r="2035" spans="15:16" x14ac:dyDescent="0.2">
      <c r="O2035" t="s">
        <v>1530</v>
      </c>
      <c r="P2035">
        <v>2024</v>
      </c>
    </row>
    <row r="2036" spans="15:16" x14ac:dyDescent="0.2">
      <c r="O2036" t="s">
        <v>1284</v>
      </c>
      <c r="P2036">
        <v>2024</v>
      </c>
    </row>
    <row r="2037" spans="15:16" x14ac:dyDescent="0.2">
      <c r="O2037" t="s">
        <v>2582</v>
      </c>
      <c r="P2037">
        <v>2024</v>
      </c>
    </row>
    <row r="2038" spans="15:16" x14ac:dyDescent="0.2">
      <c r="O2038" t="s">
        <v>1113</v>
      </c>
      <c r="P2038">
        <v>2024</v>
      </c>
    </row>
    <row r="2039" spans="15:16" x14ac:dyDescent="0.2">
      <c r="O2039" t="s">
        <v>1385</v>
      </c>
      <c r="P2039">
        <v>2024</v>
      </c>
    </row>
    <row r="2040" spans="15:16" x14ac:dyDescent="0.2">
      <c r="O2040" t="s">
        <v>1557</v>
      </c>
      <c r="P2040">
        <v>2024</v>
      </c>
    </row>
    <row r="2041" spans="15:16" x14ac:dyDescent="0.2">
      <c r="O2041" t="s">
        <v>965</v>
      </c>
      <c r="P2041">
        <v>2024</v>
      </c>
    </row>
    <row r="2042" spans="15:16" x14ac:dyDescent="0.2">
      <c r="O2042" t="s">
        <v>2272</v>
      </c>
      <c r="P2042">
        <v>2024</v>
      </c>
    </row>
    <row r="2043" spans="15:16" x14ac:dyDescent="0.2">
      <c r="O2043" t="s">
        <v>1014</v>
      </c>
      <c r="P2043">
        <v>2024</v>
      </c>
    </row>
    <row r="2044" spans="15:16" x14ac:dyDescent="0.2">
      <c r="O2044" t="s">
        <v>1521</v>
      </c>
      <c r="P2044">
        <v>2024</v>
      </c>
    </row>
    <row r="2045" spans="15:16" x14ac:dyDescent="0.2">
      <c r="O2045" t="s">
        <v>1431</v>
      </c>
      <c r="P2045">
        <v>2024</v>
      </c>
    </row>
    <row r="2046" spans="15:16" x14ac:dyDescent="0.2">
      <c r="O2046" t="s">
        <v>2671</v>
      </c>
      <c r="P2046">
        <v>2024</v>
      </c>
    </row>
    <row r="2047" spans="15:16" x14ac:dyDescent="0.2">
      <c r="O2047" t="s">
        <v>1665</v>
      </c>
      <c r="P2047">
        <v>2024</v>
      </c>
    </row>
    <row r="2048" spans="15:16" x14ac:dyDescent="0.2">
      <c r="O2048" t="s">
        <v>677</v>
      </c>
      <c r="P2048">
        <v>2024</v>
      </c>
    </row>
    <row r="2049" spans="15:16" x14ac:dyDescent="0.2">
      <c r="O2049" t="s">
        <v>1288</v>
      </c>
      <c r="P2049">
        <v>2024</v>
      </c>
    </row>
    <row r="2050" spans="15:16" x14ac:dyDescent="0.2">
      <c r="O2050" t="s">
        <v>345</v>
      </c>
      <c r="P2050">
        <v>2024</v>
      </c>
    </row>
    <row r="2051" spans="15:16" x14ac:dyDescent="0.2">
      <c r="O2051" t="s">
        <v>967</v>
      </c>
      <c r="P2051">
        <v>2024</v>
      </c>
    </row>
    <row r="2052" spans="15:16" x14ac:dyDescent="0.2">
      <c r="O2052" t="s">
        <v>2279</v>
      </c>
      <c r="P2052">
        <v>2024</v>
      </c>
    </row>
    <row r="2053" spans="15:16" x14ac:dyDescent="0.2">
      <c r="O2053" t="s">
        <v>2096</v>
      </c>
      <c r="P2053">
        <v>2024</v>
      </c>
    </row>
    <row r="2054" spans="15:16" x14ac:dyDescent="0.2">
      <c r="O2054" t="s">
        <v>885</v>
      </c>
      <c r="P2054">
        <v>2024</v>
      </c>
    </row>
    <row r="2055" spans="15:16" x14ac:dyDescent="0.2">
      <c r="O2055" t="s">
        <v>1893</v>
      </c>
      <c r="P2055">
        <v>2024</v>
      </c>
    </row>
    <row r="2056" spans="15:16" x14ac:dyDescent="0.2">
      <c r="O2056" t="s">
        <v>2207</v>
      </c>
      <c r="P2056">
        <v>2024</v>
      </c>
    </row>
    <row r="2057" spans="15:16" x14ac:dyDescent="0.2">
      <c r="O2057" t="s">
        <v>1124</v>
      </c>
      <c r="P2057">
        <v>2024</v>
      </c>
    </row>
    <row r="2058" spans="15:16" x14ac:dyDescent="0.2">
      <c r="O2058" t="s">
        <v>994</v>
      </c>
      <c r="P2058">
        <v>2024</v>
      </c>
    </row>
    <row r="2059" spans="15:16" x14ac:dyDescent="0.2">
      <c r="O2059" t="s">
        <v>614</v>
      </c>
      <c r="P2059">
        <v>2024</v>
      </c>
    </row>
    <row r="2060" spans="15:16" x14ac:dyDescent="0.2">
      <c r="O2060" t="s">
        <v>1633</v>
      </c>
      <c r="P2060">
        <v>2024</v>
      </c>
    </row>
    <row r="2061" spans="15:16" x14ac:dyDescent="0.2">
      <c r="O2061" t="s">
        <v>875</v>
      </c>
      <c r="P2061">
        <v>2024</v>
      </c>
    </row>
    <row r="2062" spans="15:16" x14ac:dyDescent="0.2">
      <c r="O2062" t="s">
        <v>133</v>
      </c>
      <c r="P2062">
        <v>2024</v>
      </c>
    </row>
    <row r="2063" spans="15:16" x14ac:dyDescent="0.2">
      <c r="O2063" t="s">
        <v>1543</v>
      </c>
      <c r="P2063">
        <v>2024</v>
      </c>
    </row>
    <row r="2064" spans="15:16" x14ac:dyDescent="0.2">
      <c r="O2064" t="s">
        <v>1612</v>
      </c>
      <c r="P2064">
        <v>2024</v>
      </c>
    </row>
    <row r="2065" spans="15:16" x14ac:dyDescent="0.2">
      <c r="O2065" t="s">
        <v>859</v>
      </c>
      <c r="P2065">
        <v>2024</v>
      </c>
    </row>
    <row r="2066" spans="15:16" x14ac:dyDescent="0.2">
      <c r="O2066" t="s">
        <v>1948</v>
      </c>
      <c r="P2066">
        <v>2024</v>
      </c>
    </row>
    <row r="2067" spans="15:16" x14ac:dyDescent="0.2">
      <c r="O2067" t="s">
        <v>1959</v>
      </c>
      <c r="P2067">
        <v>2024</v>
      </c>
    </row>
    <row r="2068" spans="15:16" x14ac:dyDescent="0.2">
      <c r="O2068" t="s">
        <v>817</v>
      </c>
      <c r="P2068">
        <v>2024</v>
      </c>
    </row>
    <row r="2069" spans="15:16" x14ac:dyDescent="0.2">
      <c r="O2069" t="s">
        <v>378</v>
      </c>
      <c r="P2069">
        <v>2024</v>
      </c>
    </row>
    <row r="2070" spans="15:16" x14ac:dyDescent="0.2">
      <c r="O2070" t="s">
        <v>822</v>
      </c>
      <c r="P2070">
        <v>2024</v>
      </c>
    </row>
    <row r="2071" spans="15:16" x14ac:dyDescent="0.2">
      <c r="O2071" t="s">
        <v>2246</v>
      </c>
      <c r="P2071">
        <v>2024</v>
      </c>
    </row>
    <row r="2072" spans="15:16" x14ac:dyDescent="0.2">
      <c r="O2072" t="s">
        <v>1918</v>
      </c>
      <c r="P2072">
        <v>2024</v>
      </c>
    </row>
    <row r="2073" spans="15:16" x14ac:dyDescent="0.2">
      <c r="O2073" t="s">
        <v>2176</v>
      </c>
      <c r="P2073">
        <v>2024</v>
      </c>
    </row>
    <row r="2074" spans="15:16" x14ac:dyDescent="0.2">
      <c r="O2074" t="s">
        <v>1200</v>
      </c>
      <c r="P2074">
        <v>2024</v>
      </c>
    </row>
    <row r="2075" spans="15:16" x14ac:dyDescent="0.2">
      <c r="O2075" t="s">
        <v>714</v>
      </c>
      <c r="P2075">
        <v>2024</v>
      </c>
    </row>
    <row r="2076" spans="15:16" x14ac:dyDescent="0.2">
      <c r="O2076" t="s">
        <v>2199</v>
      </c>
      <c r="P2076">
        <v>2024</v>
      </c>
    </row>
    <row r="2077" spans="15:16" x14ac:dyDescent="0.2">
      <c r="O2077" t="s">
        <v>1738</v>
      </c>
      <c r="P2077">
        <v>2024</v>
      </c>
    </row>
    <row r="2078" spans="15:16" x14ac:dyDescent="0.2">
      <c r="O2078" t="s">
        <v>2250</v>
      </c>
      <c r="P2078">
        <v>2024</v>
      </c>
    </row>
    <row r="2079" spans="15:16" x14ac:dyDescent="0.2">
      <c r="O2079" t="s">
        <v>2140</v>
      </c>
      <c r="P2079">
        <v>2024</v>
      </c>
    </row>
    <row r="2080" spans="15:16" x14ac:dyDescent="0.2">
      <c r="O2080" t="s">
        <v>2641</v>
      </c>
      <c r="P2080">
        <v>2024</v>
      </c>
    </row>
    <row r="2081" spans="15:16" x14ac:dyDescent="0.2">
      <c r="O2081" t="s">
        <v>1801</v>
      </c>
      <c r="P2081">
        <v>2024</v>
      </c>
    </row>
    <row r="2082" spans="15:16" x14ac:dyDescent="0.2">
      <c r="O2082" t="s">
        <v>685</v>
      </c>
      <c r="P2082">
        <v>2024</v>
      </c>
    </row>
    <row r="2083" spans="15:16" x14ac:dyDescent="0.2">
      <c r="O2083" t="s">
        <v>1523</v>
      </c>
      <c r="P2083">
        <v>2024</v>
      </c>
    </row>
    <row r="2084" spans="15:16" x14ac:dyDescent="0.2">
      <c r="O2084" t="s">
        <v>2178</v>
      </c>
      <c r="P2084">
        <v>2024</v>
      </c>
    </row>
    <row r="2085" spans="15:16" x14ac:dyDescent="0.2">
      <c r="O2085" t="s">
        <v>391</v>
      </c>
      <c r="P2085">
        <v>2024</v>
      </c>
    </row>
    <row r="2086" spans="15:16" x14ac:dyDescent="0.2">
      <c r="O2086" t="s">
        <v>321</v>
      </c>
      <c r="P2086">
        <v>2024</v>
      </c>
    </row>
    <row r="2087" spans="15:16" x14ac:dyDescent="0.2">
      <c r="O2087" t="s">
        <v>2468</v>
      </c>
      <c r="P2087">
        <v>2024</v>
      </c>
    </row>
    <row r="2088" spans="15:16" x14ac:dyDescent="0.2">
      <c r="O2088" t="s">
        <v>2385</v>
      </c>
      <c r="P2088">
        <v>2024</v>
      </c>
    </row>
    <row r="2089" spans="15:16" x14ac:dyDescent="0.2">
      <c r="O2089" t="s">
        <v>24</v>
      </c>
      <c r="P2089">
        <v>2024</v>
      </c>
    </row>
    <row r="2090" spans="15:16" x14ac:dyDescent="0.2">
      <c r="O2090" t="s">
        <v>1358</v>
      </c>
      <c r="P2090">
        <v>2024</v>
      </c>
    </row>
    <row r="2091" spans="15:16" x14ac:dyDescent="0.2">
      <c r="O2091" t="s">
        <v>130</v>
      </c>
      <c r="P2091">
        <v>2024</v>
      </c>
    </row>
    <row r="2092" spans="15:16" x14ac:dyDescent="0.2">
      <c r="O2092" t="s">
        <v>1753</v>
      </c>
      <c r="P2092">
        <v>2024</v>
      </c>
    </row>
    <row r="2093" spans="15:16" x14ac:dyDescent="0.2">
      <c r="O2093" t="s">
        <v>2575</v>
      </c>
      <c r="P2093">
        <v>2024</v>
      </c>
    </row>
    <row r="2094" spans="15:16" x14ac:dyDescent="0.2">
      <c r="O2094" t="s">
        <v>1154</v>
      </c>
      <c r="P2094">
        <v>2024</v>
      </c>
    </row>
    <row r="2095" spans="15:16" x14ac:dyDescent="0.2">
      <c r="O2095" t="s">
        <v>716</v>
      </c>
      <c r="P2095">
        <v>2024</v>
      </c>
    </row>
    <row r="2096" spans="15:16" x14ac:dyDescent="0.2">
      <c r="O2096" t="s">
        <v>279</v>
      </c>
      <c r="P2096">
        <v>2024</v>
      </c>
    </row>
    <row r="2097" spans="15:16" x14ac:dyDescent="0.2">
      <c r="O2097" t="s">
        <v>2414</v>
      </c>
      <c r="P2097">
        <v>2024</v>
      </c>
    </row>
    <row r="2098" spans="15:16" x14ac:dyDescent="0.2">
      <c r="O2098" t="s">
        <v>336</v>
      </c>
      <c r="P2098">
        <v>2024</v>
      </c>
    </row>
    <row r="2099" spans="15:16" x14ac:dyDescent="0.2">
      <c r="O2099" t="s">
        <v>1682</v>
      </c>
      <c r="P2099">
        <v>2024</v>
      </c>
    </row>
    <row r="2100" spans="15:16" x14ac:dyDescent="0.2">
      <c r="O2100" t="s">
        <v>2232</v>
      </c>
      <c r="P2100">
        <v>2024</v>
      </c>
    </row>
    <row r="2101" spans="15:16" x14ac:dyDescent="0.2">
      <c r="O2101" t="s">
        <v>1289</v>
      </c>
      <c r="P2101">
        <v>2024</v>
      </c>
    </row>
    <row r="2102" spans="15:16" x14ac:dyDescent="0.2">
      <c r="O2102" t="s">
        <v>1048</v>
      </c>
      <c r="P2102">
        <v>2024</v>
      </c>
    </row>
    <row r="2103" spans="15:16" x14ac:dyDescent="0.2">
      <c r="O2103" t="s">
        <v>1007</v>
      </c>
      <c r="P2103">
        <v>2024</v>
      </c>
    </row>
    <row r="2104" spans="15:16" x14ac:dyDescent="0.2">
      <c r="O2104" t="s">
        <v>1743</v>
      </c>
      <c r="P2104">
        <v>2024</v>
      </c>
    </row>
    <row r="2105" spans="15:16" x14ac:dyDescent="0.2">
      <c r="O2105" t="s">
        <v>426</v>
      </c>
      <c r="P2105">
        <v>2024</v>
      </c>
    </row>
    <row r="2106" spans="15:16" x14ac:dyDescent="0.2">
      <c r="O2106" t="s">
        <v>1616</v>
      </c>
      <c r="P2106">
        <v>2024</v>
      </c>
    </row>
    <row r="2107" spans="15:16" x14ac:dyDescent="0.2">
      <c r="O2107" t="s">
        <v>1803</v>
      </c>
      <c r="P2107">
        <v>2024</v>
      </c>
    </row>
    <row r="2108" spans="15:16" x14ac:dyDescent="0.2">
      <c r="O2108" t="s">
        <v>580</v>
      </c>
      <c r="P2108">
        <v>2024</v>
      </c>
    </row>
    <row r="2109" spans="15:16" x14ac:dyDescent="0.2">
      <c r="O2109" t="s">
        <v>1273</v>
      </c>
      <c r="P2109">
        <v>2024</v>
      </c>
    </row>
    <row r="2110" spans="15:16" x14ac:dyDescent="0.2">
      <c r="O2110" t="s">
        <v>1695</v>
      </c>
      <c r="P2110">
        <v>2024</v>
      </c>
    </row>
    <row r="2111" spans="15:16" x14ac:dyDescent="0.2">
      <c r="O2111" t="s">
        <v>1243</v>
      </c>
      <c r="P2111">
        <v>2024</v>
      </c>
    </row>
    <row r="2112" spans="15:16" x14ac:dyDescent="0.2">
      <c r="O2112" t="s">
        <v>589</v>
      </c>
      <c r="P2112">
        <v>2024</v>
      </c>
    </row>
    <row r="2113" spans="15:16" x14ac:dyDescent="0.2">
      <c r="O2113" t="s">
        <v>1473</v>
      </c>
      <c r="P2113">
        <v>2024</v>
      </c>
    </row>
    <row r="2114" spans="15:16" x14ac:dyDescent="0.2">
      <c r="O2114" t="s">
        <v>1076</v>
      </c>
      <c r="P2114">
        <v>2024</v>
      </c>
    </row>
    <row r="2115" spans="15:16" x14ac:dyDescent="0.2">
      <c r="O2115" t="s">
        <v>1415</v>
      </c>
      <c r="P2115">
        <v>2024</v>
      </c>
    </row>
    <row r="2116" spans="15:16" x14ac:dyDescent="0.2">
      <c r="O2116" t="s">
        <v>1909</v>
      </c>
      <c r="P2116">
        <v>2024</v>
      </c>
    </row>
    <row r="2117" spans="15:16" x14ac:dyDescent="0.2">
      <c r="O2117" t="s">
        <v>2255</v>
      </c>
      <c r="P2117">
        <v>2024</v>
      </c>
    </row>
    <row r="2118" spans="15:16" x14ac:dyDescent="0.2">
      <c r="O2118" t="s">
        <v>793</v>
      </c>
      <c r="P2118">
        <v>2024</v>
      </c>
    </row>
    <row r="2119" spans="15:16" x14ac:dyDescent="0.2">
      <c r="O2119" t="s">
        <v>516</v>
      </c>
      <c r="P2119">
        <v>2024</v>
      </c>
    </row>
    <row r="2120" spans="15:16" x14ac:dyDescent="0.2">
      <c r="O2120" t="s">
        <v>924</v>
      </c>
      <c r="P2120">
        <v>2024</v>
      </c>
    </row>
    <row r="2121" spans="15:16" x14ac:dyDescent="0.2">
      <c r="O2121" t="s">
        <v>564</v>
      </c>
      <c r="P2121">
        <v>2024</v>
      </c>
    </row>
    <row r="2122" spans="15:16" x14ac:dyDescent="0.2">
      <c r="O2122" t="s">
        <v>873</v>
      </c>
      <c r="P2122">
        <v>2024</v>
      </c>
    </row>
    <row r="2123" spans="15:16" x14ac:dyDescent="0.2">
      <c r="O2123" t="s">
        <v>1516</v>
      </c>
      <c r="P2123">
        <v>2024</v>
      </c>
    </row>
    <row r="2124" spans="15:16" x14ac:dyDescent="0.2">
      <c r="O2124" t="s">
        <v>1461</v>
      </c>
      <c r="P2124">
        <v>2024</v>
      </c>
    </row>
    <row r="2125" spans="15:16" x14ac:dyDescent="0.2">
      <c r="O2125" t="s">
        <v>942</v>
      </c>
      <c r="P2125">
        <v>2024</v>
      </c>
    </row>
    <row r="2126" spans="15:16" x14ac:dyDescent="0.2">
      <c r="O2126" t="s">
        <v>282</v>
      </c>
      <c r="P2126">
        <v>2024</v>
      </c>
    </row>
    <row r="2127" spans="15:16" x14ac:dyDescent="0.2">
      <c r="O2127" t="s">
        <v>2114</v>
      </c>
      <c r="P2127">
        <v>2024</v>
      </c>
    </row>
    <row r="2128" spans="15:16" x14ac:dyDescent="0.2">
      <c r="O2128" t="s">
        <v>881</v>
      </c>
      <c r="P2128">
        <v>2024</v>
      </c>
    </row>
    <row r="2129" spans="15:16" x14ac:dyDescent="0.2">
      <c r="O2129" t="s">
        <v>771</v>
      </c>
      <c r="P2129">
        <v>2024</v>
      </c>
    </row>
    <row r="2130" spans="15:16" x14ac:dyDescent="0.2">
      <c r="O2130" t="s">
        <v>805</v>
      </c>
      <c r="P2130">
        <v>2024</v>
      </c>
    </row>
    <row r="2131" spans="15:16" x14ac:dyDescent="0.2">
      <c r="O2131" t="s">
        <v>489</v>
      </c>
      <c r="P2131">
        <v>2024</v>
      </c>
    </row>
    <row r="2132" spans="15:16" x14ac:dyDescent="0.2">
      <c r="O2132" t="s">
        <v>256</v>
      </c>
      <c r="P2132">
        <v>2024</v>
      </c>
    </row>
    <row r="2133" spans="15:16" x14ac:dyDescent="0.2">
      <c r="O2133" t="s">
        <v>711</v>
      </c>
      <c r="P2133">
        <v>2024</v>
      </c>
    </row>
    <row r="2134" spans="15:16" x14ac:dyDescent="0.2">
      <c r="O2134" t="s">
        <v>56</v>
      </c>
      <c r="P2134">
        <v>2024</v>
      </c>
    </row>
    <row r="2135" spans="15:16" x14ac:dyDescent="0.2">
      <c r="O2135" t="s">
        <v>297</v>
      </c>
      <c r="P2135">
        <v>2024</v>
      </c>
    </row>
    <row r="2136" spans="15:16" x14ac:dyDescent="0.2">
      <c r="O2136" t="s">
        <v>1435</v>
      </c>
      <c r="P2136">
        <v>2024</v>
      </c>
    </row>
    <row r="2137" spans="15:16" x14ac:dyDescent="0.2">
      <c r="O2137" t="s">
        <v>1663</v>
      </c>
      <c r="P2137">
        <v>2024</v>
      </c>
    </row>
    <row r="2138" spans="15:16" x14ac:dyDescent="0.2">
      <c r="O2138" t="s">
        <v>96</v>
      </c>
      <c r="P2138">
        <v>2024</v>
      </c>
    </row>
    <row r="2139" spans="15:16" x14ac:dyDescent="0.2">
      <c r="O2139" t="s">
        <v>412</v>
      </c>
      <c r="P2139">
        <v>2024</v>
      </c>
    </row>
    <row r="2140" spans="15:16" x14ac:dyDescent="0.2">
      <c r="O2140" t="s">
        <v>2437</v>
      </c>
      <c r="P2140">
        <v>2024</v>
      </c>
    </row>
    <row r="2141" spans="15:16" x14ac:dyDescent="0.2">
      <c r="O2141" t="s">
        <v>1819</v>
      </c>
      <c r="P2141">
        <v>2024</v>
      </c>
    </row>
    <row r="2142" spans="15:16" x14ac:dyDescent="0.2">
      <c r="O2142" t="s">
        <v>1183</v>
      </c>
      <c r="P2142">
        <v>2024</v>
      </c>
    </row>
    <row r="2143" spans="15:16" x14ac:dyDescent="0.2">
      <c r="O2143" t="s">
        <v>1198</v>
      </c>
      <c r="P2143">
        <v>2024</v>
      </c>
    </row>
    <row r="2144" spans="15:16" x14ac:dyDescent="0.2">
      <c r="O2144" t="s">
        <v>919</v>
      </c>
      <c r="P2144">
        <v>2024</v>
      </c>
    </row>
    <row r="2145" spans="15:16" x14ac:dyDescent="0.2">
      <c r="O2145" t="s">
        <v>736</v>
      </c>
      <c r="P2145">
        <v>2024</v>
      </c>
    </row>
    <row r="2146" spans="15:16" x14ac:dyDescent="0.2">
      <c r="O2146" t="s">
        <v>173</v>
      </c>
      <c r="P2146">
        <v>2024</v>
      </c>
    </row>
    <row r="2147" spans="15:16" x14ac:dyDescent="0.2">
      <c r="O2147" t="s">
        <v>419</v>
      </c>
      <c r="P2147">
        <v>2024</v>
      </c>
    </row>
    <row r="2148" spans="15:16" x14ac:dyDescent="0.2">
      <c r="O2148" t="s">
        <v>2227</v>
      </c>
      <c r="P2148">
        <v>2024</v>
      </c>
    </row>
    <row r="2149" spans="15:16" x14ac:dyDescent="0.2">
      <c r="O2149" t="s">
        <v>1426</v>
      </c>
      <c r="P2149">
        <v>2024</v>
      </c>
    </row>
    <row r="2150" spans="15:16" x14ac:dyDescent="0.2">
      <c r="O2150" t="s">
        <v>796</v>
      </c>
      <c r="P2150">
        <v>2024</v>
      </c>
    </row>
    <row r="2151" spans="15:16" x14ac:dyDescent="0.2">
      <c r="O2151" t="s">
        <v>464</v>
      </c>
      <c r="P2151">
        <v>2024</v>
      </c>
    </row>
    <row r="2152" spans="15:16" x14ac:dyDescent="0.2">
      <c r="O2152" t="s">
        <v>734</v>
      </c>
      <c r="P2152">
        <v>2024</v>
      </c>
    </row>
    <row r="2153" spans="15:16" x14ac:dyDescent="0.2">
      <c r="O2153" t="s">
        <v>902</v>
      </c>
      <c r="P2153">
        <v>2024</v>
      </c>
    </row>
    <row r="2154" spans="15:16" x14ac:dyDescent="0.2">
      <c r="O2154" t="s">
        <v>232</v>
      </c>
      <c r="P2154">
        <v>2024</v>
      </c>
    </row>
    <row r="2155" spans="15:16" x14ac:dyDescent="0.2">
      <c r="O2155" t="s">
        <v>48</v>
      </c>
      <c r="P2155">
        <v>2024</v>
      </c>
    </row>
    <row r="2156" spans="15:16" x14ac:dyDescent="0.2">
      <c r="O2156" t="s">
        <v>1079</v>
      </c>
      <c r="P2156">
        <v>2024</v>
      </c>
    </row>
    <row r="2157" spans="15:16" x14ac:dyDescent="0.2">
      <c r="O2157" t="s">
        <v>1619</v>
      </c>
      <c r="P2157">
        <v>2024</v>
      </c>
    </row>
    <row r="2158" spans="15:16" x14ac:dyDescent="0.2">
      <c r="O2158" t="s">
        <v>1785</v>
      </c>
      <c r="P2158">
        <v>2024</v>
      </c>
    </row>
    <row r="2159" spans="15:16" x14ac:dyDescent="0.2">
      <c r="O2159" t="s">
        <v>780</v>
      </c>
      <c r="P2159">
        <v>2024</v>
      </c>
    </row>
    <row r="2160" spans="15:16" x14ac:dyDescent="0.2">
      <c r="O2160" t="s">
        <v>380</v>
      </c>
      <c r="P2160">
        <v>2024</v>
      </c>
    </row>
    <row r="2161" spans="15:16" x14ac:dyDescent="0.2">
      <c r="O2161" t="s">
        <v>754</v>
      </c>
      <c r="P2161">
        <v>2024</v>
      </c>
    </row>
    <row r="2162" spans="15:16" x14ac:dyDescent="0.2">
      <c r="O2162" t="s">
        <v>470</v>
      </c>
      <c r="P2162">
        <v>2024</v>
      </c>
    </row>
    <row r="2163" spans="15:16" x14ac:dyDescent="0.2">
      <c r="O2163" t="s">
        <v>744</v>
      </c>
      <c r="P2163">
        <v>2024</v>
      </c>
    </row>
    <row r="2164" spans="15:16" x14ac:dyDescent="0.2">
      <c r="O2164" t="s">
        <v>1341</v>
      </c>
      <c r="P2164">
        <v>2024</v>
      </c>
    </row>
    <row r="2165" spans="15:16" x14ac:dyDescent="0.2">
      <c r="O2165" t="s">
        <v>375</v>
      </c>
      <c r="P2165">
        <v>2024</v>
      </c>
    </row>
    <row r="2166" spans="15:16" x14ac:dyDescent="0.2">
      <c r="O2166" t="s">
        <v>1914</v>
      </c>
      <c r="P2166">
        <v>2024</v>
      </c>
    </row>
    <row r="2167" spans="15:16" x14ac:dyDescent="0.2">
      <c r="O2167" t="s">
        <v>1570</v>
      </c>
      <c r="P2167">
        <v>2024</v>
      </c>
    </row>
    <row r="2168" spans="15:16" x14ac:dyDescent="0.2">
      <c r="O2168" t="s">
        <v>1736</v>
      </c>
      <c r="P2168">
        <v>2024</v>
      </c>
    </row>
    <row r="2169" spans="15:16" x14ac:dyDescent="0.2">
      <c r="O2169" t="s">
        <v>1440</v>
      </c>
      <c r="P2169">
        <v>2024</v>
      </c>
    </row>
    <row r="2170" spans="15:16" x14ac:dyDescent="0.2">
      <c r="O2170" t="s">
        <v>1922</v>
      </c>
      <c r="P2170">
        <v>2024</v>
      </c>
    </row>
    <row r="2171" spans="15:16" x14ac:dyDescent="0.2">
      <c r="O2171" t="s">
        <v>2465</v>
      </c>
      <c r="P2171">
        <v>2024</v>
      </c>
    </row>
    <row r="2172" spans="15:16" x14ac:dyDescent="0.2">
      <c r="O2172" t="s">
        <v>1403</v>
      </c>
      <c r="P2172">
        <v>2024</v>
      </c>
    </row>
    <row r="2173" spans="15:16" x14ac:dyDescent="0.2">
      <c r="O2173" t="s">
        <v>285</v>
      </c>
      <c r="P2173">
        <v>2024</v>
      </c>
    </row>
    <row r="2174" spans="15:16" x14ac:dyDescent="0.2">
      <c r="O2174" t="s">
        <v>1037</v>
      </c>
      <c r="P2174">
        <v>2024</v>
      </c>
    </row>
    <row r="2175" spans="15:16" x14ac:dyDescent="0.2">
      <c r="O2175" t="s">
        <v>719</v>
      </c>
      <c r="P2175">
        <v>2024</v>
      </c>
    </row>
    <row r="2176" spans="15:16" x14ac:dyDescent="0.2">
      <c r="O2176" t="s">
        <v>1005</v>
      </c>
      <c r="P2176">
        <v>2024</v>
      </c>
    </row>
    <row r="2177" spans="15:16" x14ac:dyDescent="0.2">
      <c r="O2177" t="s">
        <v>604</v>
      </c>
      <c r="P2177">
        <v>2024</v>
      </c>
    </row>
    <row r="2178" spans="15:16" x14ac:dyDescent="0.2">
      <c r="O2178" t="s">
        <v>1996</v>
      </c>
      <c r="P2178">
        <v>2024</v>
      </c>
    </row>
    <row r="2179" spans="15:16" x14ac:dyDescent="0.2">
      <c r="O2179" t="s">
        <v>626</v>
      </c>
      <c r="P2179">
        <v>2024</v>
      </c>
    </row>
    <row r="2180" spans="15:16" x14ac:dyDescent="0.2">
      <c r="O2180" t="s">
        <v>791</v>
      </c>
      <c r="P2180">
        <v>2024</v>
      </c>
    </row>
    <row r="2181" spans="15:16" x14ac:dyDescent="0.2">
      <c r="O2181" t="s">
        <v>909</v>
      </c>
      <c r="P2181">
        <v>2024</v>
      </c>
    </row>
    <row r="2182" spans="15:16" x14ac:dyDescent="0.2">
      <c r="O2182" t="s">
        <v>632</v>
      </c>
      <c r="P2182">
        <v>2024</v>
      </c>
    </row>
    <row r="2183" spans="15:16" x14ac:dyDescent="0.2">
      <c r="O2183" t="s">
        <v>667</v>
      </c>
      <c r="P2183">
        <v>2024</v>
      </c>
    </row>
    <row r="2184" spans="15:16" x14ac:dyDescent="0.2">
      <c r="O2184" t="s">
        <v>999</v>
      </c>
      <c r="P2184">
        <v>2024</v>
      </c>
    </row>
    <row r="2185" spans="15:16" x14ac:dyDescent="0.2">
      <c r="O2185" t="s">
        <v>409</v>
      </c>
      <c r="P2185">
        <v>2024</v>
      </c>
    </row>
    <row r="2186" spans="15:16" x14ac:dyDescent="0.2">
      <c r="O2186" t="s">
        <v>1277</v>
      </c>
      <c r="P2186">
        <v>2024</v>
      </c>
    </row>
    <row r="2187" spans="15:16" x14ac:dyDescent="0.2">
      <c r="O2187" t="s">
        <v>1115</v>
      </c>
      <c r="P2187">
        <v>2024</v>
      </c>
    </row>
    <row r="2188" spans="15:16" x14ac:dyDescent="0.2">
      <c r="O2188" t="s">
        <v>1507</v>
      </c>
      <c r="P2188">
        <v>2024</v>
      </c>
    </row>
    <row r="2189" spans="15:16" x14ac:dyDescent="0.2">
      <c r="O2189" t="s">
        <v>811</v>
      </c>
      <c r="P2189">
        <v>2024</v>
      </c>
    </row>
    <row r="2190" spans="15:16" x14ac:dyDescent="0.2">
      <c r="O2190" t="s">
        <v>2067</v>
      </c>
      <c r="P2190">
        <v>2024</v>
      </c>
    </row>
    <row r="2191" spans="15:16" x14ac:dyDescent="0.2">
      <c r="O2191" t="s">
        <v>1377</v>
      </c>
      <c r="P2191">
        <v>2024</v>
      </c>
    </row>
    <row r="2192" spans="15:16" x14ac:dyDescent="0.2">
      <c r="O2192" t="s">
        <v>1018</v>
      </c>
      <c r="P2192">
        <v>2024</v>
      </c>
    </row>
    <row r="2193" spans="15:16" x14ac:dyDescent="0.2">
      <c r="O2193" t="s">
        <v>214</v>
      </c>
      <c r="P2193">
        <v>2024</v>
      </c>
    </row>
    <row r="2194" spans="15:16" x14ac:dyDescent="0.2">
      <c r="O2194" t="s">
        <v>121</v>
      </c>
      <c r="P2194">
        <v>2024</v>
      </c>
    </row>
    <row r="2195" spans="15:16" x14ac:dyDescent="0.2">
      <c r="O2195" t="s">
        <v>861</v>
      </c>
      <c r="P2195">
        <v>2024</v>
      </c>
    </row>
    <row r="2196" spans="15:16" x14ac:dyDescent="0.2">
      <c r="O2196" t="s">
        <v>241</v>
      </c>
      <c r="P2196">
        <v>2024</v>
      </c>
    </row>
    <row r="2197" spans="15:16" x14ac:dyDescent="0.2">
      <c r="O2197" t="s">
        <v>1185</v>
      </c>
      <c r="P2197">
        <v>2024</v>
      </c>
    </row>
    <row r="2198" spans="15:16" x14ac:dyDescent="0.2">
      <c r="O2198" t="s">
        <v>569</v>
      </c>
      <c r="P2198">
        <v>2024</v>
      </c>
    </row>
    <row r="2199" spans="15:16" x14ac:dyDescent="0.2">
      <c r="O2199" t="s">
        <v>1469</v>
      </c>
      <c r="P2199">
        <v>2024</v>
      </c>
    </row>
    <row r="2200" spans="15:16" x14ac:dyDescent="0.2">
      <c r="O2200" t="s">
        <v>1343</v>
      </c>
      <c r="P2200">
        <v>2024</v>
      </c>
    </row>
    <row r="2201" spans="15:16" x14ac:dyDescent="0.2">
      <c r="O2201" t="s">
        <v>1131</v>
      </c>
      <c r="P2201">
        <v>2024</v>
      </c>
    </row>
    <row r="2202" spans="15:16" x14ac:dyDescent="0.2">
      <c r="O2202" t="s">
        <v>653</v>
      </c>
      <c r="P2202">
        <v>2024</v>
      </c>
    </row>
    <row r="2203" spans="15:16" x14ac:dyDescent="0.2">
      <c r="O2203" t="s">
        <v>1828</v>
      </c>
      <c r="P2203">
        <v>2024</v>
      </c>
    </row>
    <row r="2204" spans="15:16" x14ac:dyDescent="0.2">
      <c r="O2204" t="s">
        <v>2685</v>
      </c>
      <c r="P2204">
        <v>2024</v>
      </c>
    </row>
    <row r="2205" spans="15:16" x14ac:dyDescent="0.2">
      <c r="O2205" t="s">
        <v>2390</v>
      </c>
      <c r="P2205">
        <v>2024</v>
      </c>
    </row>
    <row r="2206" spans="15:16" x14ac:dyDescent="0.2">
      <c r="O2206" t="s">
        <v>726</v>
      </c>
      <c r="P2206">
        <v>2024</v>
      </c>
    </row>
    <row r="2207" spans="15:16" x14ac:dyDescent="0.2">
      <c r="O2207" t="s">
        <v>359</v>
      </c>
      <c r="P2207">
        <v>2024</v>
      </c>
    </row>
    <row r="2208" spans="15:16" x14ac:dyDescent="0.2">
      <c r="O2208" t="s">
        <v>357</v>
      </c>
      <c r="P2208">
        <v>2024</v>
      </c>
    </row>
    <row r="2209" spans="15:16" x14ac:dyDescent="0.2">
      <c r="O2209" t="s">
        <v>1175</v>
      </c>
      <c r="P2209">
        <v>2024</v>
      </c>
    </row>
    <row r="2210" spans="15:16" x14ac:dyDescent="0.2">
      <c r="O2210" t="s">
        <v>1659</v>
      </c>
      <c r="P2210">
        <v>2024</v>
      </c>
    </row>
    <row r="2211" spans="15:16" x14ac:dyDescent="0.2">
      <c r="O2211" t="s">
        <v>1209</v>
      </c>
      <c r="P2211">
        <v>2024</v>
      </c>
    </row>
    <row r="2212" spans="15:16" x14ac:dyDescent="0.2">
      <c r="O2212" t="s">
        <v>1336</v>
      </c>
      <c r="P2212">
        <v>2024</v>
      </c>
    </row>
    <row r="2213" spans="15:16" x14ac:dyDescent="0.2">
      <c r="O2213" t="s">
        <v>1485</v>
      </c>
      <c r="P2213">
        <v>2024</v>
      </c>
    </row>
    <row r="2214" spans="15:16" x14ac:dyDescent="0.2">
      <c r="O2214" t="s">
        <v>1195</v>
      </c>
      <c r="P2214">
        <v>2024</v>
      </c>
    </row>
    <row r="2215" spans="15:16" x14ac:dyDescent="0.2">
      <c r="O2215" t="s">
        <v>217</v>
      </c>
      <c r="P2215">
        <v>2024</v>
      </c>
    </row>
    <row r="2216" spans="15:16" x14ac:dyDescent="0.2">
      <c r="O2216" t="s">
        <v>1833</v>
      </c>
      <c r="P2216">
        <v>2024</v>
      </c>
    </row>
    <row r="2217" spans="15:16" x14ac:dyDescent="0.2">
      <c r="O2217" t="s">
        <v>2085</v>
      </c>
      <c r="P2217">
        <v>2024</v>
      </c>
    </row>
    <row r="2218" spans="15:16" x14ac:dyDescent="0.2">
      <c r="O2218" t="s">
        <v>435</v>
      </c>
      <c r="P2218">
        <v>2024</v>
      </c>
    </row>
    <row r="2219" spans="15:16" x14ac:dyDescent="0.2">
      <c r="O2219" t="s">
        <v>169</v>
      </c>
      <c r="P2219">
        <v>2024</v>
      </c>
    </row>
    <row r="2220" spans="15:16" x14ac:dyDescent="0.2">
      <c r="O2220" t="s">
        <v>2550</v>
      </c>
      <c r="P2220">
        <v>2024</v>
      </c>
    </row>
    <row r="2221" spans="15:16" x14ac:dyDescent="0.2">
      <c r="O2221" t="s">
        <v>682</v>
      </c>
      <c r="P2221">
        <v>2024</v>
      </c>
    </row>
    <row r="2222" spans="15:16" x14ac:dyDescent="0.2">
      <c r="O2222" t="s">
        <v>1729</v>
      </c>
      <c r="P2222">
        <v>2024</v>
      </c>
    </row>
    <row r="2223" spans="15:16" x14ac:dyDescent="0.2">
      <c r="O2223" t="s">
        <v>1953</v>
      </c>
      <c r="P2223">
        <v>2024</v>
      </c>
    </row>
    <row r="2224" spans="15:16" x14ac:dyDescent="0.2">
      <c r="O2224" t="s">
        <v>197</v>
      </c>
      <c r="P2224">
        <v>2024</v>
      </c>
    </row>
    <row r="2225" spans="15:16" x14ac:dyDescent="0.2">
      <c r="O2225" t="s">
        <v>309</v>
      </c>
      <c r="P2225">
        <v>2024</v>
      </c>
    </row>
    <row r="2226" spans="15:16" x14ac:dyDescent="0.2">
      <c r="O2226" t="s">
        <v>1654</v>
      </c>
      <c r="P2226">
        <v>2024</v>
      </c>
    </row>
    <row r="2227" spans="15:16" x14ac:dyDescent="0.2">
      <c r="O2227" t="s">
        <v>303</v>
      </c>
      <c r="P2227">
        <v>2024</v>
      </c>
    </row>
    <row r="2228" spans="15:16" x14ac:dyDescent="0.2">
      <c r="O2228" t="s">
        <v>1086</v>
      </c>
      <c r="P2228">
        <v>2024</v>
      </c>
    </row>
    <row r="2229" spans="15:16" x14ac:dyDescent="0.2">
      <c r="O2229" t="s">
        <v>1722</v>
      </c>
      <c r="P2229">
        <v>2024</v>
      </c>
    </row>
    <row r="2230" spans="15:16" x14ac:dyDescent="0.2">
      <c r="O2230" t="s">
        <v>824</v>
      </c>
      <c r="P2230">
        <v>2024</v>
      </c>
    </row>
    <row r="2231" spans="15:16" x14ac:dyDescent="0.2">
      <c r="O2231" t="s">
        <v>2158</v>
      </c>
      <c r="P2231">
        <v>2024</v>
      </c>
    </row>
    <row r="2232" spans="15:16" x14ac:dyDescent="0.2">
      <c r="O2232" t="s">
        <v>2039</v>
      </c>
      <c r="P2232">
        <v>2024</v>
      </c>
    </row>
    <row r="2233" spans="15:16" x14ac:dyDescent="0.2">
      <c r="O2233" t="s">
        <v>458</v>
      </c>
      <c r="P2233">
        <v>2024</v>
      </c>
    </row>
    <row r="2234" spans="15:16" x14ac:dyDescent="0.2">
      <c r="O2234" t="s">
        <v>1213</v>
      </c>
      <c r="P2234">
        <v>2024</v>
      </c>
    </row>
    <row r="2235" spans="15:16" x14ac:dyDescent="0.2">
      <c r="O2235" t="s">
        <v>2267</v>
      </c>
      <c r="P2235">
        <v>2024</v>
      </c>
    </row>
    <row r="2236" spans="15:16" x14ac:dyDescent="0.2">
      <c r="O2236" t="s">
        <v>1340</v>
      </c>
      <c r="P2236">
        <v>2024</v>
      </c>
    </row>
    <row r="2237" spans="15:16" x14ac:dyDescent="0.2">
      <c r="O2237" t="s">
        <v>293</v>
      </c>
      <c r="P2237">
        <v>2024</v>
      </c>
    </row>
    <row r="2238" spans="15:16" x14ac:dyDescent="0.2">
      <c r="O2238" t="s">
        <v>421</v>
      </c>
      <c r="P2238">
        <v>2024</v>
      </c>
    </row>
    <row r="2239" spans="15:16" x14ac:dyDescent="0.2">
      <c r="O2239" t="s">
        <v>1565</v>
      </c>
      <c r="P2239">
        <v>2024</v>
      </c>
    </row>
    <row r="2240" spans="15:16" x14ac:dyDescent="0.2">
      <c r="O2240" t="s">
        <v>2147</v>
      </c>
      <c r="P2240">
        <v>2024</v>
      </c>
    </row>
    <row r="2241" spans="15:16" x14ac:dyDescent="0.2">
      <c r="O2241" t="s">
        <v>1025</v>
      </c>
      <c r="P2241">
        <v>2024</v>
      </c>
    </row>
    <row r="2242" spans="15:16" x14ac:dyDescent="0.2">
      <c r="O2242" t="s">
        <v>1783</v>
      </c>
      <c r="P2242">
        <v>2024</v>
      </c>
    </row>
    <row r="2243" spans="15:16" x14ac:dyDescent="0.2">
      <c r="O2243" t="s">
        <v>2546</v>
      </c>
      <c r="P2243">
        <v>2024</v>
      </c>
    </row>
    <row r="2244" spans="15:16" x14ac:dyDescent="0.2">
      <c r="O2244" t="s">
        <v>2690</v>
      </c>
      <c r="P2244">
        <v>2024</v>
      </c>
    </row>
    <row r="2245" spans="15:16" x14ac:dyDescent="0.2">
      <c r="O2245" t="s">
        <v>385</v>
      </c>
      <c r="P2245">
        <v>2024</v>
      </c>
    </row>
    <row r="2246" spans="15:16" x14ac:dyDescent="0.2">
      <c r="O2246" t="s">
        <v>1334</v>
      </c>
      <c r="P2246">
        <v>2024</v>
      </c>
    </row>
    <row r="2247" spans="15:16" x14ac:dyDescent="0.2">
      <c r="O2247" t="s">
        <v>1179</v>
      </c>
      <c r="P2247">
        <v>2024</v>
      </c>
    </row>
    <row r="2248" spans="15:16" x14ac:dyDescent="0.2">
      <c r="O2248" t="s">
        <v>1993</v>
      </c>
      <c r="P2248">
        <v>2024</v>
      </c>
    </row>
    <row r="2249" spans="15:16" x14ac:dyDescent="0.2">
      <c r="O2249" t="s">
        <v>1815</v>
      </c>
      <c r="P2249">
        <v>2024</v>
      </c>
    </row>
    <row r="2250" spans="15:16" x14ac:dyDescent="0.2">
      <c r="O2250" t="s">
        <v>1497</v>
      </c>
      <c r="P2250">
        <v>2024</v>
      </c>
    </row>
    <row r="2251" spans="15:16" x14ac:dyDescent="0.2">
      <c r="O2251" t="s">
        <v>1513</v>
      </c>
      <c r="P2251">
        <v>2024</v>
      </c>
    </row>
    <row r="2252" spans="15:16" x14ac:dyDescent="0.2">
      <c r="O2252" t="s">
        <v>1548</v>
      </c>
      <c r="P2252">
        <v>2024</v>
      </c>
    </row>
    <row r="2253" spans="15:16" x14ac:dyDescent="0.2">
      <c r="O2253" t="s">
        <v>2035</v>
      </c>
      <c r="P2253">
        <v>2024</v>
      </c>
    </row>
    <row r="2254" spans="15:16" x14ac:dyDescent="0.2">
      <c r="O2254" t="s">
        <v>2692</v>
      </c>
      <c r="P2254">
        <v>2024</v>
      </c>
    </row>
    <row r="2255" spans="15:16" x14ac:dyDescent="0.2">
      <c r="O2255" t="s">
        <v>2441</v>
      </c>
      <c r="P2255">
        <v>2024</v>
      </c>
    </row>
    <row r="2256" spans="15:16" x14ac:dyDescent="0.2">
      <c r="O2256" t="s">
        <v>1211</v>
      </c>
      <c r="P2256">
        <v>2024</v>
      </c>
    </row>
    <row r="2257" spans="15:16" x14ac:dyDescent="0.2">
      <c r="O2257" t="s">
        <v>338</v>
      </c>
      <c r="P2257">
        <v>2024</v>
      </c>
    </row>
    <row r="2258" spans="15:16" x14ac:dyDescent="0.2">
      <c r="O2258" t="s">
        <v>698</v>
      </c>
      <c r="P2258">
        <v>2024</v>
      </c>
    </row>
    <row r="2259" spans="15:16" x14ac:dyDescent="0.2">
      <c r="O2259" t="s">
        <v>371</v>
      </c>
      <c r="P2259">
        <v>2024</v>
      </c>
    </row>
    <row r="2260" spans="15:16" x14ac:dyDescent="0.2">
      <c r="O2260" t="s">
        <v>850</v>
      </c>
      <c r="P2260">
        <v>2024</v>
      </c>
    </row>
    <row r="2261" spans="15:16" x14ac:dyDescent="0.2">
      <c r="O2261" t="s">
        <v>429</v>
      </c>
      <c r="P2261">
        <v>2024</v>
      </c>
    </row>
    <row r="2262" spans="15:16" x14ac:dyDescent="0.2">
      <c r="O2262" t="s">
        <v>1040</v>
      </c>
      <c r="P2262">
        <v>2024</v>
      </c>
    </row>
    <row r="2263" spans="15:16" x14ac:dyDescent="0.2">
      <c r="O2263" t="s">
        <v>1262</v>
      </c>
      <c r="P2263">
        <v>2024</v>
      </c>
    </row>
    <row r="2264" spans="15:16" x14ac:dyDescent="0.2">
      <c r="O2264" t="s">
        <v>1275</v>
      </c>
      <c r="P2264">
        <v>2024</v>
      </c>
    </row>
    <row r="2265" spans="15:16" x14ac:dyDescent="0.2">
      <c r="O2265" t="s">
        <v>184</v>
      </c>
      <c r="P2265">
        <v>2024</v>
      </c>
    </row>
    <row r="2266" spans="15:16" x14ac:dyDescent="0.2">
      <c r="O2266" t="s">
        <v>2128</v>
      </c>
      <c r="P2266">
        <v>2024</v>
      </c>
    </row>
    <row r="2267" spans="15:16" x14ac:dyDescent="0.2">
      <c r="O2267" t="s">
        <v>671</v>
      </c>
      <c r="P2267">
        <v>2024</v>
      </c>
    </row>
    <row r="2268" spans="15:16" x14ac:dyDescent="0.2">
      <c r="O2268" t="s">
        <v>60</v>
      </c>
      <c r="P2268">
        <v>2024</v>
      </c>
    </row>
    <row r="2269" spans="15:16" x14ac:dyDescent="0.2">
      <c r="O2269" t="s">
        <v>893</v>
      </c>
      <c r="P2269">
        <v>2024</v>
      </c>
    </row>
    <row r="2270" spans="15:16" x14ac:dyDescent="0.2">
      <c r="O2270" t="s">
        <v>1830</v>
      </c>
      <c r="P2270">
        <v>2024</v>
      </c>
    </row>
    <row r="2271" spans="15:16" x14ac:dyDescent="0.2">
      <c r="O2271" t="s">
        <v>2484</v>
      </c>
      <c r="P2271">
        <v>2024</v>
      </c>
    </row>
    <row r="2272" spans="15:16" x14ac:dyDescent="0.2">
      <c r="O2272" t="s">
        <v>1106</v>
      </c>
      <c r="P2272">
        <v>2024</v>
      </c>
    </row>
    <row r="2273" spans="15:16" x14ac:dyDescent="0.2">
      <c r="O2273" t="s">
        <v>819</v>
      </c>
      <c r="P2273">
        <v>2024</v>
      </c>
    </row>
    <row r="2274" spans="15:16" x14ac:dyDescent="0.2">
      <c r="O2274" t="s">
        <v>1281</v>
      </c>
      <c r="P2274">
        <v>2024</v>
      </c>
    </row>
    <row r="2275" spans="15:16" x14ac:dyDescent="0.2">
      <c r="O2275" t="s">
        <v>163</v>
      </c>
      <c r="P2275">
        <v>2024</v>
      </c>
    </row>
    <row r="2276" spans="15:16" x14ac:dyDescent="0.2">
      <c r="O2276" t="s">
        <v>1140</v>
      </c>
      <c r="P2276">
        <v>2024</v>
      </c>
    </row>
    <row r="2277" spans="15:16" x14ac:dyDescent="0.2">
      <c r="O2277" t="s">
        <v>1232</v>
      </c>
      <c r="P2277">
        <v>2024</v>
      </c>
    </row>
    <row r="2278" spans="15:16" x14ac:dyDescent="0.2">
      <c r="O2278" t="s">
        <v>182</v>
      </c>
      <c r="P2278">
        <v>2024</v>
      </c>
    </row>
    <row r="2279" spans="15:16" x14ac:dyDescent="0.2">
      <c r="O2279" t="s">
        <v>1479</v>
      </c>
      <c r="P2279">
        <v>2024</v>
      </c>
    </row>
    <row r="2280" spans="15:16" x14ac:dyDescent="0.2">
      <c r="O2280" t="s">
        <v>327</v>
      </c>
      <c r="P2280">
        <v>2024</v>
      </c>
    </row>
    <row r="2281" spans="15:16" x14ac:dyDescent="0.2">
      <c r="O2281" t="s">
        <v>405</v>
      </c>
      <c r="P2281">
        <v>2024</v>
      </c>
    </row>
    <row r="2282" spans="15:16" x14ac:dyDescent="0.2">
      <c r="O2282" t="s">
        <v>1223</v>
      </c>
      <c r="P2282">
        <v>2024</v>
      </c>
    </row>
    <row r="2283" spans="15:16" x14ac:dyDescent="0.2">
      <c r="O2283" t="s">
        <v>2382</v>
      </c>
      <c r="P2283">
        <v>2024</v>
      </c>
    </row>
    <row r="2284" spans="15:16" x14ac:dyDescent="0.2">
      <c r="O2284" t="s">
        <v>239</v>
      </c>
      <c r="P2284">
        <v>2024</v>
      </c>
    </row>
    <row r="2285" spans="15:16" x14ac:dyDescent="0.2">
      <c r="O2285" t="s">
        <v>595</v>
      </c>
      <c r="P2285">
        <v>2024</v>
      </c>
    </row>
    <row r="2286" spans="15:16" x14ac:dyDescent="0.2">
      <c r="O2286" t="s">
        <v>1078</v>
      </c>
      <c r="P2286">
        <v>2024</v>
      </c>
    </row>
    <row r="2287" spans="15:16" x14ac:dyDescent="0.2">
      <c r="O2287" t="s">
        <v>2214</v>
      </c>
      <c r="P2287">
        <v>2024</v>
      </c>
    </row>
    <row r="2288" spans="15:16" x14ac:dyDescent="0.2">
      <c r="O2288" t="s">
        <v>648</v>
      </c>
      <c r="P2288">
        <v>2024</v>
      </c>
    </row>
    <row r="2289" spans="15:16" x14ac:dyDescent="0.2">
      <c r="O2289" t="s">
        <v>2278</v>
      </c>
      <c r="P2289">
        <v>2024</v>
      </c>
    </row>
    <row r="2290" spans="15:16" x14ac:dyDescent="0.2">
      <c r="O2290" t="s">
        <v>2256</v>
      </c>
      <c r="P2290">
        <v>2024</v>
      </c>
    </row>
    <row r="2291" spans="15:16" x14ac:dyDescent="0.2">
      <c r="O2291" t="s">
        <v>2539</v>
      </c>
      <c r="P2291">
        <v>2024</v>
      </c>
    </row>
    <row r="2292" spans="15:16" x14ac:dyDescent="0.2">
      <c r="O2292" t="s">
        <v>514</v>
      </c>
      <c r="P2292">
        <v>2024</v>
      </c>
    </row>
    <row r="2293" spans="15:16" x14ac:dyDescent="0.2">
      <c r="O2293" t="s">
        <v>507</v>
      </c>
      <c r="P2293">
        <v>2024</v>
      </c>
    </row>
    <row r="2294" spans="15:16" x14ac:dyDescent="0.2">
      <c r="O2294" t="s">
        <v>674</v>
      </c>
      <c r="P2294">
        <v>2024</v>
      </c>
    </row>
    <row r="2295" spans="15:16" x14ac:dyDescent="0.2">
      <c r="O2295" t="s">
        <v>1044</v>
      </c>
      <c r="P2295">
        <v>2024</v>
      </c>
    </row>
    <row r="2296" spans="15:16" x14ac:dyDescent="0.2">
      <c r="O2296" t="s">
        <v>1799</v>
      </c>
      <c r="P2296">
        <v>2024</v>
      </c>
    </row>
    <row r="2297" spans="15:16" x14ac:dyDescent="0.2">
      <c r="O2297" t="s">
        <v>1504</v>
      </c>
      <c r="P2297">
        <v>2024</v>
      </c>
    </row>
    <row r="2298" spans="15:16" x14ac:dyDescent="0.2">
      <c r="O2298" t="s">
        <v>400</v>
      </c>
      <c r="P2298">
        <v>2024</v>
      </c>
    </row>
    <row r="2299" spans="15:16" x14ac:dyDescent="0.2">
      <c r="O2299" t="s">
        <v>1150</v>
      </c>
      <c r="P2299">
        <v>2024</v>
      </c>
    </row>
    <row r="2300" spans="15:16" x14ac:dyDescent="0.2">
      <c r="O2300" t="s">
        <v>601</v>
      </c>
      <c r="P2300">
        <v>2024</v>
      </c>
    </row>
    <row r="2301" spans="15:16" x14ac:dyDescent="0.2">
      <c r="O2301" t="s">
        <v>2105</v>
      </c>
      <c r="P2301">
        <v>2024</v>
      </c>
    </row>
    <row r="2302" spans="15:16" x14ac:dyDescent="0.2">
      <c r="O2302" t="s">
        <v>1943</v>
      </c>
      <c r="P2302">
        <v>2024</v>
      </c>
    </row>
    <row r="2303" spans="15:16" x14ac:dyDescent="0.2">
      <c r="O2303" t="s">
        <v>891</v>
      </c>
      <c r="P2303">
        <v>2024</v>
      </c>
    </row>
    <row r="2304" spans="15:16" x14ac:dyDescent="0.2">
      <c r="O2304" t="s">
        <v>547</v>
      </c>
      <c r="P2304">
        <v>2024</v>
      </c>
    </row>
    <row r="2305" spans="15:16" x14ac:dyDescent="0.2">
      <c r="O2305" t="s">
        <v>2616</v>
      </c>
      <c r="P2305">
        <v>2024</v>
      </c>
    </row>
    <row r="2306" spans="15:16" x14ac:dyDescent="0.2">
      <c r="O2306" t="s">
        <v>1297</v>
      </c>
      <c r="P2306">
        <v>2024</v>
      </c>
    </row>
    <row r="2307" spans="15:16" x14ac:dyDescent="0.2">
      <c r="O2307" t="s">
        <v>2325</v>
      </c>
      <c r="P2307">
        <v>2024</v>
      </c>
    </row>
    <row r="2308" spans="15:16" x14ac:dyDescent="0.2">
      <c r="O2308" t="s">
        <v>2106</v>
      </c>
      <c r="P2308">
        <v>2024</v>
      </c>
    </row>
    <row r="2309" spans="15:16" x14ac:dyDescent="0.2">
      <c r="O2309" t="s">
        <v>1214</v>
      </c>
      <c r="P2309">
        <v>2024</v>
      </c>
    </row>
    <row r="2310" spans="15:16" x14ac:dyDescent="0.2">
      <c r="O2310" t="s">
        <v>2626</v>
      </c>
      <c r="P2310">
        <v>2024</v>
      </c>
    </row>
    <row r="2311" spans="15:16" x14ac:dyDescent="0.2">
      <c r="O2311" t="s">
        <v>1937</v>
      </c>
      <c r="P2311">
        <v>2024</v>
      </c>
    </row>
    <row r="2312" spans="15:16" x14ac:dyDescent="0.2">
      <c r="O2312" t="s">
        <v>1305</v>
      </c>
      <c r="P2312">
        <v>2024</v>
      </c>
    </row>
    <row r="2313" spans="15:16" x14ac:dyDescent="0.2">
      <c r="O2313" t="s">
        <v>1674</v>
      </c>
      <c r="P2313">
        <v>2024</v>
      </c>
    </row>
    <row r="2314" spans="15:16" x14ac:dyDescent="0.2">
      <c r="O2314" t="s">
        <v>2015</v>
      </c>
      <c r="P2314">
        <v>2024</v>
      </c>
    </row>
    <row r="2315" spans="15:16" x14ac:dyDescent="0.2">
      <c r="O2315" t="s">
        <v>1251</v>
      </c>
      <c r="P2315">
        <v>2024</v>
      </c>
    </row>
    <row r="2316" spans="15:16" x14ac:dyDescent="0.2">
      <c r="O2316" t="s">
        <v>1976</v>
      </c>
      <c r="P2316">
        <v>2024</v>
      </c>
    </row>
    <row r="2317" spans="15:16" x14ac:dyDescent="0.2">
      <c r="O2317" t="s">
        <v>246</v>
      </c>
      <c r="P2317">
        <v>2024</v>
      </c>
    </row>
    <row r="2318" spans="15:16" x14ac:dyDescent="0.2">
      <c r="O2318" t="s">
        <v>953</v>
      </c>
      <c r="P2318">
        <v>2024</v>
      </c>
    </row>
    <row r="2319" spans="15:16" x14ac:dyDescent="0.2">
      <c r="O2319" t="s">
        <v>1576</v>
      </c>
      <c r="P2319">
        <v>2024</v>
      </c>
    </row>
    <row r="2320" spans="15:16" x14ac:dyDescent="0.2">
      <c r="O2320" t="s">
        <v>904</v>
      </c>
      <c r="P2320">
        <v>2024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"/>
  <sheetViews>
    <sheetView showGridLines="0" tabSelected="1" topLeftCell="B14" zoomScale="40" zoomScaleNormal="40" workbookViewId="0">
      <selection activeCell="AU68" sqref="AU68"/>
    </sheetView>
  </sheetViews>
  <sheetFormatPr defaultRowHeight="14.25" x14ac:dyDescent="0.2"/>
  <sheetData>
    <row r="17" ht="12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Windows User</cp:lastModifiedBy>
  <dcterms:created xsi:type="dcterms:W3CDTF">2025-11-07T12:45:26Z</dcterms:created>
  <dcterms:modified xsi:type="dcterms:W3CDTF">2025-11-21T12:22:02Z</dcterms:modified>
</cp:coreProperties>
</file>