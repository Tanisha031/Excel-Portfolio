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MEDICAL IMAGING FLIES\MS EXCEL\MS EXCEL notes\MS EXCEL NOTES(for ADVANCED)\"/>
    </mc:Choice>
  </mc:AlternateContent>
  <bookViews>
    <workbookView xWindow="0" yWindow="0" windowWidth="20490" windowHeight="7620" activeTab="1"/>
  </bookViews>
  <sheets>
    <sheet name="named ranges" sheetId="2" r:id="rId1"/>
    <sheet name="multiple named ranges" sheetId="1" r:id="rId2"/>
  </sheets>
  <definedNames>
    <definedName name="Item">'multiple named ranges'!$A$4:$A$9</definedName>
    <definedName name="Price">'multiple named ranges'!$B$4:$B$9</definedName>
    <definedName name="Subtotal">'multiple named ranges'!$I$4:$I$9</definedName>
    <definedName name="Tax_Rate" localSheetId="0">'named ranges'!$J$1</definedName>
    <definedName name="Tax_Rate">'multiple named ranges'!$J$1</definedName>
    <definedName name="Taxes">'multiple named ranges'!$J$4:$J$9</definedName>
    <definedName name="Total_Units">'multiple named ranges'!$H$4:$H$9</definedName>
    <definedName name="Week_1">'multiple named ranges'!$D$4:$D$9</definedName>
    <definedName name="Week_2">'multiple named ranges'!$E$4:$E$9</definedName>
    <definedName name="Week_3">'multiple named ranges'!$F$4:$F$9</definedName>
    <definedName name="Week_4">'multiple named ranges'!$G$4:$G$9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I8" i="1"/>
  <c r="I5" i="1"/>
  <c r="I4" i="1"/>
  <c r="J4" i="1" s="1"/>
  <c r="J12" i="1" s="1"/>
  <c r="B11" i="1"/>
  <c r="I12" i="1"/>
  <c r="H9" i="2"/>
  <c r="I9" i="2" s="1"/>
  <c r="J9" i="2" s="1"/>
  <c r="J8" i="2"/>
  <c r="I8" i="2"/>
  <c r="H8" i="2"/>
  <c r="I7" i="2"/>
  <c r="J7" i="2" s="1"/>
  <c r="H7" i="2"/>
  <c r="H6" i="2"/>
  <c r="I6" i="2" s="1"/>
  <c r="J6" i="2" s="1"/>
  <c r="H5" i="2"/>
  <c r="I5" i="2" s="1"/>
  <c r="J5" i="2" s="1"/>
  <c r="J4" i="2"/>
  <c r="I4" i="2"/>
  <c r="H4" i="2"/>
  <c r="J5" i="1"/>
  <c r="J6" i="1"/>
  <c r="J7" i="1"/>
  <c r="J9" i="1"/>
  <c r="H9" i="1"/>
  <c r="I9" i="1" s="1"/>
  <c r="H8" i="1"/>
  <c r="H7" i="1"/>
  <c r="I7" i="1" s="1"/>
  <c r="H6" i="1"/>
  <c r="I6" i="1" s="1"/>
  <c r="H5" i="1"/>
  <c r="H4" i="1"/>
</calcChain>
</file>

<file path=xl/sharedStrings.xml><?xml version="1.0" encoding="utf-8"?>
<sst xmlns="http://schemas.openxmlformats.org/spreadsheetml/2006/main" count="34" uniqueCount="17">
  <si>
    <t>Joe's  Pizza Ledger</t>
  </si>
  <si>
    <t>Tax Rate</t>
  </si>
  <si>
    <t>Item</t>
  </si>
  <si>
    <t>Price</t>
  </si>
  <si>
    <t>Week 1</t>
  </si>
  <si>
    <t>Week 2</t>
  </si>
  <si>
    <t>Week 3</t>
  </si>
  <si>
    <t>Week 4</t>
  </si>
  <si>
    <t>Total Units</t>
  </si>
  <si>
    <t>Subtotal</t>
  </si>
  <si>
    <t>Taxes</t>
  </si>
  <si>
    <t>Pizza</t>
  </si>
  <si>
    <t>Garlic Knots</t>
  </si>
  <si>
    <t>Salad</t>
  </si>
  <si>
    <t>Wings</t>
  </si>
  <si>
    <t>French Fries</t>
  </si>
  <si>
    <t>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</si>
</sst>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1"/>
      <color theme="0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</cellStyleXfs>
  <cellXfs count="10">
    <xf numFmtId="0" fontId="0" fillId="0" borderId="0" xfId="0"/>
    <xf numFmtId="0" fontId="2" fillId="0" borderId="0" xfId="1"/>
    <xf numFmtId="0" fontId="1" fillId="0" borderId="0" xfId="2"/>
    <xf numFmtId="10" fontId="1" fillId="0" borderId="0" xfId="2" applyNumberFormat="1"/>
    <xf numFmtId="0" fontId="3" fillId="2" borderId="1" xfId="2" applyFont="1" applyFill="1" applyBorder="1"/>
    <xf numFmtId="0" fontId="3" fillId="2" borderId="2" xfId="2" applyFont="1" applyFill="1" applyBorder="1"/>
    <xf numFmtId="0" fontId="3" fillId="2" borderId="0" xfId="2" applyFont="1" applyFill="1"/>
    <xf numFmtId="0" fontId="3" fillId="2" borderId="3" xfId="2" applyFont="1" applyFill="1" applyBorder="1"/>
    <xf numFmtId="0" fontId="4" fillId="0" borderId="0" xfId="3"/>
    <xf numFmtId="164" fontId="4" fillId="0" borderId="0" xfId="3" applyNumberFormat="1"/>
  </cellXfs>
  <cellStyles count="4">
    <cellStyle name="Normal" xfId="0" builtinId="0"/>
    <cellStyle name="Normal 5" xfId="2"/>
    <cellStyle name="Normal 6" xfId="3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I12" sqref="I12"/>
    </sheetView>
  </sheetViews>
  <sheetFormatPr defaultRowHeight="14.25" x14ac:dyDescent="0.2"/>
  <cols>
    <col min="9" max="9" width="11.125" bestFit="1" customWidth="1"/>
  </cols>
  <sheetData>
    <row r="1" spans="1:10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3">
        <v>8.7499999999999994E-2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 x14ac:dyDescent="0.25">
      <c r="A3" s="4" t="s">
        <v>2</v>
      </c>
      <c r="B3" s="5" t="s">
        <v>3</v>
      </c>
      <c r="C3" s="5"/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7" t="s">
        <v>10</v>
      </c>
    </row>
    <row r="4" spans="1:10" ht="15" x14ac:dyDescent="0.2">
      <c r="A4" s="8" t="s">
        <v>11</v>
      </c>
      <c r="B4" s="9">
        <v>1.5</v>
      </c>
      <c r="C4" s="9"/>
      <c r="D4" s="8">
        <v>165</v>
      </c>
      <c r="E4" s="8">
        <v>181</v>
      </c>
      <c r="F4" s="8">
        <v>746</v>
      </c>
      <c r="G4" s="8">
        <v>950</v>
      </c>
      <c r="H4" s="8">
        <f t="shared" ref="H4:H9" si="0">SUM(D4:G4)</f>
        <v>2042</v>
      </c>
      <c r="I4" s="9">
        <f t="shared" ref="I4:I9" si="1">B4*H4</f>
        <v>3063</v>
      </c>
      <c r="J4" s="9">
        <f>I4*Tax_Rate</f>
        <v>268.01249999999999</v>
      </c>
    </row>
    <row r="5" spans="1:10" ht="15" x14ac:dyDescent="0.2">
      <c r="A5" s="8" t="s">
        <v>12</v>
      </c>
      <c r="B5" s="9">
        <v>1</v>
      </c>
      <c r="C5" s="9"/>
      <c r="D5" s="8">
        <v>629</v>
      </c>
      <c r="E5" s="8">
        <v>259</v>
      </c>
      <c r="F5" s="8">
        <v>830</v>
      </c>
      <c r="G5" s="8">
        <v>159</v>
      </c>
      <c r="H5" s="8">
        <f t="shared" si="0"/>
        <v>1877</v>
      </c>
      <c r="I5" s="9">
        <f t="shared" si="1"/>
        <v>1877</v>
      </c>
      <c r="J5" s="9">
        <f>I5*Tax_Rate</f>
        <v>164.23749999999998</v>
      </c>
    </row>
    <row r="6" spans="1:10" ht="15" x14ac:dyDescent="0.2">
      <c r="A6" s="8" t="s">
        <v>13</v>
      </c>
      <c r="B6" s="9">
        <v>3</v>
      </c>
      <c r="C6" s="9"/>
      <c r="D6" s="8">
        <v>551</v>
      </c>
      <c r="E6" s="8">
        <v>103</v>
      </c>
      <c r="F6" s="8">
        <v>413</v>
      </c>
      <c r="G6" s="8">
        <v>845</v>
      </c>
      <c r="H6" s="8">
        <f t="shared" si="0"/>
        <v>1912</v>
      </c>
      <c r="I6" s="9">
        <f t="shared" si="1"/>
        <v>5736</v>
      </c>
      <c r="J6" s="9">
        <f>I6*Tax_Rate</f>
        <v>501.9</v>
      </c>
    </row>
    <row r="7" spans="1:10" ht="15" x14ac:dyDescent="0.2">
      <c r="A7" s="8" t="s">
        <v>14</v>
      </c>
      <c r="B7" s="9">
        <v>5</v>
      </c>
      <c r="C7" s="9"/>
      <c r="D7" s="8">
        <v>334</v>
      </c>
      <c r="E7" s="8">
        <v>839</v>
      </c>
      <c r="F7" s="8">
        <v>958</v>
      </c>
      <c r="G7" s="8">
        <v>111</v>
      </c>
      <c r="H7" s="8">
        <f t="shared" si="0"/>
        <v>2242</v>
      </c>
      <c r="I7" s="9">
        <f t="shared" si="1"/>
        <v>11210</v>
      </c>
      <c r="J7" s="9">
        <f>I7*Tax_Rate</f>
        <v>980.87499999999989</v>
      </c>
    </row>
    <row r="8" spans="1:10" ht="15" x14ac:dyDescent="0.2">
      <c r="A8" s="8" t="s">
        <v>15</v>
      </c>
      <c r="B8" s="9">
        <v>1</v>
      </c>
      <c r="C8" s="9"/>
      <c r="D8" s="8">
        <v>152</v>
      </c>
      <c r="E8" s="8">
        <v>870</v>
      </c>
      <c r="F8" s="8">
        <v>450</v>
      </c>
      <c r="G8" s="8">
        <v>499</v>
      </c>
      <c r="H8" s="8">
        <f t="shared" si="0"/>
        <v>1971</v>
      </c>
      <c r="I8" s="9">
        <f t="shared" si="1"/>
        <v>1971</v>
      </c>
      <c r="J8" s="9">
        <f>I8*Tax_Rate</f>
        <v>172.46249999999998</v>
      </c>
    </row>
    <row r="9" spans="1:10" ht="15" x14ac:dyDescent="0.2">
      <c r="A9" s="8" t="s">
        <v>16</v>
      </c>
      <c r="B9" s="9">
        <v>1.25</v>
      </c>
      <c r="C9" s="9"/>
      <c r="D9" s="8">
        <v>662</v>
      </c>
      <c r="E9" s="8">
        <v>258</v>
      </c>
      <c r="F9" s="8">
        <v>555</v>
      </c>
      <c r="G9" s="8">
        <v>886</v>
      </c>
      <c r="H9" s="8">
        <f t="shared" si="0"/>
        <v>2361</v>
      </c>
      <c r="I9" s="9">
        <f t="shared" si="1"/>
        <v>2951.25</v>
      </c>
      <c r="J9" s="9">
        <f>I9*Tax_Rate</f>
        <v>258.234375</v>
      </c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H16" sqref="H16"/>
    </sheetView>
  </sheetViews>
  <sheetFormatPr defaultRowHeight="14.25" x14ac:dyDescent="0.2"/>
  <cols>
    <col min="1" max="1" width="24.25" bestFit="1" customWidth="1"/>
    <col min="2" max="2" width="11.625" customWidth="1"/>
    <col min="8" max="8" width="10.5" bestFit="1" customWidth="1"/>
    <col min="9" max="9" width="11.125" bestFit="1" customWidth="1"/>
  </cols>
  <sheetData>
    <row r="1" spans="1:10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3">
        <v>8.7499999999999994E-2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 x14ac:dyDescent="0.25">
      <c r="A3" s="4" t="s">
        <v>2</v>
      </c>
      <c r="B3" s="5" t="s">
        <v>3</v>
      </c>
      <c r="C3" s="5"/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7" t="s">
        <v>10</v>
      </c>
    </row>
    <row r="4" spans="1:10" ht="15" x14ac:dyDescent="0.2">
      <c r="A4" s="8" t="s">
        <v>11</v>
      </c>
      <c r="B4" s="9">
        <v>1.5</v>
      </c>
      <c r="C4" s="9"/>
      <c r="D4" s="8">
        <v>165</v>
      </c>
      <c r="E4" s="8">
        <v>181</v>
      </c>
      <c r="F4" s="8">
        <v>746</v>
      </c>
      <c r="G4" s="8">
        <v>950</v>
      </c>
      <c r="H4" s="8">
        <f t="shared" ref="H4:H9" si="0">SUM(D4:G4)</f>
        <v>2042</v>
      </c>
      <c r="I4" s="9">
        <f t="shared" ref="I4:I9" si="1">B4*H4</f>
        <v>3063</v>
      </c>
      <c r="J4" s="9">
        <f>I4*Tax_Rate</f>
        <v>268.01249999999999</v>
      </c>
    </row>
    <row r="5" spans="1:10" ht="15" x14ac:dyDescent="0.2">
      <c r="A5" s="8" t="s">
        <v>12</v>
      </c>
      <c r="B5" s="9">
        <v>1</v>
      </c>
      <c r="C5" s="9"/>
      <c r="D5" s="8">
        <v>629</v>
      </c>
      <c r="E5" s="8">
        <v>259</v>
      </c>
      <c r="F5" s="8">
        <v>830</v>
      </c>
      <c r="G5" s="8">
        <v>159</v>
      </c>
      <c r="H5" s="8">
        <f t="shared" si="0"/>
        <v>1877</v>
      </c>
      <c r="I5" s="9">
        <f>B5*H5</f>
        <v>1877</v>
      </c>
      <c r="J5" s="9">
        <f>I5*Tax_Rate</f>
        <v>164.23749999999998</v>
      </c>
    </row>
    <row r="6" spans="1:10" ht="15" x14ac:dyDescent="0.2">
      <c r="A6" s="8" t="s">
        <v>13</v>
      </c>
      <c r="B6" s="9">
        <v>3</v>
      </c>
      <c r="C6" s="9"/>
      <c r="D6" s="8">
        <v>551</v>
      </c>
      <c r="E6" s="8">
        <v>103</v>
      </c>
      <c r="F6" s="8">
        <v>413</v>
      </c>
      <c r="G6" s="8">
        <v>845</v>
      </c>
      <c r="H6" s="8">
        <f t="shared" si="0"/>
        <v>1912</v>
      </c>
      <c r="I6" s="9">
        <f t="shared" si="1"/>
        <v>5736</v>
      </c>
      <c r="J6" s="9">
        <f>I6*Tax_Rate</f>
        <v>501.9</v>
      </c>
    </row>
    <row r="7" spans="1:10" ht="15" x14ac:dyDescent="0.2">
      <c r="A7" s="8" t="s">
        <v>14</v>
      </c>
      <c r="B7" s="9">
        <v>5</v>
      </c>
      <c r="C7" s="9"/>
      <c r="D7" s="8">
        <v>334</v>
      </c>
      <c r="E7" s="8">
        <v>839</v>
      </c>
      <c r="F7" s="8">
        <v>958</v>
      </c>
      <c r="G7" s="8">
        <v>111</v>
      </c>
      <c r="H7" s="8">
        <f t="shared" si="0"/>
        <v>2242</v>
      </c>
      <c r="I7" s="9">
        <f t="shared" si="1"/>
        <v>11210</v>
      </c>
      <c r="J7" s="9">
        <f>I7*Tax_Rate</f>
        <v>980.87499999999989</v>
      </c>
    </row>
    <row r="8" spans="1:10" ht="15" x14ac:dyDescent="0.2">
      <c r="A8" s="8" t="s">
        <v>15</v>
      </c>
      <c r="B8" s="9">
        <v>1</v>
      </c>
      <c r="C8" s="9"/>
      <c r="D8" s="8">
        <v>152</v>
      </c>
      <c r="E8" s="8">
        <v>870</v>
      </c>
      <c r="F8" s="8">
        <v>450</v>
      </c>
      <c r="G8" s="8">
        <v>499</v>
      </c>
      <c r="H8" s="8">
        <f t="shared" si="0"/>
        <v>1971</v>
      </c>
      <c r="I8" s="9">
        <f>B8*H8</f>
        <v>1971</v>
      </c>
      <c r="J8" s="9">
        <f>I8*Tax_Rate</f>
        <v>172.46249999999998</v>
      </c>
    </row>
    <row r="9" spans="1:10" ht="15" x14ac:dyDescent="0.2">
      <c r="A9" s="8" t="s">
        <v>16</v>
      </c>
      <c r="B9" s="9">
        <v>1.25</v>
      </c>
      <c r="C9" s="9"/>
      <c r="D9" s="8">
        <v>662</v>
      </c>
      <c r="E9" s="8">
        <v>258</v>
      </c>
      <c r="F9" s="8">
        <v>555</v>
      </c>
      <c r="G9" s="8">
        <v>886</v>
      </c>
      <c r="H9" s="8">
        <f t="shared" si="0"/>
        <v>2361</v>
      </c>
      <c r="I9" s="9">
        <f t="shared" si="1"/>
        <v>2951.25</v>
      </c>
      <c r="J9" s="9">
        <f>I9*Tax_Rate</f>
        <v>258.234375</v>
      </c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B11">
        <f>SUM(Price)</f>
        <v>12.75</v>
      </c>
    </row>
    <row r="12" spans="1:10" x14ac:dyDescent="0.2">
      <c r="I12">
        <f>SUM(Subtotal)</f>
        <v>26808.25</v>
      </c>
      <c r="J12">
        <f>SUM(Taxes)</f>
        <v>2345.7218749999997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named ranges</vt:lpstr>
      <vt:lpstr>multiple named ranges</vt:lpstr>
      <vt:lpstr>Item</vt:lpstr>
      <vt:lpstr>Price</vt:lpstr>
      <vt:lpstr>Subtotal</vt:lpstr>
      <vt:lpstr>'named ranges'!Tax_Rate</vt:lpstr>
      <vt:lpstr>Tax_Rate</vt:lpstr>
      <vt:lpstr>Taxes</vt:lpstr>
      <vt:lpstr>Total_Units</vt:lpstr>
      <vt:lpstr>Week_1</vt:lpstr>
      <vt:lpstr>Week_2</vt:lpstr>
      <vt:lpstr>Week_3</vt:lpstr>
      <vt:lpstr>Week_4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2025-02-15T12:27:44Z</dcterms:created>
  <dcterms:modified xsi:type="dcterms:W3CDTF">2025-02-15T12:40:58Z</dcterms:modified>
</cp:coreProperties>
</file>